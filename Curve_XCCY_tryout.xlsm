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64011"/>
  <bookViews>
    <workbookView xWindow="0" yWindow="0" windowWidth="22260" windowHeight="11460"/>
  </bookViews>
  <sheets>
    <sheet name="PRICER_GBP" sheetId="3" r:id="rId1"/>
    <sheet name="BBG_GBP" sheetId="4" r:id="rId2"/>
    <sheet name="PRICER_EUR" sheetId="1" r:id="rId3"/>
    <sheet name="BBG_EUR" sheetId="2" r:id="rId4"/>
  </sheets>
  <functionGroups builtInGroupCount="18"/>
  <definedNames>
    <definedName name="solver_adj" localSheetId="2" hidden="1">PRICER_EUR!$CA$35</definedName>
    <definedName name="solver_adj" localSheetId="0" hidden="1">PRICER_GBP!$CA$36</definedName>
    <definedName name="solver_cvg" localSheetId="2" hidden="1">0.0000001</definedName>
    <definedName name="solver_cvg" localSheetId="0" hidden="1">0.0000001</definedName>
    <definedName name="solver_drv" localSheetId="2" hidden="1">1</definedName>
    <definedName name="solver_drv" localSheetId="0" hidden="1">1</definedName>
    <definedName name="solver_eng" localSheetId="2" hidden="1">1</definedName>
    <definedName name="solver_eng" localSheetId="0" hidden="1">1</definedName>
    <definedName name="solver_est" localSheetId="2" hidden="1">1</definedName>
    <definedName name="solver_est" localSheetId="0" hidden="1">1</definedName>
    <definedName name="solver_itr" localSheetId="2" hidden="1">2147483647</definedName>
    <definedName name="solver_itr" localSheetId="0" hidden="1">2147483647</definedName>
    <definedName name="solver_mip" localSheetId="2" hidden="1">2147483647</definedName>
    <definedName name="solver_mip" localSheetId="0" hidden="1">2147483647</definedName>
    <definedName name="solver_mni" localSheetId="2" hidden="1">30</definedName>
    <definedName name="solver_mni" localSheetId="0" hidden="1">30</definedName>
    <definedName name="solver_mrt" localSheetId="2" hidden="1">0.075</definedName>
    <definedName name="solver_mrt" localSheetId="0" hidden="1">0.075</definedName>
    <definedName name="solver_msl" localSheetId="2" hidden="1">2</definedName>
    <definedName name="solver_msl" localSheetId="0" hidden="1">2</definedName>
    <definedName name="solver_neg" localSheetId="2" hidden="1">2</definedName>
    <definedName name="solver_neg" localSheetId="0" hidden="1">2</definedName>
    <definedName name="solver_nod" localSheetId="2" hidden="1">2147483647</definedName>
    <definedName name="solver_nod" localSheetId="0" hidden="1">2147483647</definedName>
    <definedName name="solver_num" localSheetId="2" hidden="1">0</definedName>
    <definedName name="solver_num" localSheetId="0" hidden="1">0</definedName>
    <definedName name="solver_nwt" localSheetId="2" hidden="1">1</definedName>
    <definedName name="solver_nwt" localSheetId="0" hidden="1">1</definedName>
    <definedName name="solver_opt" localSheetId="2" hidden="1">PRICER_EUR!$BD$16</definedName>
    <definedName name="solver_opt" localSheetId="0" hidden="1">PRICER_GBP!$BD$17</definedName>
    <definedName name="solver_pre" localSheetId="2" hidden="1">0.00000001</definedName>
    <definedName name="solver_pre" localSheetId="0" hidden="1">0.00000001</definedName>
    <definedName name="solver_rbv" localSheetId="2" hidden="1">1</definedName>
    <definedName name="solver_rbv" localSheetId="0" hidden="1">1</definedName>
    <definedName name="solver_rlx" localSheetId="2" hidden="1">2</definedName>
    <definedName name="solver_rlx" localSheetId="0" hidden="1">2</definedName>
    <definedName name="solver_rsd" localSheetId="2" hidden="1">0</definedName>
    <definedName name="solver_rsd" localSheetId="0" hidden="1">0</definedName>
    <definedName name="solver_scl" localSheetId="2" hidden="1">1</definedName>
    <definedName name="solver_scl" localSheetId="0" hidden="1">1</definedName>
    <definedName name="solver_sho" localSheetId="2" hidden="1">2</definedName>
    <definedName name="solver_sho" localSheetId="0" hidden="1">2</definedName>
    <definedName name="solver_ssz" localSheetId="2" hidden="1">100</definedName>
    <definedName name="solver_ssz" localSheetId="0" hidden="1">100</definedName>
    <definedName name="solver_tim" localSheetId="2" hidden="1">2147483647</definedName>
    <definedName name="solver_tim" localSheetId="0" hidden="1">2147483647</definedName>
    <definedName name="solver_tol" localSheetId="2" hidden="1">0.01</definedName>
    <definedName name="solver_tol" localSheetId="0" hidden="1">0.01</definedName>
    <definedName name="solver_typ" localSheetId="2" hidden="1">3</definedName>
    <definedName name="solver_typ" localSheetId="0" hidden="1">3</definedName>
    <definedName name="solver_val" localSheetId="2" hidden="1">0</definedName>
    <definedName name="solver_val" localSheetId="0" hidden="1">0</definedName>
    <definedName name="solver_ver" localSheetId="2" hidden="1">3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102" i="3" l="1"/>
  <c r="AM122" i="3"/>
  <c r="AM121" i="3"/>
  <c r="AM120" i="3"/>
  <c r="AM119" i="3"/>
  <c r="AM118" i="3"/>
  <c r="AM117" i="3"/>
  <c r="AM116" i="3"/>
  <c r="AM115" i="3"/>
  <c r="AM114" i="3"/>
  <c r="AM113" i="3"/>
  <c r="AM112" i="3"/>
  <c r="AM111" i="3"/>
  <c r="AM110" i="3"/>
  <c r="AM109" i="3"/>
  <c r="AM108" i="3"/>
  <c r="AM107" i="3"/>
  <c r="AM106" i="3"/>
  <c r="AM105" i="3"/>
  <c r="AM104" i="3"/>
  <c r="AM103" i="3"/>
  <c r="AM102" i="3"/>
  <c r="AM101" i="3"/>
  <c r="AM100" i="3"/>
  <c r="AM99" i="3"/>
  <c r="AM98" i="3"/>
  <c r="AM97" i="3"/>
  <c r="AM96" i="3"/>
  <c r="AM95" i="3"/>
  <c r="AM94" i="3"/>
  <c r="AM93" i="3"/>
  <c r="AM92" i="3"/>
  <c r="AM91" i="3"/>
  <c r="AM90" i="3"/>
  <c r="AM89" i="3"/>
  <c r="AM88" i="3"/>
  <c r="AM87" i="3"/>
  <c r="AM86" i="3"/>
  <c r="AM85" i="3"/>
  <c r="AM84" i="3"/>
  <c r="AM83" i="3"/>
  <c r="AM82" i="3"/>
  <c r="AM81" i="3"/>
  <c r="AM80" i="3"/>
  <c r="AM79" i="3"/>
  <c r="AM78" i="3"/>
  <c r="AM77" i="3"/>
  <c r="AM76" i="3"/>
  <c r="AM75" i="3"/>
  <c r="AM74" i="3"/>
  <c r="AM73" i="3"/>
  <c r="AM72" i="3"/>
  <c r="AM71" i="3"/>
  <c r="AM70" i="3"/>
  <c r="AM69" i="3"/>
  <c r="AM68" i="3"/>
  <c r="AM67" i="3"/>
  <c r="AM66" i="3"/>
  <c r="AM65" i="3"/>
  <c r="AM64" i="3"/>
  <c r="AM63" i="3"/>
  <c r="AM62" i="3"/>
  <c r="AM61" i="3"/>
  <c r="AM60" i="3"/>
  <c r="AM59" i="3"/>
  <c r="AM58" i="3"/>
  <c r="AM57" i="3"/>
  <c r="AM56" i="3"/>
  <c r="AM55" i="3"/>
  <c r="AM54" i="3"/>
  <c r="AM53" i="3"/>
  <c r="AM52" i="3"/>
  <c r="AM51" i="3"/>
  <c r="AM50" i="3"/>
  <c r="AM49" i="3"/>
  <c r="AM48" i="3"/>
  <c r="AM47" i="3"/>
  <c r="AM46" i="3"/>
  <c r="AM45" i="3"/>
  <c r="AM44" i="3"/>
  <c r="AM43" i="3"/>
  <c r="AM42" i="3"/>
  <c r="AM41" i="3"/>
  <c r="AM40" i="3"/>
  <c r="AM39" i="3"/>
  <c r="AM38" i="3"/>
  <c r="AM37" i="3"/>
  <c r="AM36" i="3"/>
  <c r="AM35" i="3"/>
  <c r="AM34" i="3"/>
  <c r="AM33" i="3"/>
  <c r="AM32" i="3"/>
  <c r="AM31" i="3"/>
  <c r="AM30" i="3"/>
  <c r="AM29" i="3"/>
  <c r="AM28" i="3"/>
  <c r="AM27" i="3"/>
  <c r="AM26" i="3"/>
  <c r="AM25" i="3"/>
  <c r="AM24" i="3"/>
  <c r="AM23" i="3"/>
  <c r="AM22" i="3"/>
  <c r="AM21" i="3"/>
  <c r="AM20" i="3"/>
  <c r="AM19" i="3"/>
  <c r="AM18" i="3"/>
  <c r="AM17" i="3"/>
  <c r="AM16" i="3"/>
  <c r="AM15" i="3"/>
  <c r="AM14" i="3"/>
  <c r="AM13" i="3"/>
  <c r="AM12" i="3"/>
  <c r="AM11" i="3"/>
  <c r="AM10" i="3"/>
  <c r="AM9" i="3"/>
  <c r="AM8" i="3"/>
  <c r="AM7" i="3"/>
  <c r="AM6" i="3"/>
  <c r="AM5" i="3"/>
  <c r="AM4" i="3"/>
  <c r="AM3" i="3"/>
  <c r="AM2" i="3"/>
  <c r="AH3" i="3"/>
  <c r="AF122" i="3"/>
  <c r="AF121" i="3"/>
  <c r="AF120" i="3"/>
  <c r="AF119" i="3"/>
  <c r="AF118" i="3"/>
  <c r="AF117" i="3"/>
  <c r="AF116" i="3"/>
  <c r="AF115" i="3"/>
  <c r="AF114" i="3"/>
  <c r="AF113" i="3"/>
  <c r="AF112" i="3"/>
  <c r="AF111" i="3"/>
  <c r="AF110" i="3"/>
  <c r="AF109" i="3"/>
  <c r="AF108" i="3"/>
  <c r="AF107" i="3"/>
  <c r="AF106" i="3"/>
  <c r="AF105" i="3"/>
  <c r="AF104" i="3"/>
  <c r="AF103" i="3"/>
  <c r="AF102" i="3"/>
  <c r="AF101" i="3"/>
  <c r="AF100" i="3"/>
  <c r="AF99" i="3"/>
  <c r="AF98" i="3"/>
  <c r="AF97" i="3"/>
  <c r="AF96" i="3"/>
  <c r="AF95" i="3"/>
  <c r="AF94" i="3"/>
  <c r="AF93" i="3"/>
  <c r="AF92" i="3"/>
  <c r="AF91" i="3"/>
  <c r="AF90" i="3"/>
  <c r="AF89" i="3"/>
  <c r="AF88" i="3"/>
  <c r="AF87" i="3"/>
  <c r="AF86" i="3"/>
  <c r="AF85" i="3"/>
  <c r="AF84" i="3"/>
  <c r="AF83" i="3"/>
  <c r="AF82" i="3"/>
  <c r="AF81" i="3"/>
  <c r="AF80" i="3"/>
  <c r="AF79" i="3"/>
  <c r="AF78" i="3"/>
  <c r="AF77" i="3"/>
  <c r="AF76" i="3"/>
  <c r="AF75" i="3"/>
  <c r="AF74" i="3"/>
  <c r="AF73" i="3"/>
  <c r="AF72" i="3"/>
  <c r="AF71" i="3"/>
  <c r="AF70" i="3"/>
  <c r="AF69" i="3"/>
  <c r="AF68" i="3"/>
  <c r="AF67" i="3"/>
  <c r="AF66" i="3"/>
  <c r="AF65" i="3"/>
  <c r="AF64" i="3"/>
  <c r="AF63" i="3"/>
  <c r="AF62" i="3"/>
  <c r="AF61" i="3"/>
  <c r="AF60" i="3"/>
  <c r="AF59" i="3"/>
  <c r="AF58" i="3"/>
  <c r="AF57" i="3"/>
  <c r="AF56" i="3"/>
  <c r="AF55" i="3"/>
  <c r="AF54" i="3"/>
  <c r="AF53" i="3"/>
  <c r="AF52" i="3"/>
  <c r="AF51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F38" i="3"/>
  <c r="AF37" i="3"/>
  <c r="AF36" i="3"/>
  <c r="AF35" i="3"/>
  <c r="AF34" i="3"/>
  <c r="AF33" i="3"/>
  <c r="AF32" i="3"/>
  <c r="AF31" i="3"/>
  <c r="AF30" i="3"/>
  <c r="AF29" i="3"/>
  <c r="AF28" i="3"/>
  <c r="AF27" i="3"/>
  <c r="AF26" i="3"/>
  <c r="AF25" i="3"/>
  <c r="AF24" i="3"/>
  <c r="AF23" i="3"/>
  <c r="AF22" i="3"/>
  <c r="AF21" i="3"/>
  <c r="AF20" i="3"/>
  <c r="AF19" i="3"/>
  <c r="AF18" i="3"/>
  <c r="AF17" i="3"/>
  <c r="AF16" i="3"/>
  <c r="AF15" i="3"/>
  <c r="AF14" i="3"/>
  <c r="AF13" i="3"/>
  <c r="AF12" i="3"/>
  <c r="AF11" i="3"/>
  <c r="AF10" i="3"/>
  <c r="AF9" i="3"/>
  <c r="AF8" i="3"/>
  <c r="AF7" i="3"/>
  <c r="AF6" i="3"/>
  <c r="AF5" i="3"/>
  <c r="AF4" i="3"/>
  <c r="AF3" i="3"/>
  <c r="AF2" i="3"/>
  <c r="AD122" i="3"/>
  <c r="AD121" i="3"/>
  <c r="AD120" i="3"/>
  <c r="AD119" i="3"/>
  <c r="AD118" i="3"/>
  <c r="AD117" i="3"/>
  <c r="AD116" i="3"/>
  <c r="AD115" i="3"/>
  <c r="AD114" i="3"/>
  <c r="AD113" i="3"/>
  <c r="AD112" i="3"/>
  <c r="AD111" i="3"/>
  <c r="AD110" i="3"/>
  <c r="AD109" i="3"/>
  <c r="AD108" i="3"/>
  <c r="AD107" i="3"/>
  <c r="AD106" i="3"/>
  <c r="AD105" i="3"/>
  <c r="AD104" i="3"/>
  <c r="AD103" i="3"/>
  <c r="AD102" i="3"/>
  <c r="AD101" i="3"/>
  <c r="AD100" i="3"/>
  <c r="AD99" i="3"/>
  <c r="AD98" i="3"/>
  <c r="AD97" i="3"/>
  <c r="AD96" i="3"/>
  <c r="AD95" i="3"/>
  <c r="AD94" i="3"/>
  <c r="AD93" i="3"/>
  <c r="AD92" i="3"/>
  <c r="AD91" i="3"/>
  <c r="AD90" i="3"/>
  <c r="AD89" i="3"/>
  <c r="AD88" i="3"/>
  <c r="AD87" i="3"/>
  <c r="AD86" i="3"/>
  <c r="AD85" i="3"/>
  <c r="AD84" i="3"/>
  <c r="AD83" i="3"/>
  <c r="AD82" i="3"/>
  <c r="AD81" i="3"/>
  <c r="AD80" i="3"/>
  <c r="AD79" i="3"/>
  <c r="AD78" i="3"/>
  <c r="AD77" i="3"/>
  <c r="AD76" i="3"/>
  <c r="AD75" i="3"/>
  <c r="AD74" i="3"/>
  <c r="AD73" i="3"/>
  <c r="AD72" i="3"/>
  <c r="AD71" i="3"/>
  <c r="AD70" i="3"/>
  <c r="AD69" i="3"/>
  <c r="AD68" i="3"/>
  <c r="AD67" i="3"/>
  <c r="AD66" i="3"/>
  <c r="AD65" i="3"/>
  <c r="AD64" i="3"/>
  <c r="AD63" i="3"/>
  <c r="AD62" i="3"/>
  <c r="AD61" i="3"/>
  <c r="AD60" i="3"/>
  <c r="AD59" i="3"/>
  <c r="AD58" i="3"/>
  <c r="AD57" i="3"/>
  <c r="AD56" i="3"/>
  <c r="AD55" i="3"/>
  <c r="AD54" i="3"/>
  <c r="AD53" i="3"/>
  <c r="AD52" i="3"/>
  <c r="AD51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D13" i="3"/>
  <c r="AD12" i="3"/>
  <c r="AD11" i="3"/>
  <c r="AD10" i="3"/>
  <c r="AD9" i="3"/>
  <c r="AD8" i="3"/>
  <c r="AD7" i="3"/>
  <c r="AD6" i="3"/>
  <c r="AD5" i="3"/>
  <c r="AD4" i="3"/>
  <c r="AD3" i="3"/>
  <c r="AA122" i="4"/>
  <c r="AA121" i="4"/>
  <c r="AA120" i="4"/>
  <c r="AA119" i="4"/>
  <c r="AA118" i="4"/>
  <c r="AA117" i="4"/>
  <c r="AA116" i="4"/>
  <c r="AA115" i="4"/>
  <c r="AA114" i="4"/>
  <c r="AA113" i="4"/>
  <c r="AA112" i="4"/>
  <c r="AA111" i="4"/>
  <c r="AA110" i="4"/>
  <c r="AA109" i="4"/>
  <c r="AA108" i="4"/>
  <c r="AA107" i="4"/>
  <c r="AA106" i="4"/>
  <c r="AA105" i="4"/>
  <c r="AA104" i="4"/>
  <c r="AA103" i="4"/>
  <c r="AA102" i="4"/>
  <c r="AA101" i="4"/>
  <c r="AA100" i="4"/>
  <c r="AA99" i="4"/>
  <c r="AA98" i="4"/>
  <c r="AA97" i="4"/>
  <c r="AA96" i="4"/>
  <c r="AA95" i="4"/>
  <c r="AA94" i="4"/>
  <c r="AA93" i="4"/>
  <c r="AA92" i="4"/>
  <c r="AA91" i="4"/>
  <c r="AA90" i="4"/>
  <c r="AA89" i="4"/>
  <c r="AA88" i="4"/>
  <c r="AA87" i="4"/>
  <c r="AA86" i="4"/>
  <c r="AA85" i="4"/>
  <c r="AA84" i="4"/>
  <c r="AA83" i="4"/>
  <c r="AA82" i="4"/>
  <c r="AA81" i="4"/>
  <c r="AA80" i="4"/>
  <c r="AA79" i="4"/>
  <c r="AA78" i="4"/>
  <c r="AA77" i="4"/>
  <c r="AA76" i="4"/>
  <c r="AA75" i="4"/>
  <c r="AA74" i="4"/>
  <c r="AA73" i="4"/>
  <c r="AA72" i="4"/>
  <c r="AA71" i="4"/>
  <c r="AA70" i="4"/>
  <c r="AA69" i="4"/>
  <c r="AA68" i="4"/>
  <c r="AA67" i="4"/>
  <c r="AA66" i="4"/>
  <c r="AA65" i="4"/>
  <c r="AA64" i="4"/>
  <c r="AA63" i="4"/>
  <c r="AA62" i="4"/>
  <c r="AA61" i="4"/>
  <c r="AA60" i="4"/>
  <c r="AA59" i="4"/>
  <c r="AA58" i="4"/>
  <c r="AA57" i="4"/>
  <c r="AA56" i="4"/>
  <c r="AA55" i="4"/>
  <c r="AA54" i="4"/>
  <c r="AA53" i="4"/>
  <c r="AA52" i="4"/>
  <c r="AA51" i="4"/>
  <c r="AA50" i="4"/>
  <c r="AA49" i="4"/>
  <c r="AA48" i="4"/>
  <c r="AA47" i="4"/>
  <c r="AA46" i="4"/>
  <c r="AA45" i="4"/>
  <c r="AA44" i="4"/>
  <c r="AA43" i="4"/>
  <c r="AA42" i="4"/>
  <c r="AA41" i="4"/>
  <c r="AA40" i="4"/>
  <c r="AA39" i="4"/>
  <c r="AA38" i="4"/>
  <c r="AA37" i="4"/>
  <c r="AA36" i="4"/>
  <c r="AA35" i="4"/>
  <c r="AA34" i="4"/>
  <c r="AA33" i="4"/>
  <c r="AA32" i="4"/>
  <c r="AA31" i="4"/>
  <c r="AA30" i="4"/>
  <c r="AA29" i="4"/>
  <c r="AA28" i="4"/>
  <c r="AA27" i="4"/>
  <c r="AA26" i="4"/>
  <c r="AA25" i="4"/>
  <c r="AA24" i="4"/>
  <c r="AA23" i="4"/>
  <c r="AA22" i="4"/>
  <c r="AA21" i="4"/>
  <c r="AA20" i="4"/>
  <c r="AA19" i="4"/>
  <c r="AA18" i="4"/>
  <c r="AA17" i="4"/>
  <c r="AA16" i="4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BC14" i="3"/>
  <c r="AR14" i="3"/>
  <c r="AQ14" i="3"/>
  <c r="BX24" i="3"/>
  <c r="CB24" i="3"/>
  <c r="BX25" i="3"/>
  <c r="CB25" i="3"/>
  <c r="BX26" i="3"/>
  <c r="CB26" i="3"/>
  <c r="BX27" i="3"/>
  <c r="CB27" i="3"/>
  <c r="BX28" i="3"/>
  <c r="CB28" i="3"/>
  <c r="BX29" i="3"/>
  <c r="CB29" i="3"/>
  <c r="BX30" i="3"/>
  <c r="CB30" i="3"/>
  <c r="BX31" i="3"/>
  <c r="CB31" i="3"/>
  <c r="BX32" i="3"/>
  <c r="CB32" i="3"/>
  <c r="BX33" i="3"/>
  <c r="CB33" i="3"/>
  <c r="BX34" i="3"/>
  <c r="CB34" i="3"/>
  <c r="BX35" i="3"/>
  <c r="CB35" i="3"/>
  <c r="BX36" i="3"/>
  <c r="CB36" i="3"/>
  <c r="A2" i="3"/>
  <c r="U202" i="3"/>
  <c r="T202" i="3"/>
  <c r="S202" i="3"/>
  <c r="O202" i="3"/>
  <c r="N202" i="3"/>
  <c r="L202" i="3"/>
  <c r="G202" i="3"/>
  <c r="T201" i="3"/>
  <c r="S201" i="3"/>
  <c r="O201" i="3"/>
  <c r="N201" i="3"/>
  <c r="L201" i="3"/>
  <c r="G201" i="3"/>
  <c r="T200" i="3"/>
  <c r="S200" i="3"/>
  <c r="O200" i="3"/>
  <c r="N200" i="3"/>
  <c r="L200" i="3"/>
  <c r="G200" i="3"/>
  <c r="T199" i="3"/>
  <c r="S199" i="3"/>
  <c r="O199" i="3"/>
  <c r="N199" i="3"/>
  <c r="L199" i="3"/>
  <c r="G199" i="3"/>
  <c r="T198" i="3"/>
  <c r="S198" i="3"/>
  <c r="O198" i="3"/>
  <c r="N198" i="3"/>
  <c r="L198" i="3"/>
  <c r="G198" i="3"/>
  <c r="T197" i="3"/>
  <c r="S197" i="3"/>
  <c r="O197" i="3"/>
  <c r="N197" i="3"/>
  <c r="L197" i="3"/>
  <c r="G197" i="3"/>
  <c r="T196" i="3"/>
  <c r="S196" i="3"/>
  <c r="O196" i="3"/>
  <c r="N196" i="3"/>
  <c r="L196" i="3"/>
  <c r="G196" i="3"/>
  <c r="T195" i="3"/>
  <c r="S195" i="3"/>
  <c r="O195" i="3"/>
  <c r="N195" i="3"/>
  <c r="L195" i="3"/>
  <c r="G195" i="3"/>
  <c r="T194" i="3"/>
  <c r="S194" i="3"/>
  <c r="O194" i="3"/>
  <c r="N194" i="3"/>
  <c r="L194" i="3"/>
  <c r="G194" i="3"/>
  <c r="T193" i="3"/>
  <c r="S193" i="3"/>
  <c r="O193" i="3"/>
  <c r="N193" i="3"/>
  <c r="L193" i="3"/>
  <c r="G193" i="3"/>
  <c r="T192" i="3"/>
  <c r="S192" i="3"/>
  <c r="O192" i="3"/>
  <c r="N192" i="3"/>
  <c r="L192" i="3"/>
  <c r="G192" i="3"/>
  <c r="T191" i="3"/>
  <c r="S191" i="3"/>
  <c r="O191" i="3"/>
  <c r="N191" i="3"/>
  <c r="L191" i="3"/>
  <c r="G191" i="3"/>
  <c r="T190" i="3"/>
  <c r="S190" i="3"/>
  <c r="O190" i="3"/>
  <c r="N190" i="3"/>
  <c r="L190" i="3"/>
  <c r="G190" i="3"/>
  <c r="T189" i="3"/>
  <c r="S189" i="3"/>
  <c r="O189" i="3"/>
  <c r="N189" i="3"/>
  <c r="L189" i="3"/>
  <c r="G189" i="3"/>
  <c r="T188" i="3"/>
  <c r="S188" i="3"/>
  <c r="O188" i="3"/>
  <c r="N188" i="3"/>
  <c r="L188" i="3"/>
  <c r="G188" i="3"/>
  <c r="T187" i="3"/>
  <c r="S187" i="3"/>
  <c r="O187" i="3"/>
  <c r="N187" i="3"/>
  <c r="L187" i="3"/>
  <c r="G187" i="3"/>
  <c r="T186" i="3"/>
  <c r="S186" i="3"/>
  <c r="O186" i="3"/>
  <c r="N186" i="3"/>
  <c r="L186" i="3"/>
  <c r="G186" i="3"/>
  <c r="T185" i="3"/>
  <c r="S185" i="3"/>
  <c r="O185" i="3"/>
  <c r="N185" i="3"/>
  <c r="L185" i="3"/>
  <c r="G185" i="3"/>
  <c r="T184" i="3"/>
  <c r="S184" i="3"/>
  <c r="O184" i="3"/>
  <c r="N184" i="3"/>
  <c r="L184" i="3"/>
  <c r="G184" i="3"/>
  <c r="T183" i="3"/>
  <c r="S183" i="3"/>
  <c r="O183" i="3"/>
  <c r="N183" i="3"/>
  <c r="L183" i="3"/>
  <c r="G183" i="3"/>
  <c r="T182" i="3"/>
  <c r="S182" i="3"/>
  <c r="O182" i="3"/>
  <c r="N182" i="3"/>
  <c r="L182" i="3"/>
  <c r="G182" i="3"/>
  <c r="T181" i="3"/>
  <c r="S181" i="3"/>
  <c r="O181" i="3"/>
  <c r="N181" i="3"/>
  <c r="L181" i="3"/>
  <c r="G181" i="3"/>
  <c r="T180" i="3"/>
  <c r="S180" i="3"/>
  <c r="O180" i="3"/>
  <c r="N180" i="3"/>
  <c r="L180" i="3"/>
  <c r="G180" i="3"/>
  <c r="T179" i="3"/>
  <c r="S179" i="3"/>
  <c r="O179" i="3"/>
  <c r="N179" i="3"/>
  <c r="L179" i="3"/>
  <c r="G179" i="3"/>
  <c r="T178" i="3"/>
  <c r="S178" i="3"/>
  <c r="O178" i="3"/>
  <c r="N178" i="3"/>
  <c r="L178" i="3"/>
  <c r="G178" i="3"/>
  <c r="T177" i="3"/>
  <c r="S177" i="3"/>
  <c r="O177" i="3"/>
  <c r="N177" i="3"/>
  <c r="L177" i="3"/>
  <c r="G177" i="3"/>
  <c r="T176" i="3"/>
  <c r="S176" i="3"/>
  <c r="O176" i="3"/>
  <c r="N176" i="3"/>
  <c r="L176" i="3"/>
  <c r="G176" i="3"/>
  <c r="T175" i="3"/>
  <c r="S175" i="3"/>
  <c r="O175" i="3"/>
  <c r="N175" i="3"/>
  <c r="L175" i="3"/>
  <c r="G175" i="3"/>
  <c r="T174" i="3"/>
  <c r="S174" i="3"/>
  <c r="O174" i="3"/>
  <c r="N174" i="3"/>
  <c r="L174" i="3"/>
  <c r="G174" i="3"/>
  <c r="T173" i="3"/>
  <c r="S173" i="3"/>
  <c r="O173" i="3"/>
  <c r="N173" i="3"/>
  <c r="L173" i="3"/>
  <c r="G173" i="3"/>
  <c r="T172" i="3"/>
  <c r="S172" i="3"/>
  <c r="O172" i="3"/>
  <c r="N172" i="3"/>
  <c r="L172" i="3"/>
  <c r="G172" i="3"/>
  <c r="T171" i="3"/>
  <c r="S171" i="3"/>
  <c r="O171" i="3"/>
  <c r="N171" i="3"/>
  <c r="L171" i="3"/>
  <c r="G171" i="3"/>
  <c r="T170" i="3"/>
  <c r="S170" i="3"/>
  <c r="O170" i="3"/>
  <c r="N170" i="3"/>
  <c r="L170" i="3"/>
  <c r="G170" i="3"/>
  <c r="T169" i="3"/>
  <c r="S169" i="3"/>
  <c r="O169" i="3"/>
  <c r="N169" i="3"/>
  <c r="L169" i="3"/>
  <c r="G169" i="3"/>
  <c r="T168" i="3"/>
  <c r="S168" i="3"/>
  <c r="O168" i="3"/>
  <c r="N168" i="3"/>
  <c r="L168" i="3"/>
  <c r="G168" i="3"/>
  <c r="T167" i="3"/>
  <c r="S167" i="3"/>
  <c r="O167" i="3"/>
  <c r="N167" i="3"/>
  <c r="L167" i="3"/>
  <c r="G167" i="3"/>
  <c r="T166" i="3"/>
  <c r="S166" i="3"/>
  <c r="O166" i="3"/>
  <c r="N166" i="3"/>
  <c r="L166" i="3"/>
  <c r="G166" i="3"/>
  <c r="T165" i="3"/>
  <c r="S165" i="3"/>
  <c r="O165" i="3"/>
  <c r="N165" i="3"/>
  <c r="L165" i="3"/>
  <c r="G165" i="3"/>
  <c r="T164" i="3"/>
  <c r="S164" i="3"/>
  <c r="O164" i="3"/>
  <c r="N164" i="3"/>
  <c r="L164" i="3"/>
  <c r="G164" i="3"/>
  <c r="T163" i="3"/>
  <c r="S163" i="3"/>
  <c r="O163" i="3"/>
  <c r="N163" i="3"/>
  <c r="L163" i="3"/>
  <c r="G163" i="3"/>
  <c r="U162" i="3"/>
  <c r="T162" i="3"/>
  <c r="S162" i="3"/>
  <c r="O162" i="3"/>
  <c r="N162" i="3"/>
  <c r="L162" i="3"/>
  <c r="G162" i="3"/>
  <c r="T161" i="3"/>
  <c r="S161" i="3"/>
  <c r="O161" i="3"/>
  <c r="N161" i="3"/>
  <c r="L161" i="3"/>
  <c r="G161" i="3"/>
  <c r="T160" i="3"/>
  <c r="S160" i="3"/>
  <c r="O160" i="3"/>
  <c r="N160" i="3"/>
  <c r="L160" i="3"/>
  <c r="G160" i="3"/>
  <c r="T159" i="3"/>
  <c r="S159" i="3"/>
  <c r="O159" i="3"/>
  <c r="N159" i="3"/>
  <c r="L159" i="3"/>
  <c r="G159" i="3"/>
  <c r="T158" i="3"/>
  <c r="S158" i="3"/>
  <c r="O158" i="3"/>
  <c r="N158" i="3"/>
  <c r="L158" i="3"/>
  <c r="G158" i="3"/>
  <c r="T157" i="3"/>
  <c r="S157" i="3"/>
  <c r="O157" i="3"/>
  <c r="N157" i="3"/>
  <c r="L157" i="3"/>
  <c r="G157" i="3"/>
  <c r="T156" i="3"/>
  <c r="S156" i="3"/>
  <c r="O156" i="3"/>
  <c r="N156" i="3"/>
  <c r="L156" i="3"/>
  <c r="G156" i="3"/>
  <c r="T155" i="3"/>
  <c r="S155" i="3"/>
  <c r="O155" i="3"/>
  <c r="N155" i="3"/>
  <c r="L155" i="3"/>
  <c r="G155" i="3"/>
  <c r="T154" i="3"/>
  <c r="S154" i="3"/>
  <c r="O154" i="3"/>
  <c r="N154" i="3"/>
  <c r="L154" i="3"/>
  <c r="G154" i="3"/>
  <c r="T153" i="3"/>
  <c r="S153" i="3"/>
  <c r="O153" i="3"/>
  <c r="N153" i="3"/>
  <c r="L153" i="3"/>
  <c r="G153" i="3"/>
  <c r="T152" i="3"/>
  <c r="S152" i="3"/>
  <c r="O152" i="3"/>
  <c r="N152" i="3"/>
  <c r="L152" i="3"/>
  <c r="G152" i="3"/>
  <c r="T151" i="3"/>
  <c r="S151" i="3"/>
  <c r="O151" i="3"/>
  <c r="N151" i="3"/>
  <c r="L151" i="3"/>
  <c r="G151" i="3"/>
  <c r="T150" i="3"/>
  <c r="S150" i="3"/>
  <c r="O150" i="3"/>
  <c r="N150" i="3"/>
  <c r="L150" i="3"/>
  <c r="G150" i="3"/>
  <c r="T149" i="3"/>
  <c r="S149" i="3"/>
  <c r="O149" i="3"/>
  <c r="N149" i="3"/>
  <c r="L149" i="3"/>
  <c r="G149" i="3"/>
  <c r="T148" i="3"/>
  <c r="S148" i="3"/>
  <c r="O148" i="3"/>
  <c r="N148" i="3"/>
  <c r="L148" i="3"/>
  <c r="G148" i="3"/>
  <c r="T147" i="3"/>
  <c r="S147" i="3"/>
  <c r="O147" i="3"/>
  <c r="N147" i="3"/>
  <c r="L147" i="3"/>
  <c r="G147" i="3"/>
  <c r="T146" i="3"/>
  <c r="S146" i="3"/>
  <c r="O146" i="3"/>
  <c r="N146" i="3"/>
  <c r="L146" i="3"/>
  <c r="G146" i="3"/>
  <c r="T145" i="3"/>
  <c r="S145" i="3"/>
  <c r="O145" i="3"/>
  <c r="N145" i="3"/>
  <c r="L145" i="3"/>
  <c r="G145" i="3"/>
  <c r="T144" i="3"/>
  <c r="S144" i="3"/>
  <c r="O144" i="3"/>
  <c r="N144" i="3"/>
  <c r="L144" i="3"/>
  <c r="G144" i="3"/>
  <c r="T143" i="3"/>
  <c r="S143" i="3"/>
  <c r="O143" i="3"/>
  <c r="N143" i="3"/>
  <c r="L143" i="3"/>
  <c r="G143" i="3"/>
  <c r="T142" i="3"/>
  <c r="S142" i="3"/>
  <c r="O142" i="3"/>
  <c r="N142" i="3"/>
  <c r="L142" i="3"/>
  <c r="G142" i="3"/>
  <c r="T141" i="3"/>
  <c r="S141" i="3"/>
  <c r="O141" i="3"/>
  <c r="N141" i="3"/>
  <c r="L141" i="3"/>
  <c r="G141" i="3"/>
  <c r="T140" i="3"/>
  <c r="S140" i="3"/>
  <c r="O140" i="3"/>
  <c r="N140" i="3"/>
  <c r="L140" i="3"/>
  <c r="G140" i="3"/>
  <c r="T139" i="3"/>
  <c r="S139" i="3"/>
  <c r="O139" i="3"/>
  <c r="N139" i="3"/>
  <c r="L139" i="3"/>
  <c r="G139" i="3"/>
  <c r="T138" i="3"/>
  <c r="S138" i="3"/>
  <c r="O138" i="3"/>
  <c r="N138" i="3"/>
  <c r="L138" i="3"/>
  <c r="G138" i="3"/>
  <c r="T137" i="3"/>
  <c r="S137" i="3"/>
  <c r="O137" i="3"/>
  <c r="N137" i="3"/>
  <c r="L137" i="3"/>
  <c r="G137" i="3"/>
  <c r="T136" i="3"/>
  <c r="S136" i="3"/>
  <c r="O136" i="3"/>
  <c r="N136" i="3"/>
  <c r="L136" i="3"/>
  <c r="G136" i="3"/>
  <c r="T135" i="3"/>
  <c r="S135" i="3"/>
  <c r="O135" i="3"/>
  <c r="N135" i="3"/>
  <c r="L135" i="3"/>
  <c r="G135" i="3"/>
  <c r="T134" i="3"/>
  <c r="S134" i="3"/>
  <c r="O134" i="3"/>
  <c r="N134" i="3"/>
  <c r="L134" i="3"/>
  <c r="G134" i="3"/>
  <c r="T133" i="3"/>
  <c r="S133" i="3"/>
  <c r="O133" i="3"/>
  <c r="N133" i="3"/>
  <c r="L133" i="3"/>
  <c r="G133" i="3"/>
  <c r="T132" i="3"/>
  <c r="S132" i="3"/>
  <c r="O132" i="3"/>
  <c r="N132" i="3"/>
  <c r="L132" i="3"/>
  <c r="G132" i="3"/>
  <c r="T131" i="3"/>
  <c r="S131" i="3"/>
  <c r="O131" i="3"/>
  <c r="N131" i="3"/>
  <c r="L131" i="3"/>
  <c r="G131" i="3"/>
  <c r="T130" i="3"/>
  <c r="S130" i="3"/>
  <c r="O130" i="3"/>
  <c r="N130" i="3"/>
  <c r="L130" i="3"/>
  <c r="G130" i="3"/>
  <c r="T129" i="3"/>
  <c r="S129" i="3"/>
  <c r="O129" i="3"/>
  <c r="N129" i="3"/>
  <c r="L129" i="3"/>
  <c r="G129" i="3"/>
  <c r="T128" i="3"/>
  <c r="S128" i="3"/>
  <c r="O128" i="3"/>
  <c r="N128" i="3"/>
  <c r="L128" i="3"/>
  <c r="G128" i="3"/>
  <c r="T127" i="3"/>
  <c r="S127" i="3"/>
  <c r="O127" i="3"/>
  <c r="N127" i="3"/>
  <c r="L127" i="3"/>
  <c r="G127" i="3"/>
  <c r="T126" i="3"/>
  <c r="S126" i="3"/>
  <c r="O126" i="3"/>
  <c r="N126" i="3"/>
  <c r="L126" i="3"/>
  <c r="G126" i="3"/>
  <c r="T125" i="3"/>
  <c r="S125" i="3"/>
  <c r="O125" i="3"/>
  <c r="N125" i="3"/>
  <c r="L125" i="3"/>
  <c r="G125" i="3"/>
  <c r="T124" i="3"/>
  <c r="S124" i="3"/>
  <c r="O124" i="3"/>
  <c r="N124" i="3"/>
  <c r="L124" i="3"/>
  <c r="G124" i="3"/>
  <c r="T123" i="3"/>
  <c r="S123" i="3"/>
  <c r="O123" i="3"/>
  <c r="N123" i="3"/>
  <c r="L123" i="3"/>
  <c r="G123" i="3"/>
  <c r="AG122" i="3"/>
  <c r="AE122" i="3"/>
  <c r="U122" i="3"/>
  <c r="T122" i="3"/>
  <c r="S122" i="3"/>
  <c r="O122" i="3"/>
  <c r="N122" i="3"/>
  <c r="L122" i="3"/>
  <c r="G122" i="3"/>
  <c r="AK122" i="3" s="1"/>
  <c r="AG121" i="3"/>
  <c r="AE121" i="3"/>
  <c r="T121" i="3"/>
  <c r="S121" i="3"/>
  <c r="O121" i="3"/>
  <c r="P121" i="3" s="1"/>
  <c r="N121" i="3"/>
  <c r="L121" i="3"/>
  <c r="G121" i="3"/>
  <c r="AG120" i="3"/>
  <c r="AE120" i="3"/>
  <c r="T120" i="3"/>
  <c r="S120" i="3"/>
  <c r="O120" i="3"/>
  <c r="N120" i="3"/>
  <c r="L120" i="3"/>
  <c r="G120" i="3"/>
  <c r="AK120" i="3" s="1"/>
  <c r="AG119" i="3"/>
  <c r="AE119" i="3"/>
  <c r="T119" i="3"/>
  <c r="S119" i="3"/>
  <c r="O119" i="3"/>
  <c r="N119" i="3"/>
  <c r="L119" i="3"/>
  <c r="G119" i="3"/>
  <c r="AK119" i="3" s="1"/>
  <c r="AG118" i="3"/>
  <c r="AE118" i="3"/>
  <c r="T118" i="3"/>
  <c r="S118" i="3"/>
  <c r="O118" i="3"/>
  <c r="N118" i="3"/>
  <c r="P118" i="3" s="1"/>
  <c r="L118" i="3"/>
  <c r="G118" i="3"/>
  <c r="AK118" i="3" s="1"/>
  <c r="AG117" i="3"/>
  <c r="AE117" i="3"/>
  <c r="T117" i="3"/>
  <c r="S117" i="3"/>
  <c r="O117" i="3"/>
  <c r="N117" i="3"/>
  <c r="L117" i="3"/>
  <c r="G117" i="3"/>
  <c r="AK117" i="3" s="1"/>
  <c r="AG116" i="3"/>
  <c r="AE116" i="3"/>
  <c r="T116" i="3"/>
  <c r="S116" i="3"/>
  <c r="O116" i="3"/>
  <c r="N116" i="3"/>
  <c r="P116" i="3" s="1"/>
  <c r="L116" i="3"/>
  <c r="G116" i="3"/>
  <c r="AK116" i="3" s="1"/>
  <c r="AG115" i="3"/>
  <c r="AE115" i="3"/>
  <c r="T115" i="3"/>
  <c r="S115" i="3"/>
  <c r="O115" i="3"/>
  <c r="N115" i="3"/>
  <c r="L115" i="3"/>
  <c r="G115" i="3"/>
  <c r="AK115" i="3" s="1"/>
  <c r="AG114" i="3"/>
  <c r="AE114" i="3"/>
  <c r="T114" i="3"/>
  <c r="S114" i="3"/>
  <c r="O114" i="3"/>
  <c r="N114" i="3"/>
  <c r="P114" i="3" s="1"/>
  <c r="L114" i="3"/>
  <c r="G114" i="3"/>
  <c r="AK114" i="3" s="1"/>
  <c r="AG113" i="3"/>
  <c r="AE113" i="3"/>
  <c r="T113" i="3"/>
  <c r="S113" i="3"/>
  <c r="O113" i="3"/>
  <c r="N113" i="3"/>
  <c r="L113" i="3"/>
  <c r="G113" i="3"/>
  <c r="AK113" i="3" s="1"/>
  <c r="AG112" i="3"/>
  <c r="AE112" i="3"/>
  <c r="T112" i="3"/>
  <c r="S112" i="3"/>
  <c r="O112" i="3"/>
  <c r="N112" i="3"/>
  <c r="P112" i="3" s="1"/>
  <c r="L112" i="3"/>
  <c r="G112" i="3"/>
  <c r="AK112" i="3" s="1"/>
  <c r="AG111" i="3"/>
  <c r="AE111" i="3"/>
  <c r="T111" i="3"/>
  <c r="S111" i="3"/>
  <c r="O111" i="3"/>
  <c r="N111" i="3"/>
  <c r="L111" i="3"/>
  <c r="G111" i="3"/>
  <c r="AK111" i="3" s="1"/>
  <c r="AG110" i="3"/>
  <c r="AE110" i="3"/>
  <c r="T110" i="3"/>
  <c r="S110" i="3"/>
  <c r="O110" i="3"/>
  <c r="N110" i="3"/>
  <c r="P110" i="3" s="1"/>
  <c r="L110" i="3"/>
  <c r="G110" i="3"/>
  <c r="AK110" i="3" s="1"/>
  <c r="AG109" i="3"/>
  <c r="AE109" i="3"/>
  <c r="T109" i="3"/>
  <c r="S109" i="3"/>
  <c r="O109" i="3"/>
  <c r="N109" i="3"/>
  <c r="L109" i="3"/>
  <c r="G109" i="3"/>
  <c r="AK109" i="3" s="1"/>
  <c r="AG108" i="3"/>
  <c r="AE108" i="3"/>
  <c r="T108" i="3"/>
  <c r="S108" i="3"/>
  <c r="O108" i="3"/>
  <c r="N108" i="3"/>
  <c r="P108" i="3" s="1"/>
  <c r="L108" i="3"/>
  <c r="G108" i="3"/>
  <c r="AK108" i="3" s="1"/>
  <c r="AG107" i="3"/>
  <c r="AE107" i="3"/>
  <c r="T107" i="3"/>
  <c r="S107" i="3"/>
  <c r="O107" i="3"/>
  <c r="N107" i="3"/>
  <c r="L107" i="3"/>
  <c r="G107" i="3"/>
  <c r="AK107" i="3" s="1"/>
  <c r="AG106" i="3"/>
  <c r="AE106" i="3"/>
  <c r="T106" i="3"/>
  <c r="S106" i="3"/>
  <c r="O106" i="3"/>
  <c r="N106" i="3"/>
  <c r="P106" i="3" s="1"/>
  <c r="L106" i="3"/>
  <c r="G106" i="3"/>
  <c r="AK106" i="3" s="1"/>
  <c r="AG105" i="3"/>
  <c r="AE105" i="3"/>
  <c r="T105" i="3"/>
  <c r="S105" i="3"/>
  <c r="O105" i="3"/>
  <c r="N105" i="3"/>
  <c r="L105" i="3"/>
  <c r="G105" i="3"/>
  <c r="AK105" i="3" s="1"/>
  <c r="AG104" i="3"/>
  <c r="AE104" i="3"/>
  <c r="T104" i="3"/>
  <c r="S104" i="3"/>
  <c r="O104" i="3"/>
  <c r="N104" i="3"/>
  <c r="P104" i="3" s="1"/>
  <c r="L104" i="3"/>
  <c r="G104" i="3"/>
  <c r="AK104" i="3" s="1"/>
  <c r="AG103" i="3"/>
  <c r="AE103" i="3"/>
  <c r="T103" i="3"/>
  <c r="S103" i="3"/>
  <c r="O103" i="3"/>
  <c r="N103" i="3"/>
  <c r="L103" i="3"/>
  <c r="G103" i="3"/>
  <c r="AK103" i="3" s="1"/>
  <c r="AG102" i="3"/>
  <c r="AE102" i="3"/>
  <c r="T102" i="3"/>
  <c r="S102" i="3"/>
  <c r="O102" i="3"/>
  <c r="N102" i="3"/>
  <c r="L102" i="3"/>
  <c r="G102" i="3"/>
  <c r="AK102" i="3" s="1"/>
  <c r="AG101" i="3"/>
  <c r="AE101" i="3"/>
  <c r="T101" i="3"/>
  <c r="S101" i="3"/>
  <c r="O101" i="3"/>
  <c r="N101" i="3"/>
  <c r="L101" i="3"/>
  <c r="G101" i="3"/>
  <c r="AK101" i="3" s="1"/>
  <c r="AG100" i="3"/>
  <c r="AE100" i="3"/>
  <c r="T100" i="3"/>
  <c r="S100" i="3"/>
  <c r="O100" i="3"/>
  <c r="N100" i="3"/>
  <c r="P100" i="3" s="1"/>
  <c r="L100" i="3"/>
  <c r="G100" i="3"/>
  <c r="AK100" i="3" s="1"/>
  <c r="AG99" i="3"/>
  <c r="AE99" i="3"/>
  <c r="T99" i="3"/>
  <c r="S99" i="3"/>
  <c r="O99" i="3"/>
  <c r="N99" i="3"/>
  <c r="L99" i="3"/>
  <c r="G99" i="3"/>
  <c r="AK99" i="3" s="1"/>
  <c r="AG98" i="3"/>
  <c r="AE98" i="3"/>
  <c r="T98" i="3"/>
  <c r="S98" i="3"/>
  <c r="O98" i="3"/>
  <c r="N98" i="3"/>
  <c r="P98" i="3" s="1"/>
  <c r="L98" i="3"/>
  <c r="G98" i="3"/>
  <c r="AK98" i="3" s="1"/>
  <c r="AG97" i="3"/>
  <c r="AE97" i="3"/>
  <c r="T97" i="3"/>
  <c r="S97" i="3"/>
  <c r="O97" i="3"/>
  <c r="N97" i="3"/>
  <c r="L97" i="3"/>
  <c r="G97" i="3"/>
  <c r="AK97" i="3" s="1"/>
  <c r="AG96" i="3"/>
  <c r="AE96" i="3"/>
  <c r="T96" i="3"/>
  <c r="S96" i="3"/>
  <c r="O96" i="3"/>
  <c r="N96" i="3"/>
  <c r="P96" i="3" s="1"/>
  <c r="L96" i="3"/>
  <c r="G96" i="3"/>
  <c r="AK96" i="3" s="1"/>
  <c r="AG95" i="3"/>
  <c r="AE95" i="3"/>
  <c r="T95" i="3"/>
  <c r="S95" i="3"/>
  <c r="O95" i="3"/>
  <c r="N95" i="3"/>
  <c r="L95" i="3"/>
  <c r="G95" i="3"/>
  <c r="AK95" i="3" s="1"/>
  <c r="AG94" i="3"/>
  <c r="AE94" i="3"/>
  <c r="T94" i="3"/>
  <c r="S94" i="3"/>
  <c r="O94" i="3"/>
  <c r="N94" i="3"/>
  <c r="P94" i="3" s="1"/>
  <c r="L94" i="3"/>
  <c r="G94" i="3"/>
  <c r="AK94" i="3" s="1"/>
  <c r="AG93" i="3"/>
  <c r="AE93" i="3"/>
  <c r="T93" i="3"/>
  <c r="S93" i="3"/>
  <c r="O93" i="3"/>
  <c r="N93" i="3"/>
  <c r="L93" i="3"/>
  <c r="G93" i="3"/>
  <c r="AK93" i="3" s="1"/>
  <c r="AG92" i="3"/>
  <c r="AE92" i="3"/>
  <c r="T92" i="3"/>
  <c r="S92" i="3"/>
  <c r="O92" i="3"/>
  <c r="N92" i="3"/>
  <c r="P92" i="3" s="1"/>
  <c r="L92" i="3"/>
  <c r="G92" i="3"/>
  <c r="AK92" i="3" s="1"/>
  <c r="AG91" i="3"/>
  <c r="AE91" i="3"/>
  <c r="T91" i="3"/>
  <c r="S91" i="3"/>
  <c r="O91" i="3"/>
  <c r="N91" i="3"/>
  <c r="L91" i="3"/>
  <c r="G91" i="3"/>
  <c r="AK91" i="3" s="1"/>
  <c r="AG90" i="3"/>
  <c r="AE90" i="3"/>
  <c r="T90" i="3"/>
  <c r="S90" i="3"/>
  <c r="O90" i="3"/>
  <c r="N90" i="3"/>
  <c r="P90" i="3" s="1"/>
  <c r="L90" i="3"/>
  <c r="G90" i="3"/>
  <c r="AK90" i="3" s="1"/>
  <c r="AG89" i="3"/>
  <c r="AE89" i="3"/>
  <c r="T89" i="3"/>
  <c r="S89" i="3"/>
  <c r="O89" i="3"/>
  <c r="N89" i="3"/>
  <c r="L89" i="3"/>
  <c r="G89" i="3"/>
  <c r="AK89" i="3" s="1"/>
  <c r="AG88" i="3"/>
  <c r="AE88" i="3"/>
  <c r="T88" i="3"/>
  <c r="S88" i="3"/>
  <c r="O88" i="3"/>
  <c r="N88" i="3"/>
  <c r="P88" i="3" s="1"/>
  <c r="L88" i="3"/>
  <c r="G88" i="3"/>
  <c r="AK88" i="3" s="1"/>
  <c r="AG87" i="3"/>
  <c r="AE87" i="3"/>
  <c r="T87" i="3"/>
  <c r="S87" i="3"/>
  <c r="O87" i="3"/>
  <c r="N87" i="3"/>
  <c r="L87" i="3"/>
  <c r="G87" i="3"/>
  <c r="AK87" i="3" s="1"/>
  <c r="AG86" i="3"/>
  <c r="AE86" i="3"/>
  <c r="T86" i="3"/>
  <c r="S86" i="3"/>
  <c r="O86" i="3"/>
  <c r="N86" i="3"/>
  <c r="P86" i="3" s="1"/>
  <c r="L86" i="3"/>
  <c r="G86" i="3"/>
  <c r="AK86" i="3" s="1"/>
  <c r="AG85" i="3"/>
  <c r="AE85" i="3"/>
  <c r="T85" i="3"/>
  <c r="S85" i="3"/>
  <c r="O85" i="3"/>
  <c r="N85" i="3"/>
  <c r="L85" i="3"/>
  <c r="G85" i="3"/>
  <c r="AK85" i="3" s="1"/>
  <c r="AG84" i="3"/>
  <c r="AE84" i="3"/>
  <c r="T84" i="3"/>
  <c r="S84" i="3"/>
  <c r="O84" i="3"/>
  <c r="N84" i="3"/>
  <c r="P84" i="3" s="1"/>
  <c r="L84" i="3"/>
  <c r="G84" i="3"/>
  <c r="AK84" i="3" s="1"/>
  <c r="AG83" i="3"/>
  <c r="AE83" i="3"/>
  <c r="T83" i="3"/>
  <c r="S83" i="3"/>
  <c r="O83" i="3"/>
  <c r="N83" i="3"/>
  <c r="L83" i="3"/>
  <c r="G83" i="3"/>
  <c r="AK83" i="3" s="1"/>
  <c r="AG82" i="3"/>
  <c r="AE82" i="3"/>
  <c r="U82" i="3"/>
  <c r="T82" i="3"/>
  <c r="S82" i="3"/>
  <c r="O82" i="3"/>
  <c r="N82" i="3"/>
  <c r="L82" i="3"/>
  <c r="G82" i="3"/>
  <c r="AK82" i="3" s="1"/>
  <c r="AG81" i="3"/>
  <c r="AE81" i="3"/>
  <c r="T81" i="3"/>
  <c r="S81" i="3"/>
  <c r="O81" i="3"/>
  <c r="N81" i="3"/>
  <c r="P81" i="3" s="1"/>
  <c r="L81" i="3"/>
  <c r="G81" i="3"/>
  <c r="AK81" i="3" s="1"/>
  <c r="AG80" i="3"/>
  <c r="AE80" i="3"/>
  <c r="T80" i="3"/>
  <c r="S80" i="3"/>
  <c r="O80" i="3"/>
  <c r="N80" i="3"/>
  <c r="L80" i="3"/>
  <c r="G80" i="3"/>
  <c r="AK80" i="3" s="1"/>
  <c r="AG79" i="3"/>
  <c r="AE79" i="3"/>
  <c r="T79" i="3"/>
  <c r="S79" i="3"/>
  <c r="O79" i="3"/>
  <c r="N79" i="3"/>
  <c r="P79" i="3" s="1"/>
  <c r="L79" i="3"/>
  <c r="G79" i="3"/>
  <c r="AK79" i="3" s="1"/>
  <c r="AG78" i="3"/>
  <c r="AE78" i="3"/>
  <c r="T78" i="3"/>
  <c r="S78" i="3"/>
  <c r="O78" i="3"/>
  <c r="N78" i="3"/>
  <c r="L78" i="3"/>
  <c r="G78" i="3"/>
  <c r="AK78" i="3" s="1"/>
  <c r="AG77" i="3"/>
  <c r="AE77" i="3"/>
  <c r="T77" i="3"/>
  <c r="S77" i="3"/>
  <c r="O77" i="3"/>
  <c r="N77" i="3"/>
  <c r="P77" i="3" s="1"/>
  <c r="L77" i="3"/>
  <c r="G77" i="3"/>
  <c r="AK77" i="3" s="1"/>
  <c r="AG76" i="3"/>
  <c r="AE76" i="3"/>
  <c r="T76" i="3"/>
  <c r="S76" i="3"/>
  <c r="O76" i="3"/>
  <c r="N76" i="3"/>
  <c r="L76" i="3"/>
  <c r="G76" i="3"/>
  <c r="AK76" i="3" s="1"/>
  <c r="AG75" i="3"/>
  <c r="AE75" i="3"/>
  <c r="T75" i="3"/>
  <c r="S75" i="3"/>
  <c r="O75" i="3"/>
  <c r="N75" i="3"/>
  <c r="P75" i="3" s="1"/>
  <c r="L75" i="3"/>
  <c r="G75" i="3"/>
  <c r="AK75" i="3" s="1"/>
  <c r="AG74" i="3"/>
  <c r="AE74" i="3"/>
  <c r="T74" i="3"/>
  <c r="S74" i="3"/>
  <c r="O74" i="3"/>
  <c r="N74" i="3"/>
  <c r="L74" i="3"/>
  <c r="G74" i="3"/>
  <c r="AK74" i="3" s="1"/>
  <c r="AG73" i="3"/>
  <c r="AE73" i="3"/>
  <c r="T73" i="3"/>
  <c r="S73" i="3"/>
  <c r="O73" i="3"/>
  <c r="N73" i="3"/>
  <c r="P73" i="3" s="1"/>
  <c r="L73" i="3"/>
  <c r="G73" i="3"/>
  <c r="AK73" i="3" s="1"/>
  <c r="AG72" i="3"/>
  <c r="AE72" i="3"/>
  <c r="T72" i="3"/>
  <c r="S72" i="3"/>
  <c r="O72" i="3"/>
  <c r="N72" i="3"/>
  <c r="L72" i="3"/>
  <c r="G72" i="3"/>
  <c r="AK72" i="3" s="1"/>
  <c r="AG71" i="3"/>
  <c r="AE71" i="3"/>
  <c r="T71" i="3"/>
  <c r="S71" i="3"/>
  <c r="O71" i="3"/>
  <c r="N71" i="3"/>
  <c r="L71" i="3"/>
  <c r="G71" i="3"/>
  <c r="AK71" i="3" s="1"/>
  <c r="AG70" i="3"/>
  <c r="AE70" i="3"/>
  <c r="T70" i="3"/>
  <c r="S70" i="3"/>
  <c r="O70" i="3"/>
  <c r="N70" i="3"/>
  <c r="L70" i="3"/>
  <c r="G70" i="3"/>
  <c r="AK70" i="3" s="1"/>
  <c r="AG69" i="3"/>
  <c r="AE69" i="3"/>
  <c r="T69" i="3"/>
  <c r="S69" i="3"/>
  <c r="O69" i="3"/>
  <c r="N69" i="3"/>
  <c r="L69" i="3"/>
  <c r="G69" i="3"/>
  <c r="AK69" i="3" s="1"/>
  <c r="AG68" i="3"/>
  <c r="AE68" i="3"/>
  <c r="T68" i="3"/>
  <c r="S68" i="3"/>
  <c r="O68" i="3"/>
  <c r="N68" i="3"/>
  <c r="L68" i="3"/>
  <c r="G68" i="3"/>
  <c r="AK68" i="3" s="1"/>
  <c r="AG67" i="3"/>
  <c r="AE67" i="3"/>
  <c r="T67" i="3"/>
  <c r="S67" i="3"/>
  <c r="O67" i="3"/>
  <c r="N67" i="3"/>
  <c r="L67" i="3"/>
  <c r="G67" i="3"/>
  <c r="AK67" i="3" s="1"/>
  <c r="AG66" i="3"/>
  <c r="AE66" i="3"/>
  <c r="T66" i="3"/>
  <c r="S66" i="3"/>
  <c r="O66" i="3"/>
  <c r="N66" i="3"/>
  <c r="L66" i="3"/>
  <c r="G66" i="3"/>
  <c r="AK66" i="3" s="1"/>
  <c r="AG65" i="3"/>
  <c r="AE65" i="3"/>
  <c r="T65" i="3"/>
  <c r="S65" i="3"/>
  <c r="O65" i="3"/>
  <c r="N65" i="3"/>
  <c r="L65" i="3"/>
  <c r="G65" i="3"/>
  <c r="AK65" i="3" s="1"/>
  <c r="AG64" i="3"/>
  <c r="AE64" i="3"/>
  <c r="T64" i="3"/>
  <c r="S64" i="3"/>
  <c r="O64" i="3"/>
  <c r="N64" i="3"/>
  <c r="L64" i="3"/>
  <c r="G64" i="3"/>
  <c r="AK64" i="3" s="1"/>
  <c r="AG63" i="3"/>
  <c r="AE63" i="3"/>
  <c r="T63" i="3"/>
  <c r="S63" i="3"/>
  <c r="O63" i="3"/>
  <c r="N63" i="3"/>
  <c r="L63" i="3"/>
  <c r="G63" i="3"/>
  <c r="AK63" i="3" s="1"/>
  <c r="AG62" i="3"/>
  <c r="AE62" i="3"/>
  <c r="U62" i="3"/>
  <c r="T62" i="3"/>
  <c r="S62" i="3"/>
  <c r="O62" i="3"/>
  <c r="N62" i="3"/>
  <c r="L62" i="3"/>
  <c r="G62" i="3"/>
  <c r="AK62" i="3" s="1"/>
  <c r="AG61" i="3"/>
  <c r="AE61" i="3"/>
  <c r="T61" i="3"/>
  <c r="S61" i="3"/>
  <c r="O61" i="3"/>
  <c r="N61" i="3"/>
  <c r="L61" i="3"/>
  <c r="G61" i="3"/>
  <c r="AK61" i="3" s="1"/>
  <c r="AG60" i="3"/>
  <c r="AE60" i="3"/>
  <c r="T60" i="3"/>
  <c r="S60" i="3"/>
  <c r="O60" i="3"/>
  <c r="N60" i="3"/>
  <c r="L60" i="3"/>
  <c r="G60" i="3"/>
  <c r="AK60" i="3" s="1"/>
  <c r="AG59" i="3"/>
  <c r="AE59" i="3"/>
  <c r="T59" i="3"/>
  <c r="S59" i="3"/>
  <c r="O59" i="3"/>
  <c r="N59" i="3"/>
  <c r="L59" i="3"/>
  <c r="G59" i="3"/>
  <c r="AK59" i="3" s="1"/>
  <c r="AG58" i="3"/>
  <c r="AE58" i="3"/>
  <c r="T58" i="3"/>
  <c r="S58" i="3"/>
  <c r="O58" i="3"/>
  <c r="N58" i="3"/>
  <c r="L58" i="3"/>
  <c r="G58" i="3"/>
  <c r="AK58" i="3" s="1"/>
  <c r="AG57" i="3"/>
  <c r="AE57" i="3"/>
  <c r="T57" i="3"/>
  <c r="S57" i="3"/>
  <c r="O57" i="3"/>
  <c r="N57" i="3"/>
  <c r="L57" i="3"/>
  <c r="G57" i="3"/>
  <c r="AK57" i="3" s="1"/>
  <c r="AG56" i="3"/>
  <c r="AE56" i="3"/>
  <c r="T56" i="3"/>
  <c r="S56" i="3"/>
  <c r="O56" i="3"/>
  <c r="N56" i="3"/>
  <c r="L56" i="3"/>
  <c r="G56" i="3"/>
  <c r="AK56" i="3" s="1"/>
  <c r="AG55" i="3"/>
  <c r="AE55" i="3"/>
  <c r="T55" i="3"/>
  <c r="S55" i="3"/>
  <c r="O55" i="3"/>
  <c r="N55" i="3"/>
  <c r="L55" i="3"/>
  <c r="G55" i="3"/>
  <c r="AK55" i="3" s="1"/>
  <c r="AG54" i="3"/>
  <c r="AE54" i="3"/>
  <c r="T54" i="3"/>
  <c r="S54" i="3"/>
  <c r="O54" i="3"/>
  <c r="N54" i="3"/>
  <c r="L54" i="3"/>
  <c r="G54" i="3"/>
  <c r="AK54" i="3" s="1"/>
  <c r="AG53" i="3"/>
  <c r="AE53" i="3"/>
  <c r="T53" i="3"/>
  <c r="S53" i="3"/>
  <c r="O53" i="3"/>
  <c r="N53" i="3"/>
  <c r="L53" i="3"/>
  <c r="G53" i="3"/>
  <c r="AK53" i="3" s="1"/>
  <c r="AG52" i="3"/>
  <c r="AE52" i="3"/>
  <c r="T52" i="3"/>
  <c r="S52" i="3"/>
  <c r="O52" i="3"/>
  <c r="N52" i="3"/>
  <c r="L52" i="3"/>
  <c r="G52" i="3"/>
  <c r="AK52" i="3" s="1"/>
  <c r="AG51" i="3"/>
  <c r="AE51" i="3"/>
  <c r="T51" i="3"/>
  <c r="S51" i="3"/>
  <c r="O51" i="3"/>
  <c r="N51" i="3"/>
  <c r="L51" i="3"/>
  <c r="G51" i="3"/>
  <c r="AK51" i="3" s="1"/>
  <c r="AG50" i="3"/>
  <c r="AE50" i="3"/>
  <c r="U50" i="3"/>
  <c r="T50" i="3"/>
  <c r="S50" i="3"/>
  <c r="O50" i="3"/>
  <c r="N50" i="3"/>
  <c r="L50" i="3"/>
  <c r="G50" i="3"/>
  <c r="AK50" i="3" s="1"/>
  <c r="AG49" i="3"/>
  <c r="AE49" i="3"/>
  <c r="T49" i="3"/>
  <c r="S49" i="3"/>
  <c r="O49" i="3"/>
  <c r="N49" i="3"/>
  <c r="L49" i="3"/>
  <c r="G49" i="3"/>
  <c r="AK49" i="3" s="1"/>
  <c r="AG48" i="3"/>
  <c r="AE48" i="3"/>
  <c r="T48" i="3"/>
  <c r="S48" i="3"/>
  <c r="O48" i="3"/>
  <c r="N48" i="3"/>
  <c r="L48" i="3"/>
  <c r="G48" i="3"/>
  <c r="AK48" i="3" s="1"/>
  <c r="AG47" i="3"/>
  <c r="AE47" i="3"/>
  <c r="T47" i="3"/>
  <c r="S47" i="3"/>
  <c r="O47" i="3"/>
  <c r="N47" i="3"/>
  <c r="L47" i="3"/>
  <c r="G47" i="3"/>
  <c r="AK47" i="3" s="1"/>
  <c r="AG46" i="3"/>
  <c r="AE46" i="3"/>
  <c r="T46" i="3"/>
  <c r="S46" i="3"/>
  <c r="O46" i="3"/>
  <c r="N46" i="3"/>
  <c r="L46" i="3"/>
  <c r="G46" i="3"/>
  <c r="AK46" i="3" s="1"/>
  <c r="AG45" i="3"/>
  <c r="AE45" i="3"/>
  <c r="T45" i="3"/>
  <c r="S45" i="3"/>
  <c r="O45" i="3"/>
  <c r="N45" i="3"/>
  <c r="L45" i="3"/>
  <c r="G45" i="3"/>
  <c r="AK45" i="3" s="1"/>
  <c r="AG44" i="3"/>
  <c r="AE44" i="3"/>
  <c r="T44" i="3"/>
  <c r="S44" i="3"/>
  <c r="O44" i="3"/>
  <c r="N44" i="3"/>
  <c r="L44" i="3"/>
  <c r="G44" i="3"/>
  <c r="AK44" i="3" s="1"/>
  <c r="AG43" i="3"/>
  <c r="AE43" i="3"/>
  <c r="T43" i="3"/>
  <c r="S43" i="3"/>
  <c r="O43" i="3"/>
  <c r="N43" i="3"/>
  <c r="L43" i="3"/>
  <c r="G43" i="3"/>
  <c r="AK43" i="3" s="1"/>
  <c r="AG42" i="3"/>
  <c r="AE42" i="3"/>
  <c r="U42" i="3"/>
  <c r="T42" i="3"/>
  <c r="S42" i="3"/>
  <c r="O42" i="3"/>
  <c r="N42" i="3"/>
  <c r="L42" i="3"/>
  <c r="G42" i="3"/>
  <c r="AK42" i="3" s="1"/>
  <c r="AG41" i="3"/>
  <c r="AE41" i="3"/>
  <c r="T41" i="3"/>
  <c r="S41" i="3"/>
  <c r="O41" i="3"/>
  <c r="N41" i="3"/>
  <c r="L41" i="3"/>
  <c r="G41" i="3"/>
  <c r="AK41" i="3" s="1"/>
  <c r="AG40" i="3"/>
  <c r="AE40" i="3"/>
  <c r="T40" i="3"/>
  <c r="S40" i="3"/>
  <c r="O40" i="3"/>
  <c r="N40" i="3"/>
  <c r="L40" i="3"/>
  <c r="G40" i="3"/>
  <c r="AK40" i="3" s="1"/>
  <c r="AG39" i="3"/>
  <c r="AE39" i="3"/>
  <c r="T39" i="3"/>
  <c r="S39" i="3"/>
  <c r="O39" i="3"/>
  <c r="N39" i="3"/>
  <c r="L39" i="3"/>
  <c r="G39" i="3"/>
  <c r="AK39" i="3" s="1"/>
  <c r="AG38" i="3"/>
  <c r="AE38" i="3"/>
  <c r="U38" i="3"/>
  <c r="T38" i="3"/>
  <c r="S38" i="3"/>
  <c r="O38" i="3"/>
  <c r="N38" i="3"/>
  <c r="L38" i="3"/>
  <c r="G38" i="3"/>
  <c r="AK38" i="3" s="1"/>
  <c r="AG37" i="3"/>
  <c r="AE37" i="3"/>
  <c r="T37" i="3"/>
  <c r="S37" i="3"/>
  <c r="O37" i="3"/>
  <c r="N37" i="3"/>
  <c r="L37" i="3"/>
  <c r="G37" i="3"/>
  <c r="AK37" i="3" s="1"/>
  <c r="AG36" i="3"/>
  <c r="AE36" i="3"/>
  <c r="T36" i="3"/>
  <c r="S36" i="3"/>
  <c r="O36" i="3"/>
  <c r="N36" i="3"/>
  <c r="L36" i="3"/>
  <c r="G36" i="3"/>
  <c r="AK36" i="3" s="1"/>
  <c r="AG35" i="3"/>
  <c r="AE35" i="3"/>
  <c r="T35" i="3"/>
  <c r="S35" i="3"/>
  <c r="O35" i="3"/>
  <c r="N35" i="3"/>
  <c r="L35" i="3"/>
  <c r="G35" i="3"/>
  <c r="AK35" i="3" s="1"/>
  <c r="AG34" i="3"/>
  <c r="AE34" i="3"/>
  <c r="U34" i="3"/>
  <c r="T34" i="3"/>
  <c r="S34" i="3"/>
  <c r="O34" i="3"/>
  <c r="N34" i="3"/>
  <c r="L34" i="3"/>
  <c r="G34" i="3"/>
  <c r="AK34" i="3" s="1"/>
  <c r="AG33" i="3"/>
  <c r="AE33" i="3"/>
  <c r="T33" i="3"/>
  <c r="S33" i="3"/>
  <c r="O33" i="3"/>
  <c r="N33" i="3"/>
  <c r="L33" i="3"/>
  <c r="G33" i="3"/>
  <c r="AK33" i="3" s="1"/>
  <c r="AG32" i="3"/>
  <c r="AE32" i="3"/>
  <c r="T32" i="3"/>
  <c r="S32" i="3"/>
  <c r="O32" i="3"/>
  <c r="N32" i="3"/>
  <c r="L32" i="3"/>
  <c r="G32" i="3"/>
  <c r="AK32" i="3" s="1"/>
  <c r="AG31" i="3"/>
  <c r="AE31" i="3"/>
  <c r="T31" i="3"/>
  <c r="S31" i="3"/>
  <c r="O31" i="3"/>
  <c r="N31" i="3"/>
  <c r="L31" i="3"/>
  <c r="G31" i="3"/>
  <c r="AK31" i="3" s="1"/>
  <c r="AG30" i="3"/>
  <c r="AE30" i="3"/>
  <c r="U30" i="3"/>
  <c r="T30" i="3"/>
  <c r="S30" i="3"/>
  <c r="O30" i="3"/>
  <c r="N30" i="3"/>
  <c r="L30" i="3"/>
  <c r="G30" i="3"/>
  <c r="AK30" i="3" s="1"/>
  <c r="AG29" i="3"/>
  <c r="AE29" i="3"/>
  <c r="T29" i="3"/>
  <c r="S29" i="3"/>
  <c r="O29" i="3"/>
  <c r="N29" i="3"/>
  <c r="L29" i="3"/>
  <c r="G29" i="3"/>
  <c r="AK29" i="3" s="1"/>
  <c r="AG28" i="3"/>
  <c r="AE28" i="3"/>
  <c r="T28" i="3"/>
  <c r="S28" i="3"/>
  <c r="O28" i="3"/>
  <c r="N28" i="3"/>
  <c r="L28" i="3"/>
  <c r="G28" i="3"/>
  <c r="AK28" i="3" s="1"/>
  <c r="AG27" i="3"/>
  <c r="AE27" i="3"/>
  <c r="T27" i="3"/>
  <c r="S27" i="3"/>
  <c r="O27" i="3"/>
  <c r="N27" i="3"/>
  <c r="L27" i="3"/>
  <c r="G27" i="3"/>
  <c r="AK27" i="3" s="1"/>
  <c r="AG26" i="3"/>
  <c r="AE26" i="3"/>
  <c r="U26" i="3"/>
  <c r="T26" i="3"/>
  <c r="S26" i="3"/>
  <c r="O26" i="3"/>
  <c r="N26" i="3"/>
  <c r="L26" i="3"/>
  <c r="G26" i="3"/>
  <c r="AK26" i="3" s="1"/>
  <c r="AG25" i="3"/>
  <c r="AE25" i="3"/>
  <c r="T25" i="3"/>
  <c r="S25" i="3"/>
  <c r="O25" i="3"/>
  <c r="N25" i="3"/>
  <c r="L25" i="3"/>
  <c r="G25" i="3"/>
  <c r="AK25" i="3" s="1"/>
  <c r="AG24" i="3"/>
  <c r="AE24" i="3"/>
  <c r="T24" i="3"/>
  <c r="S24" i="3"/>
  <c r="O24" i="3"/>
  <c r="P24" i="3" s="1"/>
  <c r="X24" i="3" s="1"/>
  <c r="N24" i="3"/>
  <c r="L24" i="3"/>
  <c r="G24" i="3"/>
  <c r="AK24" i="3" s="1"/>
  <c r="CB23" i="3"/>
  <c r="BX23" i="3"/>
  <c r="AG23" i="3"/>
  <c r="AE23" i="3"/>
  <c r="T23" i="3"/>
  <c r="S23" i="3"/>
  <c r="O23" i="3"/>
  <c r="N23" i="3"/>
  <c r="L23" i="3"/>
  <c r="G23" i="3"/>
  <c r="AK23" i="3" s="1"/>
  <c r="CB22" i="3"/>
  <c r="BX22" i="3"/>
  <c r="AG22" i="3"/>
  <c r="AE22" i="3"/>
  <c r="U22" i="3"/>
  <c r="T22" i="3"/>
  <c r="S22" i="3"/>
  <c r="O22" i="3"/>
  <c r="N22" i="3"/>
  <c r="P22" i="3" s="1"/>
  <c r="L22" i="3"/>
  <c r="G22" i="3"/>
  <c r="AK22" i="3" s="1"/>
  <c r="CB21" i="3"/>
  <c r="BX21" i="3"/>
  <c r="AG21" i="3"/>
  <c r="AE21" i="3"/>
  <c r="T21" i="3"/>
  <c r="S21" i="3"/>
  <c r="O21" i="3"/>
  <c r="P21" i="3" s="1"/>
  <c r="N21" i="3"/>
  <c r="L21" i="3"/>
  <c r="G21" i="3"/>
  <c r="AK21" i="3" s="1"/>
  <c r="CB20" i="3"/>
  <c r="BX20" i="3"/>
  <c r="BT20" i="3"/>
  <c r="BQ20" i="3"/>
  <c r="BP20" i="3"/>
  <c r="BO20" i="3"/>
  <c r="BN20" i="3"/>
  <c r="BM20" i="3"/>
  <c r="AG20" i="3"/>
  <c r="AE20" i="3"/>
  <c r="T20" i="3"/>
  <c r="S20" i="3"/>
  <c r="O20" i="3"/>
  <c r="N20" i="3"/>
  <c r="P20" i="3" s="1"/>
  <c r="L20" i="3"/>
  <c r="G20" i="3"/>
  <c r="AK20" i="3" s="1"/>
  <c r="CB19" i="3"/>
  <c r="BX19" i="3"/>
  <c r="BT19" i="3"/>
  <c r="BQ19" i="3"/>
  <c r="BP19" i="3"/>
  <c r="BO19" i="3"/>
  <c r="BN19" i="3"/>
  <c r="BM19" i="3"/>
  <c r="AG19" i="3"/>
  <c r="AE19" i="3"/>
  <c r="T19" i="3"/>
  <c r="S19" i="3"/>
  <c r="O19" i="3"/>
  <c r="P19" i="3" s="1"/>
  <c r="N19" i="3"/>
  <c r="L19" i="3"/>
  <c r="G19" i="3"/>
  <c r="AK19" i="3" s="1"/>
  <c r="CB18" i="3"/>
  <c r="BX18" i="3"/>
  <c r="BT18" i="3"/>
  <c r="BQ18" i="3"/>
  <c r="BP18" i="3"/>
  <c r="BO18" i="3"/>
  <c r="BN18" i="3"/>
  <c r="BM18" i="3"/>
  <c r="AG18" i="3"/>
  <c r="AE18" i="3"/>
  <c r="U18" i="3"/>
  <c r="T18" i="3"/>
  <c r="S18" i="3"/>
  <c r="O18" i="3"/>
  <c r="N18" i="3"/>
  <c r="L18" i="3"/>
  <c r="G18" i="3"/>
  <c r="AK18" i="3" s="1"/>
  <c r="CB17" i="3"/>
  <c r="BX17" i="3"/>
  <c r="BT17" i="3"/>
  <c r="BQ17" i="3"/>
  <c r="BP17" i="3"/>
  <c r="BO17" i="3"/>
  <c r="BN17" i="3"/>
  <c r="BM17" i="3"/>
  <c r="AG17" i="3"/>
  <c r="AE17" i="3"/>
  <c r="T17" i="3"/>
  <c r="S17" i="3"/>
  <c r="O17" i="3"/>
  <c r="N17" i="3"/>
  <c r="L17" i="3"/>
  <c r="G17" i="3"/>
  <c r="AK17" i="3" s="1"/>
  <c r="CB16" i="3"/>
  <c r="BX16" i="3"/>
  <c r="BT16" i="3"/>
  <c r="BQ16" i="3"/>
  <c r="BP16" i="3"/>
  <c r="BO16" i="3"/>
  <c r="BN16" i="3"/>
  <c r="BM16" i="3"/>
  <c r="AR17" i="3"/>
  <c r="AQ17" i="3"/>
  <c r="AP17" i="3"/>
  <c r="BC17" i="3" s="1"/>
  <c r="AG16" i="3"/>
  <c r="AE16" i="3"/>
  <c r="T16" i="3"/>
  <c r="S16" i="3"/>
  <c r="O16" i="3"/>
  <c r="N16" i="3"/>
  <c r="P16" i="3" s="1"/>
  <c r="L16" i="3"/>
  <c r="G16" i="3"/>
  <c r="AK16" i="3" s="1"/>
  <c r="CB15" i="3"/>
  <c r="BX15" i="3"/>
  <c r="BT15" i="3"/>
  <c r="BQ15" i="3"/>
  <c r="BP15" i="3"/>
  <c r="BO15" i="3"/>
  <c r="BN15" i="3"/>
  <c r="BM15" i="3"/>
  <c r="AR16" i="3"/>
  <c r="AQ16" i="3"/>
  <c r="AP16" i="3"/>
  <c r="BC16" i="3" s="1"/>
  <c r="AG15" i="3"/>
  <c r="AE15" i="3"/>
  <c r="T15" i="3"/>
  <c r="S15" i="3"/>
  <c r="O15" i="3"/>
  <c r="N15" i="3"/>
  <c r="P15" i="3" s="1"/>
  <c r="L15" i="3"/>
  <c r="G15" i="3"/>
  <c r="AK15" i="3" s="1"/>
  <c r="CB14" i="3"/>
  <c r="BX14" i="3"/>
  <c r="BT14" i="3"/>
  <c r="BQ14" i="3"/>
  <c r="BP14" i="3"/>
  <c r="BO14" i="3"/>
  <c r="BN14" i="3"/>
  <c r="BM14" i="3"/>
  <c r="AR15" i="3"/>
  <c r="AQ15" i="3"/>
  <c r="AP15" i="3"/>
  <c r="BC15" i="3" s="1"/>
  <c r="AG14" i="3"/>
  <c r="AE14" i="3"/>
  <c r="U14" i="3"/>
  <c r="T14" i="3"/>
  <c r="S14" i="3"/>
  <c r="O14" i="3"/>
  <c r="N14" i="3"/>
  <c r="L14" i="3"/>
  <c r="G14" i="3"/>
  <c r="AK14" i="3" s="1"/>
  <c r="CB13" i="3"/>
  <c r="BX13" i="3"/>
  <c r="BT13" i="3"/>
  <c r="BQ13" i="3"/>
  <c r="BP13" i="3"/>
  <c r="BO13" i="3"/>
  <c r="BN13" i="3"/>
  <c r="BM13" i="3"/>
  <c r="AR13" i="3"/>
  <c r="AQ13" i="3"/>
  <c r="AP13" i="3"/>
  <c r="BC13" i="3" s="1"/>
  <c r="AG13" i="3"/>
  <c r="AE13" i="3"/>
  <c r="T13" i="3"/>
  <c r="S13" i="3"/>
  <c r="O13" i="3"/>
  <c r="N13" i="3"/>
  <c r="L13" i="3"/>
  <c r="G13" i="3"/>
  <c r="AK13" i="3" s="1"/>
  <c r="CB12" i="3"/>
  <c r="BX12" i="3"/>
  <c r="BT12" i="3"/>
  <c r="BQ12" i="3"/>
  <c r="BP12" i="3"/>
  <c r="BO12" i="3"/>
  <c r="BN12" i="3"/>
  <c r="BM12" i="3"/>
  <c r="BC12" i="3"/>
  <c r="AR12" i="3"/>
  <c r="AQ12" i="3"/>
  <c r="AP12" i="3"/>
  <c r="AG12" i="3"/>
  <c r="AE12" i="3"/>
  <c r="T12" i="3"/>
  <c r="S12" i="3"/>
  <c r="O12" i="3"/>
  <c r="N12" i="3"/>
  <c r="P12" i="3" s="1"/>
  <c r="L12" i="3"/>
  <c r="G12" i="3"/>
  <c r="AK12" i="3" s="1"/>
  <c r="CB11" i="3"/>
  <c r="BX11" i="3"/>
  <c r="BT11" i="3"/>
  <c r="BQ11" i="3"/>
  <c r="BP11" i="3"/>
  <c r="BO11" i="3"/>
  <c r="BN11" i="3"/>
  <c r="BM11" i="3"/>
  <c r="AR11" i="3"/>
  <c r="AQ11" i="3"/>
  <c r="AP11" i="3"/>
  <c r="BC11" i="3" s="1"/>
  <c r="AG11" i="3"/>
  <c r="AE11" i="3"/>
  <c r="T11" i="3"/>
  <c r="S11" i="3"/>
  <c r="O11" i="3"/>
  <c r="N11" i="3"/>
  <c r="L11" i="3"/>
  <c r="G11" i="3"/>
  <c r="AK11" i="3" s="1"/>
  <c r="CB10" i="3"/>
  <c r="BX10" i="3"/>
  <c r="BT10" i="3"/>
  <c r="BQ10" i="3"/>
  <c r="BP10" i="3"/>
  <c r="BO10" i="3"/>
  <c r="BN10" i="3"/>
  <c r="BM10" i="3"/>
  <c r="AR10" i="3"/>
  <c r="AQ10" i="3"/>
  <c r="AP10" i="3"/>
  <c r="BC10" i="3" s="1"/>
  <c r="AG10" i="3"/>
  <c r="AE10" i="3"/>
  <c r="U10" i="3"/>
  <c r="T10" i="3"/>
  <c r="S10" i="3"/>
  <c r="O10" i="3"/>
  <c r="N10" i="3"/>
  <c r="L10" i="3"/>
  <c r="G10" i="3"/>
  <c r="AK10" i="3" s="1"/>
  <c r="CB9" i="3"/>
  <c r="BX9" i="3"/>
  <c r="BT9" i="3"/>
  <c r="BQ9" i="3"/>
  <c r="BP9" i="3"/>
  <c r="BO9" i="3"/>
  <c r="BN9" i="3"/>
  <c r="BM9" i="3"/>
  <c r="AR9" i="3"/>
  <c r="AQ9" i="3"/>
  <c r="AP9" i="3"/>
  <c r="BC9" i="3" s="1"/>
  <c r="AG9" i="3"/>
  <c r="AE9" i="3"/>
  <c r="T9" i="3"/>
  <c r="S9" i="3"/>
  <c r="O9" i="3"/>
  <c r="N9" i="3"/>
  <c r="L9" i="3"/>
  <c r="G9" i="3"/>
  <c r="AK9" i="3" s="1"/>
  <c r="CB8" i="3"/>
  <c r="BX8" i="3"/>
  <c r="BT8" i="3"/>
  <c r="BQ8" i="3"/>
  <c r="BP8" i="3"/>
  <c r="BO8" i="3"/>
  <c r="BN8" i="3"/>
  <c r="BM8" i="3"/>
  <c r="AR8" i="3"/>
  <c r="AQ8" i="3"/>
  <c r="AP8" i="3"/>
  <c r="BC8" i="3" s="1"/>
  <c r="AG8" i="3"/>
  <c r="AE8" i="3"/>
  <c r="T8" i="3"/>
  <c r="S8" i="3"/>
  <c r="O8" i="3"/>
  <c r="N8" i="3"/>
  <c r="L8" i="3"/>
  <c r="G8" i="3"/>
  <c r="AK8" i="3" s="1"/>
  <c r="CB7" i="3"/>
  <c r="BX7" i="3"/>
  <c r="BT7" i="3"/>
  <c r="BQ7" i="3"/>
  <c r="BP7" i="3"/>
  <c r="BO7" i="3"/>
  <c r="BN7" i="3"/>
  <c r="BM7" i="3"/>
  <c r="BC7" i="3"/>
  <c r="AR7" i="3"/>
  <c r="AQ7" i="3"/>
  <c r="AP7" i="3"/>
  <c r="AG7" i="3"/>
  <c r="AE7" i="3"/>
  <c r="T7" i="3"/>
  <c r="S7" i="3"/>
  <c r="O7" i="3"/>
  <c r="N7" i="3"/>
  <c r="P7" i="3" s="1"/>
  <c r="L7" i="3"/>
  <c r="G7" i="3"/>
  <c r="AK7" i="3" s="1"/>
  <c r="CB6" i="3"/>
  <c r="BX6" i="3"/>
  <c r="BT6" i="3"/>
  <c r="BQ6" i="3"/>
  <c r="BP6" i="3"/>
  <c r="BO6" i="3"/>
  <c r="BN6" i="3"/>
  <c r="BM6" i="3"/>
  <c r="AR6" i="3"/>
  <c r="AQ6" i="3"/>
  <c r="AP6" i="3"/>
  <c r="BC6" i="3" s="1"/>
  <c r="AG6" i="3"/>
  <c r="AE6" i="3"/>
  <c r="T6" i="3"/>
  <c r="S6" i="3"/>
  <c r="O6" i="3"/>
  <c r="N6" i="3"/>
  <c r="L6" i="3"/>
  <c r="G6" i="3"/>
  <c r="AK6" i="3" s="1"/>
  <c r="CB5" i="3"/>
  <c r="BX5" i="3"/>
  <c r="BT5" i="3"/>
  <c r="BQ5" i="3"/>
  <c r="BP5" i="3"/>
  <c r="BO5" i="3"/>
  <c r="BN5" i="3"/>
  <c r="BM5" i="3"/>
  <c r="AR5" i="3"/>
  <c r="AQ5" i="3"/>
  <c r="AP5" i="3"/>
  <c r="BC5" i="3" s="1"/>
  <c r="AG5" i="3"/>
  <c r="AE5" i="3"/>
  <c r="T5" i="3"/>
  <c r="S5" i="3"/>
  <c r="O5" i="3"/>
  <c r="N5" i="3"/>
  <c r="L5" i="3"/>
  <c r="G5" i="3"/>
  <c r="AK5" i="3" s="1"/>
  <c r="CB4" i="3"/>
  <c r="BX4" i="3"/>
  <c r="BT4" i="3"/>
  <c r="BQ4" i="3"/>
  <c r="BP4" i="3"/>
  <c r="BO4" i="3"/>
  <c r="BN4" i="3"/>
  <c r="BM4" i="3"/>
  <c r="AR4" i="3"/>
  <c r="AQ4" i="3"/>
  <c r="AP4" i="3"/>
  <c r="BC4" i="3" s="1"/>
  <c r="AG4" i="3"/>
  <c r="AE4" i="3"/>
  <c r="T4" i="3"/>
  <c r="S4" i="3"/>
  <c r="O4" i="3"/>
  <c r="N4" i="3"/>
  <c r="L4" i="3"/>
  <c r="G4" i="3"/>
  <c r="AK4" i="3" s="1"/>
  <c r="CB3" i="3"/>
  <c r="BX3" i="3"/>
  <c r="BT3" i="3"/>
  <c r="BQ3" i="3"/>
  <c r="BP3" i="3"/>
  <c r="BO3" i="3"/>
  <c r="BN3" i="3"/>
  <c r="BM3" i="3"/>
  <c r="BC3" i="3"/>
  <c r="AR3" i="3"/>
  <c r="AQ3" i="3"/>
  <c r="AP3" i="3"/>
  <c r="AG3" i="3"/>
  <c r="AE3" i="3"/>
  <c r="T3" i="3"/>
  <c r="S3" i="3"/>
  <c r="O3" i="3"/>
  <c r="L3" i="3"/>
  <c r="G3" i="3"/>
  <c r="AK3" i="3" s="1"/>
  <c r="CB2" i="3"/>
  <c r="BX2" i="3"/>
  <c r="BT2" i="3"/>
  <c r="BQ2" i="3"/>
  <c r="BP2" i="3"/>
  <c r="BO2" i="3"/>
  <c r="BN2" i="3"/>
  <c r="BM2" i="3"/>
  <c r="AR2" i="3"/>
  <c r="AQ2" i="3"/>
  <c r="AP2" i="3"/>
  <c r="BC2" i="3" s="1"/>
  <c r="AG2" i="3"/>
  <c r="Z2" i="3"/>
  <c r="U2" i="3"/>
  <c r="M2" i="3"/>
  <c r="N3" i="3" s="1"/>
  <c r="P3" i="3" s="1"/>
  <c r="J2" i="3"/>
  <c r="AL2" i="3" s="1"/>
  <c r="G2" i="3"/>
  <c r="P102" i="3" l="1"/>
  <c r="CC33" i="3"/>
  <c r="CD33" i="3" s="1"/>
  <c r="CC29" i="3"/>
  <c r="CD29" i="3" s="1"/>
  <c r="CC25" i="3"/>
  <c r="CD25" i="3" s="1"/>
  <c r="W2" i="3"/>
  <c r="V3" i="3" s="1"/>
  <c r="BS19" i="3"/>
  <c r="BU19" i="3" s="1"/>
  <c r="BY25" i="3"/>
  <c r="BY27" i="3"/>
  <c r="CC27" i="3" s="1"/>
  <c r="CD27" i="3" s="1"/>
  <c r="BY29" i="3"/>
  <c r="BY31" i="3"/>
  <c r="CC31" i="3" s="1"/>
  <c r="CD31" i="3" s="1"/>
  <c r="BY33" i="3"/>
  <c r="BY35" i="3"/>
  <c r="CC35" i="3" s="1"/>
  <c r="CD35" i="3" s="1"/>
  <c r="BR4" i="3"/>
  <c r="P5" i="3"/>
  <c r="X5" i="3" s="1"/>
  <c r="BR8" i="3"/>
  <c r="P9" i="3"/>
  <c r="X9" i="3" s="1"/>
  <c r="BR13" i="3"/>
  <c r="P14" i="3"/>
  <c r="R14" i="3" s="1"/>
  <c r="BY36" i="3"/>
  <c r="BY34" i="3"/>
  <c r="CC34" i="3" s="1"/>
  <c r="CD34" i="3" s="1"/>
  <c r="BY32" i="3"/>
  <c r="BY30" i="3"/>
  <c r="CC30" i="3" s="1"/>
  <c r="CD30" i="3" s="1"/>
  <c r="BY28" i="3"/>
  <c r="BY26" i="3"/>
  <c r="CC26" i="3" s="1"/>
  <c r="CD26" i="3" s="1"/>
  <c r="BY24" i="3"/>
  <c r="P25" i="3"/>
  <c r="R25" i="3" s="1"/>
  <c r="P26" i="3"/>
  <c r="X26" i="3" s="1"/>
  <c r="P31" i="3"/>
  <c r="R31" i="3" s="1"/>
  <c r="P32" i="3"/>
  <c r="X32" i="3" s="1"/>
  <c r="P33" i="3"/>
  <c r="R33" i="3" s="1"/>
  <c r="P34" i="3"/>
  <c r="X34" i="3" s="1"/>
  <c r="P37" i="3"/>
  <c r="X37" i="3" s="1"/>
  <c r="P40" i="3"/>
  <c r="P42" i="3"/>
  <c r="R42" i="3" s="1"/>
  <c r="P43" i="3"/>
  <c r="P45" i="3"/>
  <c r="X45" i="3" s="1"/>
  <c r="P47" i="3"/>
  <c r="P49" i="3"/>
  <c r="X49" i="3" s="1"/>
  <c r="P52" i="3"/>
  <c r="P54" i="3"/>
  <c r="X54" i="3" s="1"/>
  <c r="P56" i="3"/>
  <c r="P58" i="3"/>
  <c r="X58" i="3" s="1"/>
  <c r="P60" i="3"/>
  <c r="P62" i="3"/>
  <c r="R62" i="3" s="1"/>
  <c r="P63" i="3"/>
  <c r="P65" i="3"/>
  <c r="X65" i="3" s="1"/>
  <c r="P67" i="3"/>
  <c r="P68" i="3"/>
  <c r="X68" i="3" s="1"/>
  <c r="P70" i="3"/>
  <c r="P122" i="3"/>
  <c r="X122" i="3" s="1"/>
  <c r="P124" i="3"/>
  <c r="P126" i="3"/>
  <c r="X126" i="3" s="1"/>
  <c r="P128" i="3"/>
  <c r="P130" i="3"/>
  <c r="X130" i="3" s="1"/>
  <c r="P132" i="3"/>
  <c r="P134" i="3"/>
  <c r="X134" i="3" s="1"/>
  <c r="P136" i="3"/>
  <c r="P138" i="3"/>
  <c r="X138" i="3" s="1"/>
  <c r="P140" i="3"/>
  <c r="P142" i="3"/>
  <c r="X142" i="3" s="1"/>
  <c r="P144" i="3"/>
  <c r="P146" i="3"/>
  <c r="X146" i="3" s="1"/>
  <c r="P148" i="3"/>
  <c r="P150" i="3"/>
  <c r="X150" i="3" s="1"/>
  <c r="P152" i="3"/>
  <c r="P154" i="3"/>
  <c r="X154" i="3" s="1"/>
  <c r="P156" i="3"/>
  <c r="P158" i="3"/>
  <c r="X158" i="3" s="1"/>
  <c r="P160" i="3"/>
  <c r="P162" i="3"/>
  <c r="R162" i="3" s="1"/>
  <c r="P182" i="3"/>
  <c r="R182" i="3" s="1"/>
  <c r="P183" i="3"/>
  <c r="R183" i="3" s="1"/>
  <c r="P184" i="3"/>
  <c r="R184" i="3" s="1"/>
  <c r="P185" i="3"/>
  <c r="R185" i="3" s="1"/>
  <c r="P186" i="3"/>
  <c r="R186" i="3" s="1"/>
  <c r="P187" i="3"/>
  <c r="R187" i="3" s="1"/>
  <c r="P188" i="3"/>
  <c r="R188" i="3" s="1"/>
  <c r="P189" i="3"/>
  <c r="R189" i="3" s="1"/>
  <c r="P190" i="3"/>
  <c r="R190" i="3" s="1"/>
  <c r="P191" i="3"/>
  <c r="R191" i="3" s="1"/>
  <c r="P192" i="3"/>
  <c r="R192" i="3" s="1"/>
  <c r="P193" i="3"/>
  <c r="R193" i="3" s="1"/>
  <c r="P194" i="3"/>
  <c r="R194" i="3" s="1"/>
  <c r="P195" i="3"/>
  <c r="R195" i="3" s="1"/>
  <c r="P196" i="3"/>
  <c r="R196" i="3" s="1"/>
  <c r="P197" i="3"/>
  <c r="R197" i="3" s="1"/>
  <c r="P198" i="3"/>
  <c r="R198" i="3" s="1"/>
  <c r="P199" i="3"/>
  <c r="R199" i="3" s="1"/>
  <c r="P200" i="3"/>
  <c r="R200" i="3" s="1"/>
  <c r="P201" i="3"/>
  <c r="R201" i="3" s="1"/>
  <c r="P202" i="3"/>
  <c r="CC36" i="3"/>
  <c r="CD36" i="3" s="1"/>
  <c r="CC32" i="3"/>
  <c r="CD32" i="3" s="1"/>
  <c r="CC28" i="3"/>
  <c r="CD28" i="3" s="1"/>
  <c r="CC24" i="3"/>
  <c r="CD24" i="3" s="1"/>
  <c r="BR6" i="3"/>
  <c r="BR11" i="3"/>
  <c r="BR14" i="3"/>
  <c r="BR15" i="3"/>
  <c r="BZ15" i="3" s="1"/>
  <c r="BR18" i="3"/>
  <c r="BR19" i="3"/>
  <c r="BZ19" i="3" s="1"/>
  <c r="BR20" i="3"/>
  <c r="BZ20" i="3" s="1"/>
  <c r="BS4" i="3"/>
  <c r="BU4" i="3" s="1"/>
  <c r="BS6" i="3"/>
  <c r="BU6" i="3" s="1"/>
  <c r="BS8" i="3"/>
  <c r="BU8" i="3" s="1"/>
  <c r="R122" i="3"/>
  <c r="R126" i="3"/>
  <c r="R130" i="3"/>
  <c r="R134" i="3"/>
  <c r="R138" i="3"/>
  <c r="R142" i="3"/>
  <c r="R146" i="3"/>
  <c r="R150" i="3"/>
  <c r="R154" i="3"/>
  <c r="R158" i="3"/>
  <c r="BR2" i="3"/>
  <c r="BZ2" i="3" s="1"/>
  <c r="BY2" i="3"/>
  <c r="BS3" i="3"/>
  <c r="BU3" i="3" s="1"/>
  <c r="BR3" i="3"/>
  <c r="BZ3" i="3" s="1"/>
  <c r="P4" i="3"/>
  <c r="BS5" i="3"/>
  <c r="BU5" i="3" s="1"/>
  <c r="BR5" i="3"/>
  <c r="BZ5" i="3" s="1"/>
  <c r="P6" i="3"/>
  <c r="R6" i="3" s="1"/>
  <c r="BS7" i="3"/>
  <c r="BU7" i="3" s="1"/>
  <c r="BR7" i="3"/>
  <c r="BZ7" i="3" s="1"/>
  <c r="P8" i="3"/>
  <c r="BR9" i="3"/>
  <c r="BZ9" i="3" s="1"/>
  <c r="P10" i="3"/>
  <c r="BR10" i="3"/>
  <c r="BZ10" i="3" s="1"/>
  <c r="P11" i="3"/>
  <c r="BR12" i="3"/>
  <c r="P13" i="3"/>
  <c r="BR16" i="3"/>
  <c r="BZ16" i="3" s="1"/>
  <c r="P17" i="3"/>
  <c r="BR17" i="3"/>
  <c r="BZ17" i="3" s="1"/>
  <c r="P18" i="3"/>
  <c r="P23" i="3"/>
  <c r="R23" i="3" s="1"/>
  <c r="P27" i="3"/>
  <c r="P28" i="3"/>
  <c r="X28" i="3" s="1"/>
  <c r="P29" i="3"/>
  <c r="P30" i="3"/>
  <c r="X30" i="3" s="1"/>
  <c r="P35" i="3"/>
  <c r="P36" i="3"/>
  <c r="X36" i="3" s="1"/>
  <c r="P38" i="3"/>
  <c r="P39" i="3"/>
  <c r="X39" i="3" s="1"/>
  <c r="P41" i="3"/>
  <c r="P44" i="3"/>
  <c r="X44" i="3" s="1"/>
  <c r="P46" i="3"/>
  <c r="P48" i="3"/>
  <c r="X48" i="3" s="1"/>
  <c r="P50" i="3"/>
  <c r="P51" i="3"/>
  <c r="X51" i="3" s="1"/>
  <c r="P53" i="3"/>
  <c r="P55" i="3"/>
  <c r="X55" i="3" s="1"/>
  <c r="P57" i="3"/>
  <c r="P59" i="3"/>
  <c r="X59" i="3" s="1"/>
  <c r="P61" i="3"/>
  <c r="P64" i="3"/>
  <c r="X64" i="3" s="1"/>
  <c r="P66" i="3"/>
  <c r="P69" i="3"/>
  <c r="X69" i="3" s="1"/>
  <c r="P71" i="3"/>
  <c r="X121" i="3"/>
  <c r="R121" i="3"/>
  <c r="X124" i="3"/>
  <c r="R124" i="3"/>
  <c r="X128" i="3"/>
  <c r="R128" i="3"/>
  <c r="X132" i="3"/>
  <c r="R132" i="3"/>
  <c r="X136" i="3"/>
  <c r="R136" i="3"/>
  <c r="X140" i="3"/>
  <c r="R140" i="3"/>
  <c r="X144" i="3"/>
  <c r="R144" i="3"/>
  <c r="X148" i="3"/>
  <c r="R148" i="3"/>
  <c r="X152" i="3"/>
  <c r="R152" i="3"/>
  <c r="X156" i="3"/>
  <c r="R156" i="3"/>
  <c r="X160" i="3"/>
  <c r="R160" i="3"/>
  <c r="P72" i="3"/>
  <c r="X72" i="3" s="1"/>
  <c r="P74" i="3"/>
  <c r="P76" i="3"/>
  <c r="X76" i="3" s="1"/>
  <c r="P78" i="3"/>
  <c r="P80" i="3"/>
  <c r="X80" i="3" s="1"/>
  <c r="P82" i="3"/>
  <c r="P83" i="3"/>
  <c r="X83" i="3" s="1"/>
  <c r="P85" i="3"/>
  <c r="P87" i="3"/>
  <c r="X87" i="3" s="1"/>
  <c r="P89" i="3"/>
  <c r="P91" i="3"/>
  <c r="X91" i="3" s="1"/>
  <c r="P93" i="3"/>
  <c r="P95" i="3"/>
  <c r="X95" i="3" s="1"/>
  <c r="P97" i="3"/>
  <c r="P99" i="3"/>
  <c r="X99" i="3" s="1"/>
  <c r="P101" i="3"/>
  <c r="X101" i="3" s="1"/>
  <c r="P103" i="3"/>
  <c r="X103" i="3" s="1"/>
  <c r="P105" i="3"/>
  <c r="P107" i="3"/>
  <c r="X107" i="3" s="1"/>
  <c r="P109" i="3"/>
  <c r="P111" i="3"/>
  <c r="X111" i="3" s="1"/>
  <c r="P113" i="3"/>
  <c r="P115" i="3"/>
  <c r="X115" i="3" s="1"/>
  <c r="P117" i="3"/>
  <c r="P119" i="3"/>
  <c r="X119" i="3" s="1"/>
  <c r="P123" i="3"/>
  <c r="P125" i="3"/>
  <c r="P127" i="3"/>
  <c r="P129" i="3"/>
  <c r="P131" i="3"/>
  <c r="P133" i="3"/>
  <c r="P135" i="3"/>
  <c r="P137" i="3"/>
  <c r="P139" i="3"/>
  <c r="P141" i="3"/>
  <c r="P143" i="3"/>
  <c r="P145" i="3"/>
  <c r="P147" i="3"/>
  <c r="P149" i="3"/>
  <c r="P151" i="3"/>
  <c r="P153" i="3"/>
  <c r="P155" i="3"/>
  <c r="P157" i="3"/>
  <c r="P159" i="3"/>
  <c r="P161" i="3"/>
  <c r="P163" i="3"/>
  <c r="P164" i="3"/>
  <c r="R164" i="3" s="1"/>
  <c r="P165" i="3"/>
  <c r="P166" i="3"/>
  <c r="R166" i="3" s="1"/>
  <c r="P167" i="3"/>
  <c r="P168" i="3"/>
  <c r="R168" i="3" s="1"/>
  <c r="P169" i="3"/>
  <c r="P170" i="3"/>
  <c r="R170" i="3" s="1"/>
  <c r="P171" i="3"/>
  <c r="P172" i="3"/>
  <c r="R172" i="3" s="1"/>
  <c r="P173" i="3"/>
  <c r="P174" i="3"/>
  <c r="R174" i="3" s="1"/>
  <c r="P175" i="3"/>
  <c r="P176" i="3"/>
  <c r="R176" i="3" s="1"/>
  <c r="P177" i="3"/>
  <c r="P178" i="3"/>
  <c r="R178" i="3" s="1"/>
  <c r="P179" i="3"/>
  <c r="P180" i="3"/>
  <c r="R180" i="3" s="1"/>
  <c r="P181" i="3"/>
  <c r="AI5" i="3"/>
  <c r="AI7" i="3"/>
  <c r="AI9" i="3"/>
  <c r="AI12" i="3"/>
  <c r="AH14" i="3"/>
  <c r="AI15" i="3"/>
  <c r="AI16" i="3"/>
  <c r="AI17" i="3"/>
  <c r="AI20" i="3"/>
  <c r="AH22" i="3"/>
  <c r="AI23" i="3"/>
  <c r="AI25" i="3"/>
  <c r="AI28" i="3"/>
  <c r="AI31" i="3"/>
  <c r="AI33" i="3"/>
  <c r="AI36" i="3"/>
  <c r="AH38" i="3"/>
  <c r="AI39" i="3"/>
  <c r="AI41" i="3"/>
  <c r="AI44" i="3"/>
  <c r="AI46" i="3"/>
  <c r="AI48" i="3"/>
  <c r="AH50" i="3"/>
  <c r="AI51" i="3"/>
  <c r="AI53" i="3"/>
  <c r="AI55" i="3"/>
  <c r="AI57" i="3"/>
  <c r="AI59" i="3"/>
  <c r="AI61" i="3"/>
  <c r="AI64" i="3"/>
  <c r="AI66" i="3"/>
  <c r="AI68" i="3"/>
  <c r="AI70" i="3"/>
  <c r="AI72" i="3"/>
  <c r="AI74" i="3"/>
  <c r="AI76" i="3"/>
  <c r="AI78" i="3"/>
  <c r="AI80" i="3"/>
  <c r="AH82" i="3"/>
  <c r="AI83" i="3"/>
  <c r="AI85" i="3"/>
  <c r="AI87" i="3"/>
  <c r="AI89" i="3"/>
  <c r="AI91" i="3"/>
  <c r="AI93" i="3"/>
  <c r="AI95" i="3"/>
  <c r="AI97" i="3"/>
  <c r="AI99" i="3"/>
  <c r="AI101" i="3"/>
  <c r="AI103" i="3"/>
  <c r="AI105" i="3"/>
  <c r="AI107" i="3"/>
  <c r="AI109" i="3"/>
  <c r="AI111" i="3"/>
  <c r="AI113" i="3"/>
  <c r="AI115" i="3"/>
  <c r="AI117" i="3"/>
  <c r="AI119" i="3"/>
  <c r="AI3" i="3"/>
  <c r="AH4" i="3"/>
  <c r="AH6" i="3"/>
  <c r="AH8" i="3"/>
  <c r="AI10" i="3"/>
  <c r="AH11" i="3"/>
  <c r="AH13" i="3"/>
  <c r="AI18" i="3"/>
  <c r="AH19" i="3"/>
  <c r="AH21" i="3"/>
  <c r="AI26" i="3"/>
  <c r="AH27" i="3"/>
  <c r="AH29" i="3"/>
  <c r="AI34" i="3"/>
  <c r="AH35" i="3"/>
  <c r="AH37" i="3"/>
  <c r="AH40" i="3"/>
  <c r="AI42" i="3"/>
  <c r="AH43" i="3"/>
  <c r="AH45" i="3"/>
  <c r="AH47" i="3"/>
  <c r="AH49" i="3"/>
  <c r="AH52" i="3"/>
  <c r="AH54" i="3"/>
  <c r="AH56" i="3"/>
  <c r="AH58" i="3"/>
  <c r="AH60" i="3"/>
  <c r="AI62" i="3"/>
  <c r="AH63" i="3"/>
  <c r="AH65" i="3"/>
  <c r="AH67" i="3"/>
  <c r="AH69" i="3"/>
  <c r="AH71" i="3"/>
  <c r="AH73" i="3"/>
  <c r="AH75" i="3"/>
  <c r="AH77" i="3"/>
  <c r="AH79" i="3"/>
  <c r="AH81" i="3"/>
  <c r="AH84" i="3"/>
  <c r="AH86" i="3"/>
  <c r="AH88" i="3"/>
  <c r="AH90" i="3"/>
  <c r="AH92" i="3"/>
  <c r="AH94" i="3"/>
  <c r="AH96" i="3"/>
  <c r="AH98" i="3"/>
  <c r="AH100" i="3"/>
  <c r="AH102" i="3"/>
  <c r="AH104" i="3"/>
  <c r="AH106" i="3"/>
  <c r="AH108" i="3"/>
  <c r="AH110" i="3"/>
  <c r="AH112" i="3"/>
  <c r="AH114" i="3"/>
  <c r="AH116" i="3"/>
  <c r="AH118" i="3"/>
  <c r="AH120" i="3"/>
  <c r="AI120" i="3"/>
  <c r="AK121" i="3"/>
  <c r="AI121" i="3"/>
  <c r="AI4" i="3"/>
  <c r="AH5" i="3"/>
  <c r="AI6" i="3"/>
  <c r="AH7" i="3"/>
  <c r="AI8" i="3"/>
  <c r="AH9" i="3"/>
  <c r="AH10" i="3"/>
  <c r="AI11" i="3"/>
  <c r="AH12" i="3"/>
  <c r="AI13" i="3"/>
  <c r="AI14" i="3"/>
  <c r="AH15" i="3"/>
  <c r="AH16" i="3"/>
  <c r="AH17" i="3"/>
  <c r="AH18" i="3"/>
  <c r="AI19" i="3"/>
  <c r="AH20" i="3"/>
  <c r="AI21" i="3"/>
  <c r="AI22" i="3"/>
  <c r="AH23" i="3"/>
  <c r="AI24" i="3"/>
  <c r="AH25" i="3"/>
  <c r="AI27" i="3"/>
  <c r="AI29" i="3"/>
  <c r="AI30" i="3"/>
  <c r="AH31" i="3"/>
  <c r="AI32" i="3"/>
  <c r="AH33" i="3"/>
  <c r="AI35" i="3"/>
  <c r="AH36" i="3"/>
  <c r="AI37" i="3"/>
  <c r="AI38" i="3"/>
  <c r="AH39" i="3"/>
  <c r="AI40" i="3"/>
  <c r="AH41" i="3"/>
  <c r="AH42" i="3"/>
  <c r="AI43" i="3"/>
  <c r="AH44" i="3"/>
  <c r="AI45" i="3"/>
  <c r="AH46" i="3"/>
  <c r="AI47" i="3"/>
  <c r="AH48" i="3"/>
  <c r="AI49" i="3"/>
  <c r="AI50" i="3"/>
  <c r="AH51" i="3"/>
  <c r="AI52" i="3"/>
  <c r="AH53" i="3"/>
  <c r="AI54" i="3"/>
  <c r="AH55" i="3"/>
  <c r="AI56" i="3"/>
  <c r="AH57" i="3"/>
  <c r="AI58" i="3"/>
  <c r="AH59" i="3"/>
  <c r="AI60" i="3"/>
  <c r="AH61" i="3"/>
  <c r="AH62" i="3"/>
  <c r="AI63" i="3"/>
  <c r="AH64" i="3"/>
  <c r="AI65" i="3"/>
  <c r="AH66" i="3"/>
  <c r="AI67" i="3"/>
  <c r="AH68" i="3"/>
  <c r="AI69" i="3"/>
  <c r="AH70" i="3"/>
  <c r="AI71" i="3"/>
  <c r="AH72" i="3"/>
  <c r="AI73" i="3"/>
  <c r="AH74" i="3"/>
  <c r="AI75" i="3"/>
  <c r="AH76" i="3"/>
  <c r="AI77" i="3"/>
  <c r="AH78" i="3"/>
  <c r="AI79" i="3"/>
  <c r="AH80" i="3"/>
  <c r="AI81" i="3"/>
  <c r="AI82" i="3"/>
  <c r="AH83" i="3"/>
  <c r="AI84" i="3"/>
  <c r="AH85" i="3"/>
  <c r="AI86" i="3"/>
  <c r="AH87" i="3"/>
  <c r="AI88" i="3"/>
  <c r="AH89" i="3"/>
  <c r="AI90" i="3"/>
  <c r="AH91" i="3"/>
  <c r="AI92" i="3"/>
  <c r="AH93" i="3"/>
  <c r="AI94" i="3"/>
  <c r="AH95" i="3"/>
  <c r="AI96" i="3"/>
  <c r="AH97" i="3"/>
  <c r="AI98" i="3"/>
  <c r="AH99" i="3"/>
  <c r="AI100" i="3"/>
  <c r="AH101" i="3"/>
  <c r="AI102" i="3"/>
  <c r="AH103" i="3"/>
  <c r="AI104" i="3"/>
  <c r="AH105" i="3"/>
  <c r="AI106" i="3"/>
  <c r="AH107" i="3"/>
  <c r="AI108" i="3"/>
  <c r="AH109" i="3"/>
  <c r="AI110" i="3"/>
  <c r="AH111" i="3"/>
  <c r="AI112" i="3"/>
  <c r="AH113" i="3"/>
  <c r="AI114" i="3"/>
  <c r="AH115" i="3"/>
  <c r="AI116" i="3"/>
  <c r="AH117" i="3"/>
  <c r="AI118" i="3"/>
  <c r="AH119" i="3"/>
  <c r="AH121" i="3"/>
  <c r="AH122" i="3"/>
  <c r="AI122" i="3"/>
  <c r="R4" i="3"/>
  <c r="X4" i="3"/>
  <c r="X6" i="3"/>
  <c r="R8" i="3"/>
  <c r="X8" i="3"/>
  <c r="X10" i="3"/>
  <c r="R10" i="3"/>
  <c r="R11" i="3"/>
  <c r="X11" i="3"/>
  <c r="BZ12" i="3"/>
  <c r="R13" i="3"/>
  <c r="X13" i="3"/>
  <c r="R17" i="3"/>
  <c r="X17" i="3"/>
  <c r="X18" i="3"/>
  <c r="R18" i="3"/>
  <c r="X23" i="3"/>
  <c r="R27" i="3"/>
  <c r="X27" i="3"/>
  <c r="R29" i="3"/>
  <c r="X29" i="3"/>
  <c r="R3" i="3"/>
  <c r="X3" i="3"/>
  <c r="Y3" i="3"/>
  <c r="AN2" i="3"/>
  <c r="BZ4" i="3"/>
  <c r="R5" i="3"/>
  <c r="BZ6" i="3"/>
  <c r="R7" i="3"/>
  <c r="X7" i="3"/>
  <c r="BZ8" i="3"/>
  <c r="R9" i="3"/>
  <c r="BZ11" i="3"/>
  <c r="R12" i="3"/>
  <c r="X12" i="3"/>
  <c r="BZ13" i="3"/>
  <c r="X14" i="3"/>
  <c r="BZ14" i="3"/>
  <c r="R15" i="3"/>
  <c r="X15" i="3"/>
  <c r="R16" i="3"/>
  <c r="X16" i="3"/>
  <c r="BZ18" i="3"/>
  <c r="R19" i="3"/>
  <c r="X19" i="3"/>
  <c r="BV19" i="3"/>
  <c r="X20" i="3"/>
  <c r="R20" i="3"/>
  <c r="R21" i="3"/>
  <c r="X21" i="3"/>
  <c r="X22" i="3"/>
  <c r="R22" i="3"/>
  <c r="X25" i="3"/>
  <c r="X31" i="3"/>
  <c r="X33" i="3"/>
  <c r="AA2" i="3"/>
  <c r="BS9" i="3"/>
  <c r="BU9" i="3" s="1"/>
  <c r="BS10" i="3"/>
  <c r="BU10" i="3" s="1"/>
  <c r="BS11" i="3"/>
  <c r="BU11" i="3" s="1"/>
  <c r="BS12" i="3"/>
  <c r="BU12" i="3" s="1"/>
  <c r="BS13" i="3"/>
  <c r="BU13" i="3" s="1"/>
  <c r="BS14" i="3"/>
  <c r="BU14" i="3" s="1"/>
  <c r="BS15" i="3"/>
  <c r="BU15" i="3" s="1"/>
  <c r="BS16" i="3"/>
  <c r="BY17" i="3"/>
  <c r="CC17" i="3" s="1"/>
  <c r="AC18" i="3"/>
  <c r="BS18" i="3"/>
  <c r="BY19" i="3"/>
  <c r="CC19" i="3" s="1"/>
  <c r="AC20" i="3"/>
  <c r="BS20" i="3"/>
  <c r="BV20" i="3" s="1"/>
  <c r="BY21" i="3"/>
  <c r="CC21" i="3" s="1"/>
  <c r="CD21" i="3" s="1"/>
  <c r="AC22" i="3"/>
  <c r="BY23" i="3"/>
  <c r="CC23" i="3" s="1"/>
  <c r="CD23" i="3" s="1"/>
  <c r="R24" i="3"/>
  <c r="AH24" i="3"/>
  <c r="R26" i="3"/>
  <c r="AH26" i="3"/>
  <c r="AH28" i="3"/>
  <c r="R30" i="3"/>
  <c r="AH30" i="3"/>
  <c r="R32" i="3"/>
  <c r="AH32" i="3"/>
  <c r="R34" i="3"/>
  <c r="AH34" i="3"/>
  <c r="X35" i="3"/>
  <c r="R35" i="3"/>
  <c r="R36" i="3"/>
  <c r="X38" i="3"/>
  <c r="R38" i="3"/>
  <c r="R41" i="3"/>
  <c r="X41" i="3"/>
  <c r="R44" i="3"/>
  <c r="R46" i="3"/>
  <c r="X46" i="3"/>
  <c r="X50" i="3"/>
  <c r="R50" i="3"/>
  <c r="R51" i="3"/>
  <c r="R53" i="3"/>
  <c r="X53" i="3"/>
  <c r="R57" i="3"/>
  <c r="X57" i="3"/>
  <c r="R59" i="3"/>
  <c r="R61" i="3"/>
  <c r="X61" i="3"/>
  <c r="R66" i="3"/>
  <c r="X66" i="3"/>
  <c r="R69" i="3"/>
  <c r="R71" i="3"/>
  <c r="X71" i="3"/>
  <c r="R73" i="3"/>
  <c r="X73" i="3"/>
  <c r="R75" i="3"/>
  <c r="X75" i="3"/>
  <c r="R77" i="3"/>
  <c r="X77" i="3"/>
  <c r="R79" i="3"/>
  <c r="X79" i="3"/>
  <c r="R81" i="3"/>
  <c r="X81" i="3"/>
  <c r="R84" i="3"/>
  <c r="X84" i="3"/>
  <c r="R86" i="3"/>
  <c r="X86" i="3"/>
  <c r="BS2" i="3"/>
  <c r="AC3" i="3"/>
  <c r="BY3" i="3"/>
  <c r="CC3" i="3" s="1"/>
  <c r="AC4" i="3"/>
  <c r="BY4" i="3"/>
  <c r="CC4" i="3" s="1"/>
  <c r="AC5" i="3"/>
  <c r="BY5" i="3"/>
  <c r="CC5" i="3" s="1"/>
  <c r="AC6" i="3"/>
  <c r="BY6" i="3"/>
  <c r="CC6" i="3" s="1"/>
  <c r="AC7" i="3"/>
  <c r="BY7" i="3"/>
  <c r="CC7" i="3" s="1"/>
  <c r="AC8" i="3"/>
  <c r="BY8" i="3"/>
  <c r="CC8" i="3" s="1"/>
  <c r="AC9" i="3"/>
  <c r="BY9" i="3"/>
  <c r="CC9" i="3" s="1"/>
  <c r="AC10" i="3"/>
  <c r="BY10" i="3"/>
  <c r="CC10" i="3" s="1"/>
  <c r="AC11" i="3"/>
  <c r="BY11" i="3"/>
  <c r="CC11" i="3" s="1"/>
  <c r="AC12" i="3"/>
  <c r="BY12" i="3"/>
  <c r="CC12" i="3" s="1"/>
  <c r="AC13" i="3"/>
  <c r="BY13" i="3"/>
  <c r="CC13" i="3" s="1"/>
  <c r="AC14" i="3"/>
  <c r="BY14" i="3"/>
  <c r="CC14" i="3" s="1"/>
  <c r="AC15" i="3"/>
  <c r="BY15" i="3"/>
  <c r="CC15" i="3" s="1"/>
  <c r="AC16" i="3"/>
  <c r="BY16" i="3"/>
  <c r="CC16" i="3" s="1"/>
  <c r="AC17" i="3"/>
  <c r="BS17" i="3"/>
  <c r="BU17" i="3" s="1"/>
  <c r="BY18" i="3"/>
  <c r="CC18" i="3" s="1"/>
  <c r="AC19" i="3"/>
  <c r="BY20" i="3"/>
  <c r="CC20" i="3" s="1"/>
  <c r="AC21" i="3"/>
  <c r="BY22" i="3"/>
  <c r="CC22" i="3" s="1"/>
  <c r="CD22" i="3" s="1"/>
  <c r="AC23" i="3"/>
  <c r="AC24" i="3"/>
  <c r="AC26" i="3"/>
  <c r="AC28" i="3"/>
  <c r="AC30" i="3"/>
  <c r="AC32" i="3"/>
  <c r="AC34" i="3"/>
  <c r="R37" i="3"/>
  <c r="R40" i="3"/>
  <c r="X40" i="3"/>
  <c r="X42" i="3"/>
  <c r="R43" i="3"/>
  <c r="X43" i="3"/>
  <c r="R45" i="3"/>
  <c r="R47" i="3"/>
  <c r="X47" i="3"/>
  <c r="R49" i="3"/>
  <c r="R52" i="3"/>
  <c r="X52" i="3"/>
  <c r="R54" i="3"/>
  <c r="R56" i="3"/>
  <c r="X56" i="3"/>
  <c r="R58" i="3"/>
  <c r="R60" i="3"/>
  <c r="X60" i="3"/>
  <c r="X62" i="3"/>
  <c r="R63" i="3"/>
  <c r="X63" i="3"/>
  <c r="R65" i="3"/>
  <c r="R67" i="3"/>
  <c r="X67" i="3"/>
  <c r="R68" i="3"/>
  <c r="R70" i="3"/>
  <c r="X70" i="3"/>
  <c r="R72" i="3"/>
  <c r="R74" i="3"/>
  <c r="X74" i="3"/>
  <c r="R78" i="3"/>
  <c r="X78" i="3"/>
  <c r="R80" i="3"/>
  <c r="X82" i="3"/>
  <c r="R82" i="3"/>
  <c r="R85" i="3"/>
  <c r="X85" i="3"/>
  <c r="R87" i="3"/>
  <c r="AC25" i="3"/>
  <c r="AC27" i="3"/>
  <c r="AC29" i="3"/>
  <c r="AC31" i="3"/>
  <c r="AC33" i="3"/>
  <c r="AC35" i="3"/>
  <c r="R88" i="3"/>
  <c r="X88" i="3"/>
  <c r="R90" i="3"/>
  <c r="X90" i="3"/>
  <c r="R92" i="3"/>
  <c r="X92" i="3"/>
  <c r="R94" i="3"/>
  <c r="X94" i="3"/>
  <c r="R96" i="3"/>
  <c r="X96" i="3"/>
  <c r="R98" i="3"/>
  <c r="X98" i="3"/>
  <c r="R100" i="3"/>
  <c r="X100" i="3"/>
  <c r="R102" i="3"/>
  <c r="X102" i="3"/>
  <c r="R104" i="3"/>
  <c r="X104" i="3"/>
  <c r="R106" i="3"/>
  <c r="X106" i="3"/>
  <c r="R108" i="3"/>
  <c r="X108" i="3"/>
  <c r="R110" i="3"/>
  <c r="X110" i="3"/>
  <c r="R112" i="3"/>
  <c r="X112" i="3"/>
  <c r="R114" i="3"/>
  <c r="X114" i="3"/>
  <c r="R116" i="3"/>
  <c r="X116" i="3"/>
  <c r="R118" i="3"/>
  <c r="X118" i="3"/>
  <c r="AC36" i="3"/>
  <c r="AC37" i="3"/>
  <c r="AC38" i="3"/>
  <c r="AC39" i="3"/>
  <c r="AC40" i="3"/>
  <c r="AC41" i="3"/>
  <c r="AC42" i="3"/>
  <c r="AC43" i="3"/>
  <c r="AC44" i="3"/>
  <c r="AC45" i="3"/>
  <c r="AC46" i="3"/>
  <c r="AC47" i="3"/>
  <c r="AC48" i="3"/>
  <c r="AC49" i="3"/>
  <c r="AC50" i="3"/>
  <c r="AC51" i="3"/>
  <c r="AC52" i="3"/>
  <c r="AC53" i="3"/>
  <c r="AC54" i="3"/>
  <c r="AC55" i="3"/>
  <c r="AC56" i="3"/>
  <c r="AC57" i="3"/>
  <c r="AC58" i="3"/>
  <c r="AC59" i="3"/>
  <c r="AC60" i="3"/>
  <c r="AC61" i="3"/>
  <c r="AC62" i="3"/>
  <c r="AC63" i="3"/>
  <c r="AC64" i="3"/>
  <c r="AC65" i="3"/>
  <c r="AC66" i="3"/>
  <c r="AC67" i="3"/>
  <c r="R89" i="3"/>
  <c r="X89" i="3"/>
  <c r="R93" i="3"/>
  <c r="X93" i="3"/>
  <c r="R95" i="3"/>
  <c r="R97" i="3"/>
  <c r="X97" i="3"/>
  <c r="R101" i="3"/>
  <c r="R103" i="3"/>
  <c r="R105" i="3"/>
  <c r="X105" i="3"/>
  <c r="R109" i="3"/>
  <c r="X109" i="3"/>
  <c r="R111" i="3"/>
  <c r="R113" i="3"/>
  <c r="X113" i="3"/>
  <c r="R117" i="3"/>
  <c r="X117" i="3"/>
  <c r="R119" i="3"/>
  <c r="X183" i="3"/>
  <c r="X185" i="3"/>
  <c r="X187" i="3"/>
  <c r="X189" i="3"/>
  <c r="X191" i="3"/>
  <c r="X193" i="3"/>
  <c r="X195" i="3"/>
  <c r="X197" i="3"/>
  <c r="X199" i="3"/>
  <c r="X201" i="3"/>
  <c r="AC68" i="3"/>
  <c r="AC69" i="3"/>
  <c r="AC70" i="3"/>
  <c r="AC71" i="3"/>
  <c r="AC72" i="3"/>
  <c r="AC73" i="3"/>
  <c r="AC74" i="3"/>
  <c r="AC75" i="3"/>
  <c r="AC76" i="3"/>
  <c r="AC77" i="3"/>
  <c r="AC78" i="3"/>
  <c r="AC79" i="3"/>
  <c r="AC80" i="3"/>
  <c r="AC81" i="3"/>
  <c r="AC82" i="3"/>
  <c r="AC83" i="3"/>
  <c r="AC84" i="3"/>
  <c r="AC85" i="3"/>
  <c r="AC86" i="3"/>
  <c r="AC87" i="3"/>
  <c r="AC88" i="3"/>
  <c r="AC89" i="3"/>
  <c r="AC90" i="3"/>
  <c r="AC91" i="3"/>
  <c r="AC92" i="3"/>
  <c r="AC93" i="3"/>
  <c r="AC94" i="3"/>
  <c r="AC95" i="3"/>
  <c r="AC96" i="3"/>
  <c r="AC97" i="3"/>
  <c r="AC98" i="3"/>
  <c r="AC99" i="3"/>
  <c r="AC100" i="3"/>
  <c r="AC101" i="3"/>
  <c r="AC102" i="3"/>
  <c r="AC103" i="3"/>
  <c r="AC104" i="3"/>
  <c r="AC105" i="3"/>
  <c r="AC106" i="3"/>
  <c r="AC107" i="3"/>
  <c r="AC108" i="3"/>
  <c r="AC109" i="3"/>
  <c r="AC110" i="3"/>
  <c r="AC111" i="3"/>
  <c r="AC112" i="3"/>
  <c r="AC113" i="3"/>
  <c r="AC114" i="3"/>
  <c r="AC115" i="3"/>
  <c r="AC116" i="3"/>
  <c r="AC117" i="3"/>
  <c r="AC118" i="3"/>
  <c r="AC119" i="3"/>
  <c r="P120" i="3"/>
  <c r="AC120" i="3"/>
  <c r="AC121" i="3"/>
  <c r="AC122" i="3"/>
  <c r="X163" i="3"/>
  <c r="R163" i="3"/>
  <c r="X165" i="3"/>
  <c r="R165" i="3"/>
  <c r="X167" i="3"/>
  <c r="R167" i="3"/>
  <c r="X169" i="3"/>
  <c r="R169" i="3"/>
  <c r="X171" i="3"/>
  <c r="R171" i="3"/>
  <c r="X173" i="3"/>
  <c r="R173" i="3"/>
  <c r="X175" i="3"/>
  <c r="R175" i="3"/>
  <c r="X177" i="3"/>
  <c r="R177" i="3"/>
  <c r="X179" i="3"/>
  <c r="R179" i="3"/>
  <c r="X181" i="3"/>
  <c r="R181" i="3"/>
  <c r="X182" i="3"/>
  <c r="X186" i="3"/>
  <c r="X190" i="3"/>
  <c r="X194" i="3"/>
  <c r="X198" i="3"/>
  <c r="X202" i="3"/>
  <c r="R202" i="3"/>
  <c r="X166" i="3"/>
  <c r="X170" i="3"/>
  <c r="X174" i="3"/>
  <c r="X178" i="3"/>
  <c r="X184" i="3"/>
  <c r="X188" i="3"/>
  <c r="X192" i="3"/>
  <c r="X196" i="3"/>
  <c r="X200" i="3"/>
  <c r="AN2" i="1"/>
  <c r="CD35" i="1"/>
  <c r="CD34" i="1"/>
  <c r="CD33" i="1"/>
  <c r="CD32" i="1"/>
  <c r="CD31" i="1"/>
  <c r="CD30" i="1"/>
  <c r="CD29" i="1"/>
  <c r="CD28" i="1"/>
  <c r="CD27" i="1"/>
  <c r="CD26" i="1"/>
  <c r="CD25" i="1"/>
  <c r="CD24" i="1"/>
  <c r="CD23" i="1"/>
  <c r="CD22" i="1"/>
  <c r="CD21" i="1"/>
  <c r="CD20" i="1"/>
  <c r="CD19" i="1"/>
  <c r="CD18" i="1"/>
  <c r="CD17" i="1"/>
  <c r="CD16" i="1"/>
  <c r="CD15" i="1"/>
  <c r="CD14" i="1"/>
  <c r="CD13" i="1"/>
  <c r="CD12" i="1"/>
  <c r="CD11" i="1"/>
  <c r="CD10" i="1"/>
  <c r="CD9" i="1"/>
  <c r="CD8" i="1"/>
  <c r="CD7" i="1"/>
  <c r="CD6" i="1"/>
  <c r="CD5" i="1"/>
  <c r="CD4" i="1"/>
  <c r="CD3" i="1"/>
  <c r="AV2" i="2"/>
  <c r="AU2" i="2"/>
  <c r="AX4" i="2"/>
  <c r="AX3" i="2"/>
  <c r="AR10" i="2"/>
  <c r="AR4" i="2"/>
  <c r="AR5" i="2"/>
  <c r="AR6" i="2"/>
  <c r="AR7" i="2"/>
  <c r="AR8" i="2"/>
  <c r="AR9" i="2"/>
  <c r="AR3" i="2"/>
  <c r="AR2" i="2"/>
  <c r="AX2" i="2"/>
  <c r="AX22" i="2"/>
  <c r="AX21" i="2"/>
  <c r="AX20" i="2"/>
  <c r="AM122" i="1"/>
  <c r="AM121" i="1"/>
  <c r="AM120" i="1"/>
  <c r="AM119" i="1"/>
  <c r="AM118" i="1"/>
  <c r="AM117" i="1"/>
  <c r="AM116" i="1"/>
  <c r="AM115" i="1"/>
  <c r="AM114" i="1"/>
  <c r="AM113" i="1"/>
  <c r="AM112" i="1"/>
  <c r="AM111" i="1"/>
  <c r="AM110" i="1"/>
  <c r="AM109" i="1"/>
  <c r="AM108" i="1"/>
  <c r="AM107" i="1"/>
  <c r="AM106" i="1"/>
  <c r="AM105" i="1"/>
  <c r="AM104" i="1"/>
  <c r="AM103" i="1"/>
  <c r="AM102" i="1"/>
  <c r="AM101" i="1"/>
  <c r="AM100" i="1"/>
  <c r="AM99" i="1"/>
  <c r="AM98" i="1"/>
  <c r="AM97" i="1"/>
  <c r="AM96" i="1"/>
  <c r="AM95" i="1"/>
  <c r="AM94" i="1"/>
  <c r="AM93" i="1"/>
  <c r="AM92" i="1"/>
  <c r="AM91" i="1"/>
  <c r="AM90" i="1"/>
  <c r="AM89" i="1"/>
  <c r="AM88" i="1"/>
  <c r="AM87" i="1"/>
  <c r="AM86" i="1"/>
  <c r="AM85" i="1"/>
  <c r="AM84" i="1"/>
  <c r="AM83" i="1"/>
  <c r="AM82" i="1"/>
  <c r="AM81" i="1"/>
  <c r="AM80" i="1"/>
  <c r="AM79" i="1"/>
  <c r="AM78" i="1"/>
  <c r="AM77" i="1"/>
  <c r="AM76" i="1"/>
  <c r="AM75" i="1"/>
  <c r="AM74" i="1"/>
  <c r="AM73" i="1"/>
  <c r="AM72" i="1"/>
  <c r="AM71" i="1"/>
  <c r="AM70" i="1"/>
  <c r="AM69" i="1"/>
  <c r="AM68" i="1"/>
  <c r="AM67" i="1"/>
  <c r="AM66" i="1"/>
  <c r="AM65" i="1"/>
  <c r="AM64" i="1"/>
  <c r="AM63" i="1"/>
  <c r="AM62" i="1"/>
  <c r="AM61" i="1"/>
  <c r="AM60" i="1"/>
  <c r="AM59" i="1"/>
  <c r="AM58" i="1"/>
  <c r="AM57" i="1"/>
  <c r="AM56" i="1"/>
  <c r="AM55" i="1"/>
  <c r="AM54" i="1"/>
  <c r="AM53" i="1"/>
  <c r="AM52" i="1"/>
  <c r="AM51" i="1"/>
  <c r="AM50" i="1"/>
  <c r="AM49" i="1"/>
  <c r="AM48" i="1"/>
  <c r="AM47" i="1"/>
  <c r="AM46" i="1"/>
  <c r="AM45" i="1"/>
  <c r="AM44" i="1"/>
  <c r="AM43" i="1"/>
  <c r="AM42" i="1"/>
  <c r="AM41" i="1"/>
  <c r="AM40" i="1"/>
  <c r="AM39" i="1"/>
  <c r="AM38" i="1"/>
  <c r="AM37" i="1"/>
  <c r="AM36" i="1"/>
  <c r="AM35" i="1"/>
  <c r="AM34" i="1"/>
  <c r="AM33" i="1"/>
  <c r="AM32" i="1"/>
  <c r="AM31" i="1"/>
  <c r="AM30" i="1"/>
  <c r="AM29" i="1"/>
  <c r="AM28" i="1"/>
  <c r="AM27" i="1"/>
  <c r="AM26" i="1"/>
  <c r="AM25" i="1"/>
  <c r="AM24" i="1"/>
  <c r="AM23" i="1"/>
  <c r="AM22" i="1"/>
  <c r="AM21" i="1"/>
  <c r="AM20" i="1"/>
  <c r="AM19" i="1"/>
  <c r="AM18" i="1"/>
  <c r="AM17" i="1"/>
  <c r="AM16" i="1"/>
  <c r="AM15" i="1"/>
  <c r="AM14" i="1"/>
  <c r="AM13" i="1"/>
  <c r="AM12" i="1"/>
  <c r="AM11" i="1"/>
  <c r="AM10" i="1"/>
  <c r="AM9" i="1"/>
  <c r="AM8" i="1"/>
  <c r="AM7" i="1"/>
  <c r="AM6" i="1"/>
  <c r="AM5" i="1"/>
  <c r="AM4" i="1"/>
  <c r="AM3" i="1"/>
  <c r="AM2" i="1"/>
  <c r="AA3" i="2"/>
  <c r="AA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2" i="2"/>
  <c r="AL2" i="1"/>
  <c r="AX17" i="2"/>
  <c r="AT15" i="2"/>
  <c r="AT16" i="2"/>
  <c r="AT17" i="2"/>
  <c r="AT18" i="2"/>
  <c r="AT19" i="2"/>
  <c r="AT20" i="2"/>
  <c r="AT21" i="2"/>
  <c r="AT22" i="2"/>
  <c r="AT14" i="2"/>
  <c r="AX14" i="2" s="1"/>
  <c r="AS17" i="2"/>
  <c r="AS21" i="2"/>
  <c r="AS22" i="2"/>
  <c r="AS15" i="2"/>
  <c r="AR22" i="2"/>
  <c r="AR16" i="2"/>
  <c r="AS16" i="2" s="1"/>
  <c r="AR17" i="2"/>
  <c r="AR18" i="2"/>
  <c r="AS18" i="2" s="1"/>
  <c r="AR19" i="2"/>
  <c r="AS19" i="2" s="1"/>
  <c r="AR20" i="2"/>
  <c r="AS20" i="2" s="1"/>
  <c r="AR21" i="2"/>
  <c r="AR15" i="2"/>
  <c r="AQ16" i="2"/>
  <c r="AQ17" i="2"/>
  <c r="AQ18" i="2"/>
  <c r="AQ19" i="2"/>
  <c r="AQ20" i="2"/>
  <c r="AQ21" i="2"/>
  <c r="AQ22" i="2"/>
  <c r="AQ15" i="2"/>
  <c r="AP16" i="2"/>
  <c r="AP17" i="2"/>
  <c r="AP18" i="2"/>
  <c r="AP19" i="2"/>
  <c r="AP20" i="2"/>
  <c r="AP21" i="2"/>
  <c r="AP22" i="2"/>
  <c r="AP15" i="2"/>
  <c r="BB3" i="2"/>
  <c r="AO14" i="2"/>
  <c r="AK2" i="2"/>
  <c r="AS2" i="2" s="1"/>
  <c r="AN2" i="2"/>
  <c r="AO2" i="2"/>
  <c r="AT2" i="2" s="1"/>
  <c r="AP2" i="2"/>
  <c r="AE3" i="2"/>
  <c r="AF3" i="2"/>
  <c r="AG3" i="2"/>
  <c r="AH3" i="2"/>
  <c r="AI3" i="2"/>
  <c r="AJ3" i="2"/>
  <c r="AK3" i="2"/>
  <c r="AL3" i="2"/>
  <c r="AM3" i="2"/>
  <c r="AN3" i="2"/>
  <c r="AO3" i="2"/>
  <c r="AP3" i="2"/>
  <c r="AE4" i="2"/>
  <c r="AF4" i="2"/>
  <c r="AG4" i="2"/>
  <c r="AH4" i="2"/>
  <c r="AI4" i="2"/>
  <c r="AJ4" i="2"/>
  <c r="AK4" i="2"/>
  <c r="AL4" i="2"/>
  <c r="AM4" i="2"/>
  <c r="AN4" i="2"/>
  <c r="AO4" i="2"/>
  <c r="AP4" i="2"/>
  <c r="AE5" i="2"/>
  <c r="AF5" i="2"/>
  <c r="AG5" i="2"/>
  <c r="AH5" i="2"/>
  <c r="AI5" i="2"/>
  <c r="AJ5" i="2"/>
  <c r="AK5" i="2"/>
  <c r="AL5" i="2"/>
  <c r="AM5" i="2"/>
  <c r="AN5" i="2"/>
  <c r="AO5" i="2"/>
  <c r="AP5" i="2"/>
  <c r="AE6" i="2"/>
  <c r="AF6" i="2"/>
  <c r="AG6" i="2"/>
  <c r="AH6" i="2"/>
  <c r="AI6" i="2"/>
  <c r="AJ6" i="2"/>
  <c r="AK6" i="2"/>
  <c r="AL6" i="2"/>
  <c r="AM6" i="2"/>
  <c r="AN6" i="2"/>
  <c r="AO6" i="2"/>
  <c r="AP6" i="2"/>
  <c r="AE7" i="2"/>
  <c r="AF7" i="2"/>
  <c r="AG7" i="2"/>
  <c r="AH7" i="2"/>
  <c r="AI7" i="2"/>
  <c r="AJ7" i="2"/>
  <c r="AK7" i="2"/>
  <c r="AL7" i="2"/>
  <c r="AM7" i="2"/>
  <c r="AN7" i="2"/>
  <c r="AO7" i="2"/>
  <c r="AP7" i="2"/>
  <c r="AE8" i="2"/>
  <c r="AF8" i="2"/>
  <c r="AG8" i="2"/>
  <c r="AH8" i="2"/>
  <c r="AI8" i="2"/>
  <c r="AJ8" i="2"/>
  <c r="AK8" i="2"/>
  <c r="AL8" i="2"/>
  <c r="AM8" i="2"/>
  <c r="AN8" i="2"/>
  <c r="AO8" i="2"/>
  <c r="AP8" i="2"/>
  <c r="AE9" i="2"/>
  <c r="AF9" i="2"/>
  <c r="AG9" i="2"/>
  <c r="AH9" i="2"/>
  <c r="AI9" i="2"/>
  <c r="AJ9" i="2"/>
  <c r="AK9" i="2"/>
  <c r="AL9" i="2"/>
  <c r="AM9" i="2"/>
  <c r="AN9" i="2"/>
  <c r="AO9" i="2"/>
  <c r="AP9" i="2"/>
  <c r="AE10" i="2"/>
  <c r="AF10" i="2"/>
  <c r="AG10" i="2"/>
  <c r="AH10" i="2"/>
  <c r="AI10" i="2"/>
  <c r="AJ10" i="2"/>
  <c r="AK10" i="2"/>
  <c r="AQ10" i="2" s="1"/>
  <c r="AS10" i="2" s="1"/>
  <c r="AL10" i="2"/>
  <c r="AM10" i="2"/>
  <c r="AN10" i="2"/>
  <c r="AO10" i="2"/>
  <c r="AT10" i="2" s="1"/>
  <c r="AP10" i="2"/>
  <c r="AD3" i="2"/>
  <c r="AD4" i="2"/>
  <c r="AD5" i="2"/>
  <c r="AD6" i="2"/>
  <c r="AD7" i="2"/>
  <c r="AD8" i="2"/>
  <c r="AD9" i="2"/>
  <c r="AD10" i="2"/>
  <c r="AD2" i="2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3" i="1"/>
  <c r="X180" i="3" l="1"/>
  <c r="X176" i="3"/>
  <c r="X172" i="3"/>
  <c r="X168" i="3"/>
  <c r="X164" i="3"/>
  <c r="X162" i="3"/>
  <c r="R115" i="3"/>
  <c r="R107" i="3"/>
  <c r="R99" i="3"/>
  <c r="R91" i="3"/>
  <c r="R83" i="3"/>
  <c r="R76" i="3"/>
  <c r="R64" i="3"/>
  <c r="R55" i="3"/>
  <c r="R48" i="3"/>
  <c r="R39" i="3"/>
  <c r="BV18" i="3"/>
  <c r="BV10" i="3"/>
  <c r="BU20" i="3"/>
  <c r="CA19" i="3"/>
  <c r="BV6" i="3"/>
  <c r="BV7" i="3"/>
  <c r="BV3" i="3"/>
  <c r="X161" i="3"/>
  <c r="R161" i="3"/>
  <c r="X157" i="3"/>
  <c r="R157" i="3"/>
  <c r="X153" i="3"/>
  <c r="R153" i="3"/>
  <c r="X149" i="3"/>
  <c r="R149" i="3"/>
  <c r="X145" i="3"/>
  <c r="R145" i="3"/>
  <c r="X141" i="3"/>
  <c r="R141" i="3"/>
  <c r="X137" i="3"/>
  <c r="R137" i="3"/>
  <c r="X133" i="3"/>
  <c r="R133" i="3"/>
  <c r="X129" i="3"/>
  <c r="R129" i="3"/>
  <c r="X125" i="3"/>
  <c r="R125" i="3"/>
  <c r="R28" i="3"/>
  <c r="BV16" i="3"/>
  <c r="CA18" i="3"/>
  <c r="CD18" i="3" s="1"/>
  <c r="BV8" i="3"/>
  <c r="BV4" i="3"/>
  <c r="BV5" i="3"/>
  <c r="X159" i="3"/>
  <c r="R159" i="3"/>
  <c r="X155" i="3"/>
  <c r="R155" i="3"/>
  <c r="X151" i="3"/>
  <c r="R151" i="3"/>
  <c r="X147" i="3"/>
  <c r="R147" i="3"/>
  <c r="X143" i="3"/>
  <c r="R143" i="3"/>
  <c r="X139" i="3"/>
  <c r="R139" i="3"/>
  <c r="X135" i="3"/>
  <c r="R135" i="3"/>
  <c r="X131" i="3"/>
  <c r="R131" i="3"/>
  <c r="X127" i="3"/>
  <c r="R127" i="3"/>
  <c r="X123" i="3"/>
  <c r="R123" i="3"/>
  <c r="X120" i="3"/>
  <c r="R120" i="3"/>
  <c r="CA20" i="3"/>
  <c r="BU18" i="3"/>
  <c r="BV15" i="3"/>
  <c r="BV14" i="3"/>
  <c r="BV13" i="3"/>
  <c r="CA11" i="3"/>
  <c r="CD11" i="3" s="1"/>
  <c r="CA8" i="3"/>
  <c r="CD8" i="3" s="1"/>
  <c r="CA4" i="3"/>
  <c r="CD4" i="3" s="1"/>
  <c r="BV17" i="3"/>
  <c r="BU16" i="3"/>
  <c r="BV12" i="3"/>
  <c r="CA10" i="3"/>
  <c r="CD10" i="3" s="1"/>
  <c r="CA9" i="3"/>
  <c r="CD9" i="3" s="1"/>
  <c r="CA5" i="3"/>
  <c r="CD5" i="3" s="1"/>
  <c r="CD19" i="3"/>
  <c r="CA15" i="3"/>
  <c r="CD15" i="3" s="1"/>
  <c r="CA14" i="3"/>
  <c r="CD14" i="3" s="1"/>
  <c r="CA13" i="3"/>
  <c r="CD13" i="3" s="1"/>
  <c r="BV11" i="3"/>
  <c r="CA6" i="3"/>
  <c r="CD6" i="3" s="1"/>
  <c r="CA17" i="3"/>
  <c r="CD17" i="3" s="1"/>
  <c r="CA16" i="3"/>
  <c r="CD16" i="3" s="1"/>
  <c r="CA12" i="3"/>
  <c r="CD12" i="3" s="1"/>
  <c r="BV9" i="3"/>
  <c r="CA7" i="3"/>
  <c r="CD7" i="3" s="1"/>
  <c r="CA3" i="3"/>
  <c r="CD3" i="3" s="1"/>
  <c r="AS5" i="2"/>
  <c r="AT5" i="2" s="1"/>
  <c r="AS6" i="2"/>
  <c r="AT6" i="2" s="1"/>
  <c r="AS4" i="2"/>
  <c r="AT4" i="2" s="1"/>
  <c r="AQ8" i="2"/>
  <c r="AS8" i="2" s="1"/>
  <c r="AT8" i="2" s="1"/>
  <c r="AQ4" i="2"/>
  <c r="BB2" i="2"/>
  <c r="AY14" i="2" s="1"/>
  <c r="AQ9" i="2"/>
  <c r="AS9" i="2" s="1"/>
  <c r="AT9" i="2" s="1"/>
  <c r="AQ7" i="2"/>
  <c r="AS7" i="2" s="1"/>
  <c r="AT7" i="2" s="1"/>
  <c r="AQ5" i="2"/>
  <c r="AQ3" i="2"/>
  <c r="AS3" i="2" s="1"/>
  <c r="AQ6" i="2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3" i="1"/>
  <c r="AG2" i="1"/>
  <c r="AF2" i="1"/>
  <c r="AF4" i="1"/>
  <c r="AG4" i="1"/>
  <c r="AI4" i="1" s="1"/>
  <c r="AF5" i="1"/>
  <c r="AG5" i="1"/>
  <c r="AI5" i="1" s="1"/>
  <c r="AF6" i="1"/>
  <c r="AG6" i="1"/>
  <c r="AI6" i="1" s="1"/>
  <c r="AF7" i="1"/>
  <c r="AG7" i="1"/>
  <c r="AI7" i="1" s="1"/>
  <c r="AF8" i="1"/>
  <c r="AG8" i="1"/>
  <c r="AI8" i="1" s="1"/>
  <c r="AF9" i="1"/>
  <c r="AG9" i="1"/>
  <c r="AI9" i="1" s="1"/>
  <c r="AF10" i="1"/>
  <c r="AG10" i="1"/>
  <c r="AI10" i="1" s="1"/>
  <c r="AF11" i="1"/>
  <c r="AH11" i="1" s="1"/>
  <c r="AG11" i="1"/>
  <c r="AI11" i="1" s="1"/>
  <c r="AF12" i="1"/>
  <c r="AH12" i="1" s="1"/>
  <c r="AG12" i="1"/>
  <c r="AI12" i="1" s="1"/>
  <c r="AF13" i="1"/>
  <c r="AH13" i="1" s="1"/>
  <c r="AG13" i="1"/>
  <c r="AI13" i="1" s="1"/>
  <c r="AF14" i="1"/>
  <c r="AH14" i="1" s="1"/>
  <c r="AG14" i="1"/>
  <c r="AI14" i="1" s="1"/>
  <c r="AF15" i="1"/>
  <c r="AH15" i="1" s="1"/>
  <c r="AG15" i="1"/>
  <c r="AI15" i="1" s="1"/>
  <c r="AF16" i="1"/>
  <c r="AH16" i="1" s="1"/>
  <c r="AG16" i="1"/>
  <c r="AI16" i="1" s="1"/>
  <c r="AF17" i="1"/>
  <c r="AH17" i="1" s="1"/>
  <c r="AG17" i="1"/>
  <c r="AI17" i="1" s="1"/>
  <c r="AF18" i="1"/>
  <c r="AH18" i="1" s="1"/>
  <c r="AG18" i="1"/>
  <c r="AI18" i="1" s="1"/>
  <c r="AF19" i="1"/>
  <c r="AH19" i="1" s="1"/>
  <c r="AG19" i="1"/>
  <c r="AI19" i="1" s="1"/>
  <c r="AF20" i="1"/>
  <c r="AH20" i="1" s="1"/>
  <c r="AG20" i="1"/>
  <c r="AI20" i="1" s="1"/>
  <c r="AF21" i="1"/>
  <c r="AH21" i="1" s="1"/>
  <c r="AG21" i="1"/>
  <c r="AI21" i="1" s="1"/>
  <c r="AF22" i="1"/>
  <c r="AH22" i="1" s="1"/>
  <c r="AG22" i="1"/>
  <c r="AI22" i="1" s="1"/>
  <c r="AF23" i="1"/>
  <c r="AH23" i="1" s="1"/>
  <c r="AG23" i="1"/>
  <c r="AI23" i="1" s="1"/>
  <c r="AF24" i="1"/>
  <c r="AH24" i="1" s="1"/>
  <c r="AG24" i="1"/>
  <c r="AI24" i="1" s="1"/>
  <c r="AF25" i="1"/>
  <c r="AH25" i="1" s="1"/>
  <c r="AG25" i="1"/>
  <c r="AI25" i="1" s="1"/>
  <c r="AF26" i="1"/>
  <c r="AH26" i="1" s="1"/>
  <c r="AG26" i="1"/>
  <c r="AI26" i="1" s="1"/>
  <c r="AF27" i="1"/>
  <c r="AH27" i="1" s="1"/>
  <c r="AG27" i="1"/>
  <c r="AI27" i="1" s="1"/>
  <c r="AF28" i="1"/>
  <c r="AH28" i="1" s="1"/>
  <c r="AG28" i="1"/>
  <c r="AI28" i="1" s="1"/>
  <c r="AF29" i="1"/>
  <c r="AH29" i="1" s="1"/>
  <c r="AG29" i="1"/>
  <c r="AI29" i="1" s="1"/>
  <c r="AF30" i="1"/>
  <c r="AH30" i="1" s="1"/>
  <c r="AG30" i="1"/>
  <c r="AI30" i="1" s="1"/>
  <c r="AF31" i="1"/>
  <c r="AH31" i="1" s="1"/>
  <c r="AG31" i="1"/>
  <c r="AI31" i="1" s="1"/>
  <c r="AF32" i="1"/>
  <c r="AH32" i="1" s="1"/>
  <c r="AG32" i="1"/>
  <c r="AI32" i="1" s="1"/>
  <c r="AF33" i="1"/>
  <c r="AH33" i="1" s="1"/>
  <c r="AG33" i="1"/>
  <c r="AI33" i="1" s="1"/>
  <c r="AF34" i="1"/>
  <c r="AH34" i="1" s="1"/>
  <c r="AG34" i="1"/>
  <c r="AI34" i="1" s="1"/>
  <c r="AF35" i="1"/>
  <c r="AH35" i="1" s="1"/>
  <c r="AG35" i="1"/>
  <c r="AI35" i="1" s="1"/>
  <c r="AF36" i="1"/>
  <c r="AH36" i="1" s="1"/>
  <c r="AG36" i="1"/>
  <c r="AI36" i="1" s="1"/>
  <c r="AF37" i="1"/>
  <c r="AH37" i="1" s="1"/>
  <c r="AG37" i="1"/>
  <c r="AI37" i="1" s="1"/>
  <c r="AF38" i="1"/>
  <c r="AH38" i="1" s="1"/>
  <c r="AG38" i="1"/>
  <c r="AI38" i="1" s="1"/>
  <c r="AF39" i="1"/>
  <c r="AH39" i="1" s="1"/>
  <c r="AG39" i="1"/>
  <c r="AI39" i="1" s="1"/>
  <c r="AF40" i="1"/>
  <c r="AH40" i="1" s="1"/>
  <c r="AG40" i="1"/>
  <c r="AI40" i="1" s="1"/>
  <c r="AF41" i="1"/>
  <c r="AH41" i="1" s="1"/>
  <c r="AG41" i="1"/>
  <c r="AI41" i="1" s="1"/>
  <c r="AF42" i="1"/>
  <c r="AH42" i="1" s="1"/>
  <c r="AG42" i="1"/>
  <c r="AI42" i="1" s="1"/>
  <c r="AF43" i="1"/>
  <c r="AH43" i="1" s="1"/>
  <c r="AG43" i="1"/>
  <c r="AI43" i="1" s="1"/>
  <c r="AF44" i="1"/>
  <c r="AH44" i="1" s="1"/>
  <c r="AG44" i="1"/>
  <c r="AI44" i="1" s="1"/>
  <c r="AF45" i="1"/>
  <c r="AH45" i="1" s="1"/>
  <c r="AG45" i="1"/>
  <c r="AI45" i="1" s="1"/>
  <c r="AF46" i="1"/>
  <c r="AH46" i="1" s="1"/>
  <c r="AG46" i="1"/>
  <c r="AI46" i="1" s="1"/>
  <c r="AF47" i="1"/>
  <c r="AH47" i="1" s="1"/>
  <c r="AG47" i="1"/>
  <c r="AI47" i="1" s="1"/>
  <c r="AF48" i="1"/>
  <c r="AH48" i="1" s="1"/>
  <c r="AG48" i="1"/>
  <c r="AI48" i="1" s="1"/>
  <c r="AF49" i="1"/>
  <c r="AH49" i="1" s="1"/>
  <c r="AG49" i="1"/>
  <c r="AI49" i="1" s="1"/>
  <c r="AF50" i="1"/>
  <c r="AH50" i="1" s="1"/>
  <c r="AG50" i="1"/>
  <c r="AI50" i="1" s="1"/>
  <c r="AF51" i="1"/>
  <c r="AH51" i="1" s="1"/>
  <c r="AG51" i="1"/>
  <c r="AI51" i="1" s="1"/>
  <c r="AF52" i="1"/>
  <c r="AH52" i="1" s="1"/>
  <c r="AG52" i="1"/>
  <c r="AI52" i="1" s="1"/>
  <c r="AF53" i="1"/>
  <c r="AH53" i="1" s="1"/>
  <c r="AG53" i="1"/>
  <c r="AI53" i="1" s="1"/>
  <c r="AF54" i="1"/>
  <c r="AH54" i="1" s="1"/>
  <c r="AG54" i="1"/>
  <c r="AI54" i="1" s="1"/>
  <c r="AF55" i="1"/>
  <c r="AH55" i="1" s="1"/>
  <c r="AG55" i="1"/>
  <c r="AI55" i="1" s="1"/>
  <c r="AF56" i="1"/>
  <c r="AH56" i="1" s="1"/>
  <c r="AG56" i="1"/>
  <c r="AI56" i="1" s="1"/>
  <c r="AF57" i="1"/>
  <c r="AH57" i="1" s="1"/>
  <c r="AG57" i="1"/>
  <c r="AI57" i="1" s="1"/>
  <c r="AF58" i="1"/>
  <c r="AH58" i="1" s="1"/>
  <c r="AG58" i="1"/>
  <c r="AI58" i="1" s="1"/>
  <c r="AF59" i="1"/>
  <c r="AH59" i="1" s="1"/>
  <c r="AG59" i="1"/>
  <c r="AI59" i="1" s="1"/>
  <c r="AF60" i="1"/>
  <c r="AH60" i="1" s="1"/>
  <c r="AG60" i="1"/>
  <c r="AI60" i="1" s="1"/>
  <c r="AF61" i="1"/>
  <c r="AH61" i="1" s="1"/>
  <c r="AG61" i="1"/>
  <c r="AI61" i="1" s="1"/>
  <c r="AF62" i="1"/>
  <c r="AH62" i="1" s="1"/>
  <c r="AG62" i="1"/>
  <c r="AI62" i="1" s="1"/>
  <c r="AF63" i="1"/>
  <c r="AH63" i="1" s="1"/>
  <c r="AG63" i="1"/>
  <c r="AI63" i="1" s="1"/>
  <c r="AF64" i="1"/>
  <c r="AH64" i="1" s="1"/>
  <c r="AG64" i="1"/>
  <c r="AI64" i="1" s="1"/>
  <c r="AF65" i="1"/>
  <c r="AH65" i="1" s="1"/>
  <c r="AG65" i="1"/>
  <c r="AI65" i="1" s="1"/>
  <c r="AF66" i="1"/>
  <c r="AH66" i="1" s="1"/>
  <c r="AG66" i="1"/>
  <c r="AI66" i="1" s="1"/>
  <c r="AF67" i="1"/>
  <c r="AH67" i="1" s="1"/>
  <c r="AG67" i="1"/>
  <c r="AI67" i="1" s="1"/>
  <c r="AF68" i="1"/>
  <c r="AH68" i="1" s="1"/>
  <c r="AG68" i="1"/>
  <c r="AI68" i="1" s="1"/>
  <c r="AF69" i="1"/>
  <c r="AH69" i="1" s="1"/>
  <c r="AG69" i="1"/>
  <c r="AI69" i="1" s="1"/>
  <c r="AF70" i="1"/>
  <c r="AH70" i="1" s="1"/>
  <c r="AG70" i="1"/>
  <c r="AI70" i="1" s="1"/>
  <c r="AF71" i="1"/>
  <c r="AH71" i="1" s="1"/>
  <c r="AG71" i="1"/>
  <c r="AI71" i="1" s="1"/>
  <c r="AF72" i="1"/>
  <c r="AH72" i="1" s="1"/>
  <c r="AG72" i="1"/>
  <c r="AI72" i="1" s="1"/>
  <c r="AF73" i="1"/>
  <c r="AH73" i="1" s="1"/>
  <c r="AG73" i="1"/>
  <c r="AI73" i="1" s="1"/>
  <c r="AF74" i="1"/>
  <c r="AH74" i="1" s="1"/>
  <c r="AG74" i="1"/>
  <c r="AI74" i="1" s="1"/>
  <c r="AF75" i="1"/>
  <c r="AH75" i="1" s="1"/>
  <c r="AG75" i="1"/>
  <c r="AI75" i="1" s="1"/>
  <c r="AF76" i="1"/>
  <c r="AH76" i="1" s="1"/>
  <c r="AG76" i="1"/>
  <c r="AI76" i="1" s="1"/>
  <c r="AF77" i="1"/>
  <c r="AH77" i="1" s="1"/>
  <c r="AG77" i="1"/>
  <c r="AI77" i="1" s="1"/>
  <c r="AF78" i="1"/>
  <c r="AH78" i="1" s="1"/>
  <c r="AG78" i="1"/>
  <c r="AI78" i="1" s="1"/>
  <c r="AF79" i="1"/>
  <c r="AH79" i="1" s="1"/>
  <c r="AG79" i="1"/>
  <c r="AI79" i="1" s="1"/>
  <c r="AF80" i="1"/>
  <c r="AH80" i="1" s="1"/>
  <c r="AG80" i="1"/>
  <c r="AI80" i="1" s="1"/>
  <c r="AF81" i="1"/>
  <c r="AH81" i="1" s="1"/>
  <c r="AG81" i="1"/>
  <c r="AI81" i="1" s="1"/>
  <c r="AF82" i="1"/>
  <c r="AH82" i="1" s="1"/>
  <c r="AG82" i="1"/>
  <c r="AI82" i="1" s="1"/>
  <c r="AF83" i="1"/>
  <c r="AH83" i="1" s="1"/>
  <c r="AG83" i="1"/>
  <c r="AI83" i="1" s="1"/>
  <c r="AF84" i="1"/>
  <c r="AH84" i="1" s="1"/>
  <c r="AG84" i="1"/>
  <c r="AI84" i="1" s="1"/>
  <c r="AF85" i="1"/>
  <c r="AH85" i="1" s="1"/>
  <c r="AG85" i="1"/>
  <c r="AI85" i="1" s="1"/>
  <c r="AF86" i="1"/>
  <c r="AH86" i="1" s="1"/>
  <c r="AG86" i="1"/>
  <c r="AI86" i="1" s="1"/>
  <c r="AF87" i="1"/>
  <c r="AH87" i="1" s="1"/>
  <c r="AG87" i="1"/>
  <c r="AI87" i="1" s="1"/>
  <c r="AF88" i="1"/>
  <c r="AH88" i="1" s="1"/>
  <c r="AG88" i="1"/>
  <c r="AI88" i="1" s="1"/>
  <c r="AF89" i="1"/>
  <c r="AH89" i="1" s="1"/>
  <c r="AG89" i="1"/>
  <c r="AI89" i="1" s="1"/>
  <c r="AF90" i="1"/>
  <c r="AH90" i="1" s="1"/>
  <c r="AG90" i="1"/>
  <c r="AI90" i="1" s="1"/>
  <c r="AF91" i="1"/>
  <c r="AH91" i="1" s="1"/>
  <c r="AG91" i="1"/>
  <c r="AI91" i="1" s="1"/>
  <c r="AF92" i="1"/>
  <c r="AH92" i="1" s="1"/>
  <c r="AG92" i="1"/>
  <c r="AI92" i="1" s="1"/>
  <c r="AF93" i="1"/>
  <c r="AH93" i="1" s="1"/>
  <c r="AG93" i="1"/>
  <c r="AI93" i="1" s="1"/>
  <c r="AF94" i="1"/>
  <c r="AH94" i="1" s="1"/>
  <c r="AG94" i="1"/>
  <c r="AI94" i="1" s="1"/>
  <c r="AF95" i="1"/>
  <c r="AH95" i="1" s="1"/>
  <c r="AG95" i="1"/>
  <c r="AI95" i="1" s="1"/>
  <c r="AF96" i="1"/>
  <c r="AH96" i="1" s="1"/>
  <c r="AG96" i="1"/>
  <c r="AI96" i="1" s="1"/>
  <c r="AF97" i="1"/>
  <c r="AH97" i="1" s="1"/>
  <c r="AG97" i="1"/>
  <c r="AI97" i="1" s="1"/>
  <c r="AF98" i="1"/>
  <c r="AH98" i="1" s="1"/>
  <c r="AG98" i="1"/>
  <c r="AI98" i="1" s="1"/>
  <c r="AF99" i="1"/>
  <c r="AH99" i="1" s="1"/>
  <c r="AG99" i="1"/>
  <c r="AI99" i="1" s="1"/>
  <c r="AF100" i="1"/>
  <c r="AH100" i="1" s="1"/>
  <c r="AG100" i="1"/>
  <c r="AI100" i="1" s="1"/>
  <c r="AF101" i="1"/>
  <c r="AH101" i="1" s="1"/>
  <c r="AG101" i="1"/>
  <c r="AI101" i="1" s="1"/>
  <c r="AF102" i="1"/>
  <c r="AH102" i="1" s="1"/>
  <c r="AG102" i="1"/>
  <c r="AI102" i="1" s="1"/>
  <c r="AF103" i="1"/>
  <c r="AH103" i="1" s="1"/>
  <c r="AG103" i="1"/>
  <c r="AI103" i="1" s="1"/>
  <c r="AF104" i="1"/>
  <c r="AH104" i="1" s="1"/>
  <c r="AG104" i="1"/>
  <c r="AI104" i="1" s="1"/>
  <c r="AF105" i="1"/>
  <c r="AH105" i="1" s="1"/>
  <c r="AG105" i="1"/>
  <c r="AI105" i="1" s="1"/>
  <c r="AF106" i="1"/>
  <c r="AH106" i="1" s="1"/>
  <c r="AG106" i="1"/>
  <c r="AI106" i="1" s="1"/>
  <c r="AF107" i="1"/>
  <c r="AH107" i="1" s="1"/>
  <c r="AG107" i="1"/>
  <c r="AI107" i="1" s="1"/>
  <c r="AF108" i="1"/>
  <c r="AH108" i="1" s="1"/>
  <c r="AG108" i="1"/>
  <c r="AI108" i="1" s="1"/>
  <c r="AF109" i="1"/>
  <c r="AH109" i="1" s="1"/>
  <c r="AG109" i="1"/>
  <c r="AI109" i="1" s="1"/>
  <c r="AF110" i="1"/>
  <c r="AH110" i="1" s="1"/>
  <c r="AG110" i="1"/>
  <c r="AI110" i="1" s="1"/>
  <c r="AF111" i="1"/>
  <c r="AH111" i="1" s="1"/>
  <c r="AG111" i="1"/>
  <c r="AI111" i="1" s="1"/>
  <c r="AF112" i="1"/>
  <c r="AH112" i="1" s="1"/>
  <c r="AG112" i="1"/>
  <c r="AI112" i="1" s="1"/>
  <c r="AF113" i="1"/>
  <c r="AH113" i="1" s="1"/>
  <c r="AG113" i="1"/>
  <c r="AI113" i="1" s="1"/>
  <c r="AF114" i="1"/>
  <c r="AH114" i="1" s="1"/>
  <c r="AG114" i="1"/>
  <c r="AI114" i="1" s="1"/>
  <c r="AF115" i="1"/>
  <c r="AH115" i="1" s="1"/>
  <c r="AG115" i="1"/>
  <c r="AI115" i="1" s="1"/>
  <c r="AF116" i="1"/>
  <c r="AH116" i="1" s="1"/>
  <c r="AG116" i="1"/>
  <c r="AI116" i="1" s="1"/>
  <c r="AF117" i="1"/>
  <c r="AH117" i="1" s="1"/>
  <c r="AG117" i="1"/>
  <c r="AI117" i="1" s="1"/>
  <c r="AF118" i="1"/>
  <c r="AH118" i="1" s="1"/>
  <c r="AG118" i="1"/>
  <c r="AI118" i="1" s="1"/>
  <c r="AF119" i="1"/>
  <c r="AH119" i="1" s="1"/>
  <c r="AG119" i="1"/>
  <c r="AI119" i="1" s="1"/>
  <c r="AF120" i="1"/>
  <c r="AH120" i="1" s="1"/>
  <c r="AG120" i="1"/>
  <c r="AI120" i="1" s="1"/>
  <c r="AF121" i="1"/>
  <c r="AH121" i="1" s="1"/>
  <c r="AG121" i="1"/>
  <c r="AI121" i="1" s="1"/>
  <c r="AF122" i="1"/>
  <c r="AH122" i="1" s="1"/>
  <c r="AG122" i="1"/>
  <c r="AI122" i="1" s="1"/>
  <c r="AG3" i="1"/>
  <c r="AI3" i="1" s="1"/>
  <c r="AF3" i="1"/>
  <c r="AD4" i="1"/>
  <c r="AE4" i="1"/>
  <c r="AD5" i="1"/>
  <c r="AE5" i="1"/>
  <c r="AD6" i="1"/>
  <c r="AE6" i="1"/>
  <c r="AD7" i="1"/>
  <c r="AE7" i="1"/>
  <c r="AD8" i="1"/>
  <c r="AE8" i="1"/>
  <c r="AD9" i="1"/>
  <c r="AE9" i="1"/>
  <c r="AD10" i="1"/>
  <c r="AE10" i="1"/>
  <c r="AD11" i="1"/>
  <c r="AE11" i="1"/>
  <c r="AD12" i="1"/>
  <c r="AE12" i="1"/>
  <c r="AD13" i="1"/>
  <c r="AE13" i="1"/>
  <c r="AD14" i="1"/>
  <c r="AE14" i="1"/>
  <c r="AD15" i="1"/>
  <c r="AE15" i="1"/>
  <c r="AD16" i="1"/>
  <c r="AE16" i="1"/>
  <c r="AD17" i="1"/>
  <c r="AE17" i="1"/>
  <c r="AD18" i="1"/>
  <c r="AE18" i="1"/>
  <c r="AD19" i="1"/>
  <c r="AE19" i="1"/>
  <c r="AD20" i="1"/>
  <c r="AE20" i="1"/>
  <c r="AD21" i="1"/>
  <c r="AE21" i="1"/>
  <c r="AD22" i="1"/>
  <c r="AE22" i="1"/>
  <c r="AD23" i="1"/>
  <c r="AE23" i="1"/>
  <c r="AD24" i="1"/>
  <c r="AE24" i="1"/>
  <c r="AD25" i="1"/>
  <c r="AE25" i="1"/>
  <c r="AD26" i="1"/>
  <c r="AE26" i="1"/>
  <c r="AD27" i="1"/>
  <c r="AE27" i="1"/>
  <c r="AD28" i="1"/>
  <c r="AE28" i="1"/>
  <c r="AD29" i="1"/>
  <c r="AE29" i="1"/>
  <c r="AD30" i="1"/>
  <c r="AE30" i="1"/>
  <c r="AD31" i="1"/>
  <c r="AE31" i="1"/>
  <c r="AD32" i="1"/>
  <c r="AE32" i="1"/>
  <c r="AD33" i="1"/>
  <c r="AE33" i="1"/>
  <c r="AD34" i="1"/>
  <c r="AE34" i="1"/>
  <c r="AD35" i="1"/>
  <c r="AE35" i="1"/>
  <c r="AD36" i="1"/>
  <c r="AE36" i="1"/>
  <c r="AD37" i="1"/>
  <c r="AE37" i="1"/>
  <c r="AD38" i="1"/>
  <c r="AE38" i="1"/>
  <c r="AD39" i="1"/>
  <c r="AE39" i="1"/>
  <c r="AD40" i="1"/>
  <c r="AE40" i="1"/>
  <c r="AD41" i="1"/>
  <c r="AE41" i="1"/>
  <c r="AD42" i="1"/>
  <c r="AE42" i="1"/>
  <c r="AD43" i="1"/>
  <c r="AE43" i="1"/>
  <c r="AD44" i="1"/>
  <c r="AE44" i="1"/>
  <c r="AD45" i="1"/>
  <c r="AE45" i="1"/>
  <c r="AD46" i="1"/>
  <c r="AE46" i="1"/>
  <c r="AD47" i="1"/>
  <c r="AE47" i="1"/>
  <c r="AD48" i="1"/>
  <c r="AE48" i="1"/>
  <c r="AD49" i="1"/>
  <c r="AE49" i="1"/>
  <c r="AD50" i="1"/>
  <c r="AE50" i="1"/>
  <c r="AD51" i="1"/>
  <c r="AE51" i="1"/>
  <c r="AD52" i="1"/>
  <c r="AE52" i="1"/>
  <c r="AD53" i="1"/>
  <c r="AE53" i="1"/>
  <c r="AD54" i="1"/>
  <c r="AE54" i="1"/>
  <c r="AD55" i="1"/>
  <c r="AE55" i="1"/>
  <c r="AD56" i="1"/>
  <c r="AE56" i="1"/>
  <c r="AD57" i="1"/>
  <c r="AE57" i="1"/>
  <c r="AD58" i="1"/>
  <c r="AE58" i="1"/>
  <c r="AD59" i="1"/>
  <c r="AE59" i="1"/>
  <c r="AD60" i="1"/>
  <c r="AE60" i="1"/>
  <c r="AD61" i="1"/>
  <c r="AE61" i="1"/>
  <c r="AD62" i="1"/>
  <c r="AE62" i="1"/>
  <c r="AD63" i="1"/>
  <c r="AE63" i="1"/>
  <c r="AD64" i="1"/>
  <c r="AE64" i="1"/>
  <c r="AD65" i="1"/>
  <c r="AE65" i="1"/>
  <c r="AD66" i="1"/>
  <c r="AE66" i="1"/>
  <c r="AD67" i="1"/>
  <c r="AE67" i="1"/>
  <c r="AD68" i="1"/>
  <c r="AE68" i="1"/>
  <c r="AD69" i="1"/>
  <c r="AE69" i="1"/>
  <c r="AD70" i="1"/>
  <c r="AE70" i="1"/>
  <c r="AD71" i="1"/>
  <c r="AE71" i="1"/>
  <c r="AD72" i="1"/>
  <c r="AE72" i="1"/>
  <c r="AD73" i="1"/>
  <c r="AE73" i="1"/>
  <c r="AD74" i="1"/>
  <c r="AE74" i="1"/>
  <c r="AD75" i="1"/>
  <c r="AE75" i="1"/>
  <c r="AD76" i="1"/>
  <c r="AE76" i="1"/>
  <c r="AD77" i="1"/>
  <c r="AE77" i="1"/>
  <c r="AD78" i="1"/>
  <c r="AE78" i="1"/>
  <c r="AD79" i="1"/>
  <c r="AE79" i="1"/>
  <c r="AD80" i="1"/>
  <c r="AE80" i="1"/>
  <c r="AD81" i="1"/>
  <c r="AE81" i="1"/>
  <c r="AD82" i="1"/>
  <c r="AE82" i="1"/>
  <c r="AD83" i="1"/>
  <c r="AE83" i="1"/>
  <c r="AD84" i="1"/>
  <c r="AE84" i="1"/>
  <c r="AD85" i="1"/>
  <c r="AE85" i="1"/>
  <c r="AD86" i="1"/>
  <c r="AE86" i="1"/>
  <c r="AD87" i="1"/>
  <c r="AE87" i="1"/>
  <c r="AD88" i="1"/>
  <c r="AE88" i="1"/>
  <c r="AD89" i="1"/>
  <c r="AE89" i="1"/>
  <c r="AD90" i="1"/>
  <c r="AE90" i="1"/>
  <c r="AD91" i="1"/>
  <c r="AE91" i="1"/>
  <c r="AD92" i="1"/>
  <c r="AE92" i="1"/>
  <c r="AD93" i="1"/>
  <c r="AE93" i="1"/>
  <c r="AD94" i="1"/>
  <c r="AE94" i="1"/>
  <c r="AD95" i="1"/>
  <c r="AE95" i="1"/>
  <c r="AD96" i="1"/>
  <c r="AE96" i="1"/>
  <c r="AD97" i="1"/>
  <c r="AE97" i="1"/>
  <c r="AD98" i="1"/>
  <c r="AE98" i="1"/>
  <c r="AD99" i="1"/>
  <c r="AE99" i="1"/>
  <c r="AD100" i="1"/>
  <c r="AE100" i="1"/>
  <c r="AD101" i="1"/>
  <c r="AE101" i="1"/>
  <c r="AD102" i="1"/>
  <c r="AE102" i="1"/>
  <c r="AD103" i="1"/>
  <c r="AE103" i="1"/>
  <c r="AD104" i="1"/>
  <c r="AE104" i="1"/>
  <c r="AD105" i="1"/>
  <c r="AE105" i="1"/>
  <c r="AD106" i="1"/>
  <c r="AE106" i="1"/>
  <c r="AD107" i="1"/>
  <c r="AE107" i="1"/>
  <c r="AD108" i="1"/>
  <c r="AE108" i="1"/>
  <c r="AD109" i="1"/>
  <c r="AE109" i="1"/>
  <c r="AD110" i="1"/>
  <c r="AE110" i="1"/>
  <c r="AD111" i="1"/>
  <c r="AE111" i="1"/>
  <c r="AD112" i="1"/>
  <c r="AE112" i="1"/>
  <c r="AD113" i="1"/>
  <c r="AE113" i="1"/>
  <c r="AD114" i="1"/>
  <c r="AE114" i="1"/>
  <c r="AD115" i="1"/>
  <c r="AE115" i="1"/>
  <c r="AD116" i="1"/>
  <c r="AE116" i="1"/>
  <c r="AD117" i="1"/>
  <c r="AE117" i="1"/>
  <c r="AD118" i="1"/>
  <c r="AE118" i="1"/>
  <c r="AD119" i="1"/>
  <c r="AE119" i="1"/>
  <c r="AD120" i="1"/>
  <c r="AE120" i="1"/>
  <c r="AD121" i="1"/>
  <c r="AE121" i="1"/>
  <c r="AD122" i="1"/>
  <c r="AE122" i="1"/>
  <c r="AE3" i="1"/>
  <c r="AD3" i="1"/>
  <c r="Z2" i="1"/>
  <c r="J2" i="1"/>
  <c r="W2" i="1" s="1"/>
  <c r="AA2" i="1" s="1"/>
  <c r="U202" i="1"/>
  <c r="U162" i="1"/>
  <c r="U122" i="1"/>
  <c r="U82" i="1"/>
  <c r="U62" i="1"/>
  <c r="U50" i="1"/>
  <c r="U42" i="1"/>
  <c r="U38" i="1"/>
  <c r="U34" i="1"/>
  <c r="U30" i="1"/>
  <c r="U26" i="1"/>
  <c r="U22" i="1"/>
  <c r="U18" i="1"/>
  <c r="U14" i="1"/>
  <c r="U10" i="1"/>
  <c r="U2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3" i="1"/>
  <c r="N4" i="1"/>
  <c r="O4" i="1"/>
  <c r="N5" i="1"/>
  <c r="O5" i="1"/>
  <c r="N6" i="1"/>
  <c r="O6" i="1"/>
  <c r="N7" i="1"/>
  <c r="O7" i="1"/>
  <c r="N8" i="1"/>
  <c r="O8" i="1"/>
  <c r="N9" i="1"/>
  <c r="O9" i="1"/>
  <c r="N10" i="1"/>
  <c r="O10" i="1"/>
  <c r="N11" i="1"/>
  <c r="O11" i="1"/>
  <c r="N12" i="1"/>
  <c r="O12" i="1"/>
  <c r="N13" i="1"/>
  <c r="O13" i="1"/>
  <c r="N14" i="1"/>
  <c r="O14" i="1"/>
  <c r="N15" i="1"/>
  <c r="O15" i="1"/>
  <c r="N16" i="1"/>
  <c r="O16" i="1"/>
  <c r="N17" i="1"/>
  <c r="O17" i="1"/>
  <c r="N18" i="1"/>
  <c r="O18" i="1"/>
  <c r="N19" i="1"/>
  <c r="O19" i="1"/>
  <c r="N20" i="1"/>
  <c r="O20" i="1"/>
  <c r="N21" i="1"/>
  <c r="O21" i="1"/>
  <c r="N22" i="1"/>
  <c r="O22" i="1"/>
  <c r="N23" i="1"/>
  <c r="O23" i="1"/>
  <c r="N24" i="1"/>
  <c r="O24" i="1"/>
  <c r="N25" i="1"/>
  <c r="O25" i="1"/>
  <c r="N26" i="1"/>
  <c r="O26" i="1"/>
  <c r="N27" i="1"/>
  <c r="O27" i="1"/>
  <c r="N28" i="1"/>
  <c r="O28" i="1"/>
  <c r="N29" i="1"/>
  <c r="O29" i="1"/>
  <c r="N30" i="1"/>
  <c r="O30" i="1"/>
  <c r="N31" i="1"/>
  <c r="O31" i="1"/>
  <c r="N32" i="1"/>
  <c r="O32" i="1"/>
  <c r="N33" i="1"/>
  <c r="O33" i="1"/>
  <c r="N34" i="1"/>
  <c r="O34" i="1"/>
  <c r="N35" i="1"/>
  <c r="O35" i="1"/>
  <c r="N36" i="1"/>
  <c r="O36" i="1"/>
  <c r="N37" i="1"/>
  <c r="O37" i="1"/>
  <c r="N38" i="1"/>
  <c r="O38" i="1"/>
  <c r="N39" i="1"/>
  <c r="O39" i="1"/>
  <c r="N40" i="1"/>
  <c r="O40" i="1"/>
  <c r="N41" i="1"/>
  <c r="O41" i="1"/>
  <c r="N42" i="1"/>
  <c r="O42" i="1"/>
  <c r="N43" i="1"/>
  <c r="O43" i="1"/>
  <c r="N44" i="1"/>
  <c r="O44" i="1"/>
  <c r="N45" i="1"/>
  <c r="O45" i="1"/>
  <c r="N46" i="1"/>
  <c r="O46" i="1"/>
  <c r="N47" i="1"/>
  <c r="O47" i="1"/>
  <c r="N48" i="1"/>
  <c r="O48" i="1"/>
  <c r="N49" i="1"/>
  <c r="O49" i="1"/>
  <c r="N50" i="1"/>
  <c r="O50" i="1"/>
  <c r="N51" i="1"/>
  <c r="O51" i="1"/>
  <c r="N52" i="1"/>
  <c r="O52" i="1"/>
  <c r="N53" i="1"/>
  <c r="O53" i="1"/>
  <c r="N54" i="1"/>
  <c r="O54" i="1"/>
  <c r="N55" i="1"/>
  <c r="O55" i="1"/>
  <c r="N56" i="1"/>
  <c r="O56" i="1"/>
  <c r="N57" i="1"/>
  <c r="O57" i="1"/>
  <c r="N58" i="1"/>
  <c r="O58" i="1"/>
  <c r="N59" i="1"/>
  <c r="O59" i="1"/>
  <c r="N60" i="1"/>
  <c r="O60" i="1"/>
  <c r="N61" i="1"/>
  <c r="O61" i="1"/>
  <c r="N62" i="1"/>
  <c r="O62" i="1"/>
  <c r="N63" i="1"/>
  <c r="O63" i="1"/>
  <c r="N64" i="1"/>
  <c r="O64" i="1"/>
  <c r="N65" i="1"/>
  <c r="O65" i="1"/>
  <c r="N66" i="1"/>
  <c r="O66" i="1"/>
  <c r="N67" i="1"/>
  <c r="O67" i="1"/>
  <c r="N68" i="1"/>
  <c r="O68" i="1"/>
  <c r="N69" i="1"/>
  <c r="O69" i="1"/>
  <c r="N70" i="1"/>
  <c r="O70" i="1"/>
  <c r="N71" i="1"/>
  <c r="O71" i="1"/>
  <c r="N72" i="1"/>
  <c r="O72" i="1"/>
  <c r="N73" i="1"/>
  <c r="O73" i="1"/>
  <c r="N74" i="1"/>
  <c r="O74" i="1"/>
  <c r="N75" i="1"/>
  <c r="O75" i="1"/>
  <c r="N76" i="1"/>
  <c r="O76" i="1"/>
  <c r="N77" i="1"/>
  <c r="O77" i="1"/>
  <c r="N78" i="1"/>
  <c r="O78" i="1"/>
  <c r="N79" i="1"/>
  <c r="O79" i="1"/>
  <c r="N80" i="1"/>
  <c r="O80" i="1"/>
  <c r="N81" i="1"/>
  <c r="O81" i="1"/>
  <c r="N82" i="1"/>
  <c r="O82" i="1"/>
  <c r="N83" i="1"/>
  <c r="O83" i="1"/>
  <c r="N84" i="1"/>
  <c r="O84" i="1"/>
  <c r="N85" i="1"/>
  <c r="O85" i="1"/>
  <c r="N86" i="1"/>
  <c r="O86" i="1"/>
  <c r="N87" i="1"/>
  <c r="O87" i="1"/>
  <c r="N88" i="1"/>
  <c r="O88" i="1"/>
  <c r="N89" i="1"/>
  <c r="O89" i="1"/>
  <c r="N90" i="1"/>
  <c r="O90" i="1"/>
  <c r="N91" i="1"/>
  <c r="O91" i="1"/>
  <c r="N92" i="1"/>
  <c r="O92" i="1"/>
  <c r="N93" i="1"/>
  <c r="O93" i="1"/>
  <c r="N94" i="1"/>
  <c r="O94" i="1"/>
  <c r="N95" i="1"/>
  <c r="O95" i="1"/>
  <c r="N96" i="1"/>
  <c r="O96" i="1"/>
  <c r="N97" i="1"/>
  <c r="O97" i="1"/>
  <c r="N98" i="1"/>
  <c r="O98" i="1"/>
  <c r="N99" i="1"/>
  <c r="O99" i="1"/>
  <c r="N100" i="1"/>
  <c r="O100" i="1"/>
  <c r="N101" i="1"/>
  <c r="O101" i="1"/>
  <c r="N102" i="1"/>
  <c r="O102" i="1"/>
  <c r="N103" i="1"/>
  <c r="O103" i="1"/>
  <c r="N104" i="1"/>
  <c r="O104" i="1"/>
  <c r="N105" i="1"/>
  <c r="O105" i="1"/>
  <c r="N106" i="1"/>
  <c r="O106" i="1"/>
  <c r="N107" i="1"/>
  <c r="O107" i="1"/>
  <c r="N108" i="1"/>
  <c r="O108" i="1"/>
  <c r="N109" i="1"/>
  <c r="O109" i="1"/>
  <c r="N110" i="1"/>
  <c r="O110" i="1"/>
  <c r="N111" i="1"/>
  <c r="O111" i="1"/>
  <c r="N112" i="1"/>
  <c r="O112" i="1"/>
  <c r="N113" i="1"/>
  <c r="O113" i="1"/>
  <c r="N114" i="1"/>
  <c r="O114" i="1"/>
  <c r="N115" i="1"/>
  <c r="O115" i="1"/>
  <c r="N116" i="1"/>
  <c r="O116" i="1"/>
  <c r="N117" i="1"/>
  <c r="O117" i="1"/>
  <c r="N118" i="1"/>
  <c r="O118" i="1"/>
  <c r="N119" i="1"/>
  <c r="O119" i="1"/>
  <c r="N120" i="1"/>
  <c r="O120" i="1"/>
  <c r="N121" i="1"/>
  <c r="O121" i="1"/>
  <c r="N122" i="1"/>
  <c r="O122" i="1"/>
  <c r="N123" i="1"/>
  <c r="O123" i="1"/>
  <c r="N124" i="1"/>
  <c r="O124" i="1"/>
  <c r="N125" i="1"/>
  <c r="O125" i="1"/>
  <c r="N126" i="1"/>
  <c r="O126" i="1"/>
  <c r="N127" i="1"/>
  <c r="O127" i="1"/>
  <c r="N128" i="1"/>
  <c r="O128" i="1"/>
  <c r="N129" i="1"/>
  <c r="O129" i="1"/>
  <c r="N130" i="1"/>
  <c r="O130" i="1"/>
  <c r="N131" i="1"/>
  <c r="O131" i="1"/>
  <c r="N132" i="1"/>
  <c r="O132" i="1"/>
  <c r="N133" i="1"/>
  <c r="O133" i="1"/>
  <c r="N134" i="1"/>
  <c r="O134" i="1"/>
  <c r="N135" i="1"/>
  <c r="O135" i="1"/>
  <c r="N136" i="1"/>
  <c r="O136" i="1"/>
  <c r="N137" i="1"/>
  <c r="O137" i="1"/>
  <c r="N138" i="1"/>
  <c r="O138" i="1"/>
  <c r="N139" i="1"/>
  <c r="O139" i="1"/>
  <c r="N140" i="1"/>
  <c r="O140" i="1"/>
  <c r="N141" i="1"/>
  <c r="O141" i="1"/>
  <c r="N142" i="1"/>
  <c r="O142" i="1"/>
  <c r="N143" i="1"/>
  <c r="O143" i="1"/>
  <c r="N144" i="1"/>
  <c r="O144" i="1"/>
  <c r="N145" i="1"/>
  <c r="O145" i="1"/>
  <c r="N146" i="1"/>
  <c r="O146" i="1"/>
  <c r="N147" i="1"/>
  <c r="O147" i="1"/>
  <c r="N148" i="1"/>
  <c r="O148" i="1"/>
  <c r="N149" i="1"/>
  <c r="O149" i="1"/>
  <c r="N150" i="1"/>
  <c r="O150" i="1"/>
  <c r="N151" i="1"/>
  <c r="O151" i="1"/>
  <c r="N152" i="1"/>
  <c r="O152" i="1"/>
  <c r="N153" i="1"/>
  <c r="O153" i="1"/>
  <c r="N154" i="1"/>
  <c r="O154" i="1"/>
  <c r="N155" i="1"/>
  <c r="O155" i="1"/>
  <c r="N156" i="1"/>
  <c r="O156" i="1"/>
  <c r="N157" i="1"/>
  <c r="O157" i="1"/>
  <c r="N158" i="1"/>
  <c r="O158" i="1"/>
  <c r="N159" i="1"/>
  <c r="O159" i="1"/>
  <c r="N160" i="1"/>
  <c r="O160" i="1"/>
  <c r="N161" i="1"/>
  <c r="O161" i="1"/>
  <c r="N162" i="1"/>
  <c r="O162" i="1"/>
  <c r="N163" i="1"/>
  <c r="O163" i="1"/>
  <c r="N164" i="1"/>
  <c r="O164" i="1"/>
  <c r="N165" i="1"/>
  <c r="O165" i="1"/>
  <c r="N166" i="1"/>
  <c r="O166" i="1"/>
  <c r="N167" i="1"/>
  <c r="O167" i="1"/>
  <c r="N168" i="1"/>
  <c r="O168" i="1"/>
  <c r="N169" i="1"/>
  <c r="O169" i="1"/>
  <c r="N170" i="1"/>
  <c r="O170" i="1"/>
  <c r="N171" i="1"/>
  <c r="O171" i="1"/>
  <c r="N172" i="1"/>
  <c r="O172" i="1"/>
  <c r="N173" i="1"/>
  <c r="O173" i="1"/>
  <c r="N174" i="1"/>
  <c r="O174" i="1"/>
  <c r="N175" i="1"/>
  <c r="O175" i="1"/>
  <c r="N176" i="1"/>
  <c r="O176" i="1"/>
  <c r="N177" i="1"/>
  <c r="O177" i="1"/>
  <c r="N178" i="1"/>
  <c r="O178" i="1"/>
  <c r="N179" i="1"/>
  <c r="O179" i="1"/>
  <c r="N180" i="1"/>
  <c r="O180" i="1"/>
  <c r="N181" i="1"/>
  <c r="O181" i="1"/>
  <c r="N182" i="1"/>
  <c r="O182" i="1"/>
  <c r="N183" i="1"/>
  <c r="O183" i="1"/>
  <c r="N184" i="1"/>
  <c r="O184" i="1"/>
  <c r="N185" i="1"/>
  <c r="O185" i="1"/>
  <c r="N186" i="1"/>
  <c r="O186" i="1"/>
  <c r="N187" i="1"/>
  <c r="O187" i="1"/>
  <c r="N188" i="1"/>
  <c r="O188" i="1"/>
  <c r="N189" i="1"/>
  <c r="O189" i="1"/>
  <c r="N190" i="1"/>
  <c r="O190" i="1"/>
  <c r="N191" i="1"/>
  <c r="O191" i="1"/>
  <c r="N192" i="1"/>
  <c r="O192" i="1"/>
  <c r="N193" i="1"/>
  <c r="O193" i="1"/>
  <c r="N194" i="1"/>
  <c r="O194" i="1"/>
  <c r="N195" i="1"/>
  <c r="O195" i="1"/>
  <c r="N196" i="1"/>
  <c r="O196" i="1"/>
  <c r="N197" i="1"/>
  <c r="O197" i="1"/>
  <c r="N198" i="1"/>
  <c r="O198" i="1"/>
  <c r="N199" i="1"/>
  <c r="O199" i="1"/>
  <c r="N200" i="1"/>
  <c r="O200" i="1"/>
  <c r="N201" i="1"/>
  <c r="O201" i="1"/>
  <c r="N202" i="1"/>
  <c r="O202" i="1"/>
  <c r="O3" i="1"/>
  <c r="H3" i="3"/>
  <c r="H5" i="3"/>
  <c r="H7" i="3"/>
  <c r="H9" i="3"/>
  <c r="H11" i="3"/>
  <c r="H13" i="3"/>
  <c r="H15" i="3"/>
  <c r="H17" i="3"/>
  <c r="H21" i="3"/>
  <c r="H18" i="3"/>
  <c r="H22" i="3"/>
  <c r="H27" i="3"/>
  <c r="H31" i="3"/>
  <c r="H35" i="3"/>
  <c r="H26" i="3"/>
  <c r="H30" i="3"/>
  <c r="H34" i="3"/>
  <c r="H37" i="3"/>
  <c r="H39" i="3"/>
  <c r="H41" i="3"/>
  <c r="H43" i="3"/>
  <c r="H45" i="3"/>
  <c r="H47" i="3"/>
  <c r="H49" i="3"/>
  <c r="H51" i="3"/>
  <c r="H53" i="3"/>
  <c r="H55" i="3"/>
  <c r="H57" i="3"/>
  <c r="H59" i="3"/>
  <c r="H61" i="3"/>
  <c r="H63" i="3"/>
  <c r="H65" i="3"/>
  <c r="H67" i="3"/>
  <c r="H70" i="3"/>
  <c r="H74" i="3"/>
  <c r="H78" i="3"/>
  <c r="H82" i="3"/>
  <c r="H85" i="3"/>
  <c r="H88" i="3"/>
  <c r="H71" i="3"/>
  <c r="H75" i="3"/>
  <c r="H79" i="3"/>
  <c r="H84" i="3"/>
  <c r="H89" i="3"/>
  <c r="H93" i="3"/>
  <c r="H97" i="3"/>
  <c r="H101" i="3"/>
  <c r="H105" i="3"/>
  <c r="H109" i="3"/>
  <c r="H113" i="3"/>
  <c r="H117" i="3"/>
  <c r="H90" i="3"/>
  <c r="H94" i="3"/>
  <c r="H98" i="3"/>
  <c r="H102" i="3"/>
  <c r="H106" i="3"/>
  <c r="H110" i="3"/>
  <c r="H114" i="3"/>
  <c r="H118" i="3"/>
  <c r="H121" i="3"/>
  <c r="H123" i="3"/>
  <c r="H125" i="3"/>
  <c r="H127" i="3"/>
  <c r="H129" i="3"/>
  <c r="H131" i="3"/>
  <c r="H133" i="3"/>
  <c r="H135" i="3"/>
  <c r="H137" i="3"/>
  <c r="H139" i="3"/>
  <c r="H141" i="3"/>
  <c r="H143" i="3"/>
  <c r="H145" i="3"/>
  <c r="H147" i="3"/>
  <c r="H149" i="3"/>
  <c r="H151" i="3"/>
  <c r="H153" i="3"/>
  <c r="H155" i="3"/>
  <c r="H157" i="3"/>
  <c r="H159" i="3"/>
  <c r="H161" i="3"/>
  <c r="H163" i="3"/>
  <c r="H165" i="3"/>
  <c r="H167" i="3"/>
  <c r="H169" i="3"/>
  <c r="H171" i="3"/>
  <c r="H173" i="3"/>
  <c r="H175" i="3"/>
  <c r="H177" i="3"/>
  <c r="H179" i="3"/>
  <c r="H181" i="3"/>
  <c r="H183" i="3"/>
  <c r="H185" i="3"/>
  <c r="H187" i="3"/>
  <c r="H189" i="3"/>
  <c r="H191" i="3"/>
  <c r="H193" i="3"/>
  <c r="H195" i="3"/>
  <c r="H197" i="3"/>
  <c r="H199" i="3"/>
  <c r="H201" i="3"/>
  <c r="H168" i="3"/>
  <c r="H172" i="3"/>
  <c r="H174" i="3"/>
  <c r="H178" i="3"/>
  <c r="H182" i="3"/>
  <c r="H184" i="3"/>
  <c r="H188" i="3"/>
  <c r="H192" i="3"/>
  <c r="H196" i="3"/>
  <c r="H198" i="3"/>
  <c r="H202" i="3"/>
  <c r="H4" i="3"/>
  <c r="H6" i="3"/>
  <c r="H8" i="3"/>
  <c r="H10" i="3"/>
  <c r="H12" i="3"/>
  <c r="H14" i="3"/>
  <c r="H16" i="3"/>
  <c r="H19" i="3"/>
  <c r="H23" i="3"/>
  <c r="H20" i="3"/>
  <c r="H25" i="3"/>
  <c r="H29" i="3"/>
  <c r="H33" i="3"/>
  <c r="H24" i="3"/>
  <c r="H28" i="3"/>
  <c r="H32" i="3"/>
  <c r="H36" i="3"/>
  <c r="H38" i="3"/>
  <c r="H40" i="3"/>
  <c r="H42" i="3"/>
  <c r="H44" i="3"/>
  <c r="H46" i="3"/>
  <c r="H48" i="3"/>
  <c r="H50" i="3"/>
  <c r="H52" i="3"/>
  <c r="H54" i="3"/>
  <c r="H56" i="3"/>
  <c r="H58" i="3"/>
  <c r="H60" i="3"/>
  <c r="H62" i="3"/>
  <c r="H64" i="3"/>
  <c r="H66" i="3"/>
  <c r="H68" i="3"/>
  <c r="H72" i="3"/>
  <c r="H76" i="3"/>
  <c r="H80" i="3"/>
  <c r="H83" i="3"/>
  <c r="H87" i="3"/>
  <c r="H69" i="3"/>
  <c r="H73" i="3"/>
  <c r="H77" i="3"/>
  <c r="H81" i="3"/>
  <c r="H86" i="3"/>
  <c r="H91" i="3"/>
  <c r="H95" i="3"/>
  <c r="H99" i="3"/>
  <c r="H103" i="3"/>
  <c r="H107" i="3"/>
  <c r="H111" i="3"/>
  <c r="H115" i="3"/>
  <c r="H119" i="3"/>
  <c r="H92" i="3"/>
  <c r="H96" i="3"/>
  <c r="H100" i="3"/>
  <c r="H104" i="3"/>
  <c r="H108" i="3"/>
  <c r="H112" i="3"/>
  <c r="H116" i="3"/>
  <c r="H120" i="3"/>
  <c r="H122" i="3"/>
  <c r="H124" i="3"/>
  <c r="H126" i="3"/>
  <c r="H128" i="3"/>
  <c r="H130" i="3"/>
  <c r="H132" i="3"/>
  <c r="H134" i="3"/>
  <c r="H136" i="3"/>
  <c r="H138" i="3"/>
  <c r="H140" i="3"/>
  <c r="H142" i="3"/>
  <c r="H144" i="3"/>
  <c r="H146" i="3"/>
  <c r="H148" i="3"/>
  <c r="H150" i="3"/>
  <c r="H152" i="3"/>
  <c r="H154" i="3"/>
  <c r="H156" i="3"/>
  <c r="H158" i="3"/>
  <c r="H160" i="3"/>
  <c r="H162" i="3"/>
  <c r="H164" i="3"/>
  <c r="H166" i="3"/>
  <c r="H170" i="3"/>
  <c r="H176" i="3"/>
  <c r="H180" i="3"/>
  <c r="H186" i="3"/>
  <c r="H190" i="3"/>
  <c r="H194" i="3"/>
  <c r="H200" i="3"/>
  <c r="I202" i="3" l="1"/>
  <c r="J202" i="3" s="1"/>
  <c r="W202" i="3" s="1"/>
  <c r="AA202" i="3" s="1"/>
  <c r="I201" i="3"/>
  <c r="J201" i="3" s="1"/>
  <c r="W201" i="3" s="1"/>
  <c r="V202" i="3" s="1"/>
  <c r="I200" i="3"/>
  <c r="J200" i="3" s="1"/>
  <c r="W200" i="3" s="1"/>
  <c r="V201" i="3" s="1"/>
  <c r="I199" i="3"/>
  <c r="J199" i="3" s="1"/>
  <c r="W199" i="3" s="1"/>
  <c r="V200" i="3" s="1"/>
  <c r="I198" i="3"/>
  <c r="J198" i="3" s="1"/>
  <c r="W198" i="3" s="1"/>
  <c r="V199" i="3" s="1"/>
  <c r="I197" i="3"/>
  <c r="J197" i="3" s="1"/>
  <c r="W197" i="3" s="1"/>
  <c r="V198" i="3" s="1"/>
  <c r="I196" i="3"/>
  <c r="J196" i="3" s="1"/>
  <c r="W196" i="3" s="1"/>
  <c r="V197" i="3" s="1"/>
  <c r="I195" i="3"/>
  <c r="J195" i="3" s="1"/>
  <c r="W195" i="3" s="1"/>
  <c r="V196" i="3" s="1"/>
  <c r="I194" i="3"/>
  <c r="J194" i="3" s="1"/>
  <c r="W194" i="3" s="1"/>
  <c r="V195" i="3" s="1"/>
  <c r="I193" i="3"/>
  <c r="J193" i="3" s="1"/>
  <c r="W193" i="3" s="1"/>
  <c r="V194" i="3" s="1"/>
  <c r="I192" i="3"/>
  <c r="J192" i="3" s="1"/>
  <c r="W192" i="3" s="1"/>
  <c r="V193" i="3" s="1"/>
  <c r="I191" i="3"/>
  <c r="J191" i="3" s="1"/>
  <c r="W191" i="3" s="1"/>
  <c r="V192" i="3" s="1"/>
  <c r="I190" i="3"/>
  <c r="J190" i="3" s="1"/>
  <c r="W190" i="3" s="1"/>
  <c r="V191" i="3" s="1"/>
  <c r="I189" i="3"/>
  <c r="J189" i="3" s="1"/>
  <c r="W189" i="3" s="1"/>
  <c r="V190" i="3" s="1"/>
  <c r="I188" i="3"/>
  <c r="J188" i="3" s="1"/>
  <c r="W188" i="3" s="1"/>
  <c r="V189" i="3" s="1"/>
  <c r="I187" i="3"/>
  <c r="J187" i="3" s="1"/>
  <c r="W187" i="3" s="1"/>
  <c r="V188" i="3" s="1"/>
  <c r="I186" i="3"/>
  <c r="J186" i="3" s="1"/>
  <c r="W186" i="3" s="1"/>
  <c r="V187" i="3" s="1"/>
  <c r="I185" i="3"/>
  <c r="J185" i="3" s="1"/>
  <c r="W185" i="3" s="1"/>
  <c r="V186" i="3" s="1"/>
  <c r="I184" i="3"/>
  <c r="J184" i="3" s="1"/>
  <c r="W184" i="3" s="1"/>
  <c r="V185" i="3" s="1"/>
  <c r="I183" i="3"/>
  <c r="J183" i="3" s="1"/>
  <c r="W183" i="3" s="1"/>
  <c r="V184" i="3" s="1"/>
  <c r="I182" i="3"/>
  <c r="J182" i="3" s="1"/>
  <c r="W182" i="3" s="1"/>
  <c r="V183" i="3" s="1"/>
  <c r="I181" i="3"/>
  <c r="J181" i="3" s="1"/>
  <c r="W181" i="3" s="1"/>
  <c r="V182" i="3" s="1"/>
  <c r="I180" i="3"/>
  <c r="J180" i="3" s="1"/>
  <c r="W180" i="3" s="1"/>
  <c r="V181" i="3" s="1"/>
  <c r="I179" i="3"/>
  <c r="J179" i="3" s="1"/>
  <c r="W179" i="3" s="1"/>
  <c r="V180" i="3" s="1"/>
  <c r="I178" i="3"/>
  <c r="J178" i="3" s="1"/>
  <c r="W178" i="3" s="1"/>
  <c r="V179" i="3" s="1"/>
  <c r="I177" i="3"/>
  <c r="J177" i="3" s="1"/>
  <c r="W177" i="3" s="1"/>
  <c r="V178" i="3" s="1"/>
  <c r="I176" i="3"/>
  <c r="J176" i="3" s="1"/>
  <c r="W176" i="3" s="1"/>
  <c r="V177" i="3" s="1"/>
  <c r="I175" i="3"/>
  <c r="J175" i="3" s="1"/>
  <c r="W175" i="3" s="1"/>
  <c r="V176" i="3" s="1"/>
  <c r="I174" i="3"/>
  <c r="J174" i="3" s="1"/>
  <c r="W174" i="3" s="1"/>
  <c r="V175" i="3" s="1"/>
  <c r="I173" i="3"/>
  <c r="J173" i="3" s="1"/>
  <c r="W173" i="3" s="1"/>
  <c r="V174" i="3" s="1"/>
  <c r="I172" i="3"/>
  <c r="J172" i="3" s="1"/>
  <c r="W172" i="3" s="1"/>
  <c r="V173" i="3" s="1"/>
  <c r="I171" i="3"/>
  <c r="J171" i="3" s="1"/>
  <c r="W171" i="3" s="1"/>
  <c r="V172" i="3" s="1"/>
  <c r="I170" i="3"/>
  <c r="J170" i="3" s="1"/>
  <c r="W170" i="3" s="1"/>
  <c r="V171" i="3" s="1"/>
  <c r="I169" i="3"/>
  <c r="J169" i="3" s="1"/>
  <c r="W169" i="3" s="1"/>
  <c r="V170" i="3" s="1"/>
  <c r="I168" i="3"/>
  <c r="J168" i="3" s="1"/>
  <c r="W168" i="3" s="1"/>
  <c r="V169" i="3" s="1"/>
  <c r="I167" i="3"/>
  <c r="J167" i="3" s="1"/>
  <c r="W167" i="3" s="1"/>
  <c r="V168" i="3" s="1"/>
  <c r="I166" i="3"/>
  <c r="J166" i="3" s="1"/>
  <c r="W166" i="3" s="1"/>
  <c r="V167" i="3" s="1"/>
  <c r="I165" i="3"/>
  <c r="J165" i="3" s="1"/>
  <c r="W165" i="3" s="1"/>
  <c r="V166" i="3" s="1"/>
  <c r="I164" i="3"/>
  <c r="J164" i="3" s="1"/>
  <c r="W164" i="3" s="1"/>
  <c r="V165" i="3" s="1"/>
  <c r="I163" i="3"/>
  <c r="J163" i="3" s="1"/>
  <c r="W163" i="3" s="1"/>
  <c r="V164" i="3" s="1"/>
  <c r="I162" i="3"/>
  <c r="J162" i="3" s="1"/>
  <c r="W162" i="3" s="1"/>
  <c r="I161" i="3"/>
  <c r="J161" i="3" s="1"/>
  <c r="W161" i="3" s="1"/>
  <c r="V162" i="3" s="1"/>
  <c r="I160" i="3"/>
  <c r="J160" i="3" s="1"/>
  <c r="W160" i="3" s="1"/>
  <c r="V161" i="3" s="1"/>
  <c r="I159" i="3"/>
  <c r="J159" i="3" s="1"/>
  <c r="W159" i="3" s="1"/>
  <c r="V160" i="3" s="1"/>
  <c r="I158" i="3"/>
  <c r="J158" i="3" s="1"/>
  <c r="W158" i="3" s="1"/>
  <c r="V159" i="3" s="1"/>
  <c r="I157" i="3"/>
  <c r="J157" i="3" s="1"/>
  <c r="W157" i="3" s="1"/>
  <c r="V158" i="3" s="1"/>
  <c r="I156" i="3"/>
  <c r="J156" i="3" s="1"/>
  <c r="W156" i="3" s="1"/>
  <c r="V157" i="3" s="1"/>
  <c r="I155" i="3"/>
  <c r="J155" i="3" s="1"/>
  <c r="W155" i="3" s="1"/>
  <c r="V156" i="3" s="1"/>
  <c r="I154" i="3"/>
  <c r="J154" i="3" s="1"/>
  <c r="W154" i="3" s="1"/>
  <c r="V155" i="3" s="1"/>
  <c r="I153" i="3"/>
  <c r="J153" i="3" s="1"/>
  <c r="W153" i="3" s="1"/>
  <c r="V154" i="3" s="1"/>
  <c r="I152" i="3"/>
  <c r="J152" i="3" s="1"/>
  <c r="W152" i="3" s="1"/>
  <c r="V153" i="3" s="1"/>
  <c r="I151" i="3"/>
  <c r="J151" i="3" s="1"/>
  <c r="W151" i="3" s="1"/>
  <c r="V152" i="3" s="1"/>
  <c r="I150" i="3"/>
  <c r="J150" i="3" s="1"/>
  <c r="W150" i="3" s="1"/>
  <c r="V151" i="3" s="1"/>
  <c r="I149" i="3"/>
  <c r="J149" i="3" s="1"/>
  <c r="W149" i="3" s="1"/>
  <c r="V150" i="3" s="1"/>
  <c r="I148" i="3"/>
  <c r="J148" i="3" s="1"/>
  <c r="W148" i="3" s="1"/>
  <c r="V149" i="3" s="1"/>
  <c r="I147" i="3"/>
  <c r="J147" i="3" s="1"/>
  <c r="W147" i="3" s="1"/>
  <c r="V148" i="3" s="1"/>
  <c r="I146" i="3"/>
  <c r="J146" i="3" s="1"/>
  <c r="W146" i="3" s="1"/>
  <c r="V147" i="3" s="1"/>
  <c r="I145" i="3"/>
  <c r="J145" i="3" s="1"/>
  <c r="W145" i="3" s="1"/>
  <c r="V146" i="3" s="1"/>
  <c r="I144" i="3"/>
  <c r="J144" i="3" s="1"/>
  <c r="W144" i="3" s="1"/>
  <c r="V145" i="3" s="1"/>
  <c r="I143" i="3"/>
  <c r="J143" i="3" s="1"/>
  <c r="W143" i="3" s="1"/>
  <c r="V144" i="3" s="1"/>
  <c r="I142" i="3"/>
  <c r="J142" i="3" s="1"/>
  <c r="W142" i="3" s="1"/>
  <c r="V143" i="3" s="1"/>
  <c r="I141" i="3"/>
  <c r="J141" i="3" s="1"/>
  <c r="W141" i="3" s="1"/>
  <c r="V142" i="3" s="1"/>
  <c r="I140" i="3"/>
  <c r="J140" i="3" s="1"/>
  <c r="W140" i="3" s="1"/>
  <c r="V141" i="3" s="1"/>
  <c r="I139" i="3"/>
  <c r="J139" i="3" s="1"/>
  <c r="W139" i="3" s="1"/>
  <c r="V140" i="3" s="1"/>
  <c r="I138" i="3"/>
  <c r="J138" i="3" s="1"/>
  <c r="W138" i="3" s="1"/>
  <c r="V139" i="3" s="1"/>
  <c r="I137" i="3"/>
  <c r="J137" i="3" s="1"/>
  <c r="W137" i="3" s="1"/>
  <c r="V138" i="3" s="1"/>
  <c r="I136" i="3"/>
  <c r="J136" i="3" s="1"/>
  <c r="W136" i="3" s="1"/>
  <c r="V137" i="3" s="1"/>
  <c r="I135" i="3"/>
  <c r="J135" i="3" s="1"/>
  <c r="W135" i="3" s="1"/>
  <c r="V136" i="3" s="1"/>
  <c r="I134" i="3"/>
  <c r="J134" i="3" s="1"/>
  <c r="W134" i="3" s="1"/>
  <c r="V135" i="3" s="1"/>
  <c r="I133" i="3"/>
  <c r="J133" i="3" s="1"/>
  <c r="W133" i="3" s="1"/>
  <c r="V134" i="3" s="1"/>
  <c r="I132" i="3"/>
  <c r="J132" i="3" s="1"/>
  <c r="W132" i="3" s="1"/>
  <c r="V133" i="3" s="1"/>
  <c r="I131" i="3"/>
  <c r="J131" i="3" s="1"/>
  <c r="W131" i="3" s="1"/>
  <c r="V132" i="3" s="1"/>
  <c r="I130" i="3"/>
  <c r="J130" i="3" s="1"/>
  <c r="W130" i="3" s="1"/>
  <c r="V131" i="3" s="1"/>
  <c r="I129" i="3"/>
  <c r="J129" i="3" s="1"/>
  <c r="W129" i="3" s="1"/>
  <c r="V130" i="3" s="1"/>
  <c r="I128" i="3"/>
  <c r="J128" i="3" s="1"/>
  <c r="W128" i="3" s="1"/>
  <c r="V129" i="3" s="1"/>
  <c r="I127" i="3"/>
  <c r="J127" i="3" s="1"/>
  <c r="W127" i="3" s="1"/>
  <c r="V128" i="3" s="1"/>
  <c r="I126" i="3"/>
  <c r="J126" i="3" s="1"/>
  <c r="W126" i="3" s="1"/>
  <c r="V127" i="3" s="1"/>
  <c r="I125" i="3"/>
  <c r="J125" i="3" s="1"/>
  <c r="W125" i="3" s="1"/>
  <c r="V126" i="3" s="1"/>
  <c r="I124" i="3"/>
  <c r="J124" i="3" s="1"/>
  <c r="W124" i="3" s="1"/>
  <c r="V125" i="3" s="1"/>
  <c r="I123" i="3"/>
  <c r="J123" i="3" s="1"/>
  <c r="W123" i="3" s="1"/>
  <c r="V124" i="3" s="1"/>
  <c r="I122" i="3"/>
  <c r="I121" i="3"/>
  <c r="I120" i="3"/>
  <c r="I118" i="3"/>
  <c r="I116" i="3"/>
  <c r="I114" i="3"/>
  <c r="I112" i="3"/>
  <c r="I110" i="3"/>
  <c r="I108" i="3"/>
  <c r="I106" i="3"/>
  <c r="I104" i="3"/>
  <c r="I102" i="3"/>
  <c r="I100" i="3"/>
  <c r="I98" i="3"/>
  <c r="I96" i="3"/>
  <c r="I94" i="3"/>
  <c r="I92" i="3"/>
  <c r="I90" i="3"/>
  <c r="I119" i="3"/>
  <c r="I117" i="3"/>
  <c r="I115" i="3"/>
  <c r="I113" i="3"/>
  <c r="I111" i="3"/>
  <c r="I109" i="3"/>
  <c r="I107" i="3"/>
  <c r="I105" i="3"/>
  <c r="I103" i="3"/>
  <c r="I101" i="3"/>
  <c r="I99" i="3"/>
  <c r="I97" i="3"/>
  <c r="I95" i="3"/>
  <c r="I93" i="3"/>
  <c r="I91" i="3"/>
  <c r="I89" i="3"/>
  <c r="I86" i="3"/>
  <c r="I84" i="3"/>
  <c r="I81" i="3"/>
  <c r="I79" i="3"/>
  <c r="I77" i="3"/>
  <c r="I75" i="3"/>
  <c r="I73" i="3"/>
  <c r="I71" i="3"/>
  <c r="I69" i="3"/>
  <c r="I88" i="3"/>
  <c r="I87" i="3"/>
  <c r="I85" i="3"/>
  <c r="I83" i="3"/>
  <c r="I82" i="3"/>
  <c r="I80" i="3"/>
  <c r="I78" i="3"/>
  <c r="I76" i="3"/>
  <c r="I74" i="3"/>
  <c r="I72" i="3"/>
  <c r="I70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4" i="3"/>
  <c r="I32" i="3"/>
  <c r="I30" i="3"/>
  <c r="I28" i="3"/>
  <c r="I26" i="3"/>
  <c r="I24" i="3"/>
  <c r="I35" i="3"/>
  <c r="I33" i="3"/>
  <c r="I31" i="3"/>
  <c r="I29" i="3"/>
  <c r="I27" i="3"/>
  <c r="I25" i="3"/>
  <c r="I22" i="3"/>
  <c r="I20" i="3"/>
  <c r="I18" i="3"/>
  <c r="I23" i="3"/>
  <c r="I21" i="3"/>
  <c r="I19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CD20" i="3"/>
  <c r="AT3" i="2"/>
  <c r="BB1" i="2"/>
  <c r="BB4" i="2" s="1"/>
  <c r="AH3" i="1"/>
  <c r="AH10" i="1"/>
  <c r="AH9" i="1"/>
  <c r="AH8" i="1"/>
  <c r="AH7" i="1"/>
  <c r="AH6" i="1"/>
  <c r="AH5" i="1"/>
  <c r="AH4" i="1"/>
  <c r="P202" i="1"/>
  <c r="P201" i="1"/>
  <c r="P200" i="1"/>
  <c r="P199" i="1"/>
  <c r="P198" i="1"/>
  <c r="P197" i="1"/>
  <c r="P196" i="1"/>
  <c r="P195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CB19" i="1"/>
  <c r="BX19" i="1"/>
  <c r="BM17" i="1"/>
  <c r="BN17" i="1"/>
  <c r="BO17" i="1"/>
  <c r="BP17" i="1"/>
  <c r="BQ17" i="1"/>
  <c r="BT17" i="1"/>
  <c r="BM18" i="1"/>
  <c r="BN18" i="1"/>
  <c r="BO18" i="1"/>
  <c r="BP18" i="1"/>
  <c r="BQ18" i="1"/>
  <c r="BT18" i="1"/>
  <c r="BM19" i="1"/>
  <c r="BN19" i="1"/>
  <c r="BO19" i="1"/>
  <c r="BP19" i="1"/>
  <c r="BQ19" i="1"/>
  <c r="BT19" i="1"/>
  <c r="BQ20" i="1"/>
  <c r="BQ16" i="1"/>
  <c r="BQ15" i="1"/>
  <c r="BQ14" i="1"/>
  <c r="BQ13" i="1"/>
  <c r="BQ12" i="1"/>
  <c r="BQ11" i="1"/>
  <c r="BQ10" i="1"/>
  <c r="BQ9" i="1"/>
  <c r="BQ8" i="1"/>
  <c r="BQ7" i="1"/>
  <c r="BQ6" i="1"/>
  <c r="BQ5" i="1"/>
  <c r="BQ4" i="1"/>
  <c r="BQ3" i="1"/>
  <c r="G6" i="1"/>
  <c r="G5" i="1"/>
  <c r="G4" i="1"/>
  <c r="G3" i="1"/>
  <c r="BT20" i="1"/>
  <c r="BT16" i="1"/>
  <c r="BT15" i="1"/>
  <c r="BT14" i="1"/>
  <c r="BT13" i="1"/>
  <c r="BT12" i="1"/>
  <c r="BT11" i="1"/>
  <c r="BT10" i="1"/>
  <c r="BT9" i="1"/>
  <c r="BT8" i="1"/>
  <c r="BT7" i="1"/>
  <c r="BT6" i="1"/>
  <c r="BT5" i="1"/>
  <c r="BT4" i="1"/>
  <c r="BT3" i="1"/>
  <c r="BT2" i="1"/>
  <c r="BP20" i="1"/>
  <c r="BO20" i="1"/>
  <c r="BN20" i="1"/>
  <c r="BM20" i="1"/>
  <c r="BP16" i="1"/>
  <c r="BO16" i="1"/>
  <c r="BN16" i="1"/>
  <c r="BM16" i="1"/>
  <c r="BP15" i="1"/>
  <c r="BO15" i="1"/>
  <c r="BN15" i="1"/>
  <c r="BM15" i="1"/>
  <c r="BP14" i="1"/>
  <c r="BO14" i="1"/>
  <c r="BN14" i="1"/>
  <c r="BM14" i="1"/>
  <c r="BP13" i="1"/>
  <c r="BO13" i="1"/>
  <c r="BN13" i="1"/>
  <c r="BM13" i="1"/>
  <c r="BP12" i="1"/>
  <c r="BO12" i="1"/>
  <c r="BN12" i="1"/>
  <c r="BM12" i="1"/>
  <c r="BP11" i="1"/>
  <c r="BO11" i="1"/>
  <c r="BN11" i="1"/>
  <c r="BM11" i="1"/>
  <c r="BP10" i="1"/>
  <c r="BO10" i="1"/>
  <c r="BN10" i="1"/>
  <c r="BM10" i="1"/>
  <c r="BP9" i="1"/>
  <c r="BO9" i="1"/>
  <c r="BN9" i="1"/>
  <c r="BM9" i="1"/>
  <c r="BP8" i="1"/>
  <c r="BO8" i="1"/>
  <c r="BN8" i="1"/>
  <c r="BM8" i="1"/>
  <c r="BP7" i="1"/>
  <c r="BO7" i="1"/>
  <c r="BN7" i="1"/>
  <c r="BM7" i="1"/>
  <c r="BP6" i="1"/>
  <c r="BO6" i="1"/>
  <c r="BN6" i="1"/>
  <c r="BM6" i="1"/>
  <c r="BP5" i="1"/>
  <c r="BO5" i="1"/>
  <c r="BN5" i="1"/>
  <c r="BM5" i="1"/>
  <c r="BP4" i="1"/>
  <c r="BO4" i="1"/>
  <c r="BN4" i="1"/>
  <c r="BM4" i="1"/>
  <c r="BP3" i="1"/>
  <c r="BO3" i="1"/>
  <c r="BN3" i="1"/>
  <c r="BM3" i="1"/>
  <c r="BP2" i="1"/>
  <c r="BO2" i="1"/>
  <c r="BS17" i="1" s="1"/>
  <c r="BN2" i="1"/>
  <c r="BM2" i="1"/>
  <c r="BQ2" i="1"/>
  <c r="BR2" i="1" s="1"/>
  <c r="CB20" i="1"/>
  <c r="BX20" i="1"/>
  <c r="CB18" i="1"/>
  <c r="BX18" i="1"/>
  <c r="CB17" i="1"/>
  <c r="BX17" i="1"/>
  <c r="CB16" i="1"/>
  <c r="BX16" i="1"/>
  <c r="CB15" i="1"/>
  <c r="BX15" i="1"/>
  <c r="BS20" i="1"/>
  <c r="L202" i="1"/>
  <c r="L201" i="1"/>
  <c r="L200" i="1"/>
  <c r="L199" i="1"/>
  <c r="L198" i="1"/>
  <c r="L197" i="1"/>
  <c r="L196" i="1"/>
  <c r="L195" i="1"/>
  <c r="L194" i="1"/>
  <c r="L193" i="1"/>
  <c r="L192" i="1"/>
  <c r="L191" i="1"/>
  <c r="L190" i="1"/>
  <c r="L189" i="1"/>
  <c r="L188" i="1"/>
  <c r="L187" i="1"/>
  <c r="L186" i="1"/>
  <c r="L185" i="1"/>
  <c r="L184" i="1"/>
  <c r="L183" i="1"/>
  <c r="L182" i="1"/>
  <c r="L181" i="1"/>
  <c r="L180" i="1"/>
  <c r="L179" i="1"/>
  <c r="L178" i="1"/>
  <c r="L177" i="1"/>
  <c r="L176" i="1"/>
  <c r="L175" i="1"/>
  <c r="L174" i="1"/>
  <c r="L173" i="1"/>
  <c r="L172" i="1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AT14" i="3" l="1"/>
  <c r="AS14" i="3"/>
  <c r="AU14" i="3"/>
  <c r="AT17" i="3"/>
  <c r="AT16" i="3"/>
  <c r="AT15" i="3"/>
  <c r="AT13" i="3"/>
  <c r="AT12" i="3"/>
  <c r="AT11" i="3"/>
  <c r="AT10" i="3"/>
  <c r="AT9" i="3"/>
  <c r="AT8" i="3"/>
  <c r="AT7" i="3"/>
  <c r="AT6" i="3"/>
  <c r="AT5" i="3"/>
  <c r="AT4" i="3"/>
  <c r="AT3" i="3"/>
  <c r="AU2" i="3"/>
  <c r="AS2" i="3"/>
  <c r="AS8" i="3"/>
  <c r="AS7" i="3"/>
  <c r="AV7" i="3" s="1"/>
  <c r="AS6" i="3"/>
  <c r="AS5" i="3"/>
  <c r="AV5" i="3" s="1"/>
  <c r="AU17" i="3"/>
  <c r="AS17" i="3"/>
  <c r="AU16" i="3"/>
  <c r="AS16" i="3"/>
  <c r="AV16" i="3" s="1"/>
  <c r="AU15" i="3"/>
  <c r="AS15" i="3"/>
  <c r="AU13" i="3"/>
  <c r="AS13" i="3"/>
  <c r="AV13" i="3" s="1"/>
  <c r="AU12" i="3"/>
  <c r="AS12" i="3"/>
  <c r="AU11" i="3"/>
  <c r="AS11" i="3"/>
  <c r="AU10" i="3"/>
  <c r="AS10" i="3"/>
  <c r="AU9" i="3"/>
  <c r="AS9" i="3"/>
  <c r="AV9" i="3" s="1"/>
  <c r="AU8" i="3"/>
  <c r="AU7" i="3"/>
  <c r="AU6" i="3"/>
  <c r="AU5" i="3"/>
  <c r="AU4" i="3"/>
  <c r="AS4" i="3"/>
  <c r="AU3" i="3"/>
  <c r="AS3" i="3"/>
  <c r="AJ3" i="3"/>
  <c r="J3" i="3"/>
  <c r="AT2" i="3"/>
  <c r="AJ5" i="3"/>
  <c r="J5" i="3"/>
  <c r="AJ7" i="3"/>
  <c r="J7" i="3"/>
  <c r="AJ9" i="3"/>
  <c r="J9" i="3"/>
  <c r="AJ11" i="3"/>
  <c r="J11" i="3"/>
  <c r="AJ13" i="3"/>
  <c r="J13" i="3"/>
  <c r="AJ15" i="3"/>
  <c r="J15" i="3"/>
  <c r="AJ17" i="3"/>
  <c r="J17" i="3"/>
  <c r="AJ21" i="3"/>
  <c r="J21" i="3"/>
  <c r="AJ18" i="3"/>
  <c r="J18" i="3"/>
  <c r="AJ22" i="3"/>
  <c r="J22" i="3"/>
  <c r="AJ27" i="3"/>
  <c r="J27" i="3"/>
  <c r="AJ31" i="3"/>
  <c r="J31" i="3"/>
  <c r="AJ35" i="3"/>
  <c r="J35" i="3"/>
  <c r="AJ26" i="3"/>
  <c r="J26" i="3"/>
  <c r="AJ30" i="3"/>
  <c r="J30" i="3"/>
  <c r="AJ34" i="3"/>
  <c r="J34" i="3"/>
  <c r="AJ37" i="3"/>
  <c r="J37" i="3"/>
  <c r="AJ39" i="3"/>
  <c r="J39" i="3"/>
  <c r="AJ41" i="3"/>
  <c r="J41" i="3"/>
  <c r="AJ43" i="3"/>
  <c r="J43" i="3"/>
  <c r="AJ45" i="3"/>
  <c r="J45" i="3"/>
  <c r="AJ47" i="3"/>
  <c r="J47" i="3"/>
  <c r="AJ49" i="3"/>
  <c r="J49" i="3"/>
  <c r="AJ51" i="3"/>
  <c r="J51" i="3"/>
  <c r="AJ53" i="3"/>
  <c r="J53" i="3"/>
  <c r="AJ55" i="3"/>
  <c r="J55" i="3"/>
  <c r="AJ57" i="3"/>
  <c r="J57" i="3"/>
  <c r="AJ59" i="3"/>
  <c r="J59" i="3"/>
  <c r="AJ61" i="3"/>
  <c r="J61" i="3"/>
  <c r="AJ63" i="3"/>
  <c r="J63" i="3"/>
  <c r="AJ65" i="3"/>
  <c r="J65" i="3"/>
  <c r="AJ67" i="3"/>
  <c r="J67" i="3"/>
  <c r="J70" i="3"/>
  <c r="AJ70" i="3"/>
  <c r="J74" i="3"/>
  <c r="AJ74" i="3"/>
  <c r="J78" i="3"/>
  <c r="AJ78" i="3"/>
  <c r="AJ82" i="3"/>
  <c r="J82" i="3"/>
  <c r="J85" i="3"/>
  <c r="AJ85" i="3"/>
  <c r="J88" i="3"/>
  <c r="AJ88" i="3"/>
  <c r="AJ71" i="3"/>
  <c r="J71" i="3"/>
  <c r="AJ75" i="3"/>
  <c r="J75" i="3"/>
  <c r="AJ79" i="3"/>
  <c r="J79" i="3"/>
  <c r="AJ84" i="3"/>
  <c r="J84" i="3"/>
  <c r="AJ89" i="3"/>
  <c r="J89" i="3"/>
  <c r="J93" i="3"/>
  <c r="AJ93" i="3"/>
  <c r="J97" i="3"/>
  <c r="AJ97" i="3"/>
  <c r="J101" i="3"/>
  <c r="AJ101" i="3"/>
  <c r="J105" i="3"/>
  <c r="AJ105" i="3"/>
  <c r="J109" i="3"/>
  <c r="AJ109" i="3"/>
  <c r="J113" i="3"/>
  <c r="AJ113" i="3"/>
  <c r="J117" i="3"/>
  <c r="AJ117" i="3"/>
  <c r="AJ90" i="3"/>
  <c r="J90" i="3"/>
  <c r="AJ94" i="3"/>
  <c r="J94" i="3"/>
  <c r="AJ98" i="3"/>
  <c r="J98" i="3"/>
  <c r="AJ102" i="3"/>
  <c r="J102" i="3"/>
  <c r="AJ106" i="3"/>
  <c r="J106" i="3"/>
  <c r="AJ110" i="3"/>
  <c r="J110" i="3"/>
  <c r="AJ114" i="3"/>
  <c r="J114" i="3"/>
  <c r="AJ118" i="3"/>
  <c r="J118" i="3"/>
  <c r="AJ121" i="3"/>
  <c r="J121" i="3"/>
  <c r="Z124" i="3"/>
  <c r="Y124" i="3"/>
  <c r="Z126" i="3"/>
  <c r="Y126" i="3"/>
  <c r="Z128" i="3"/>
  <c r="Y128" i="3"/>
  <c r="Z130" i="3"/>
  <c r="Y130" i="3"/>
  <c r="Z132" i="3"/>
  <c r="Y132" i="3"/>
  <c r="Z134" i="3"/>
  <c r="Y134" i="3"/>
  <c r="Z136" i="3"/>
  <c r="Y136" i="3"/>
  <c r="Z138" i="3"/>
  <c r="Y138" i="3"/>
  <c r="Z140" i="3"/>
  <c r="Y140" i="3"/>
  <c r="Z142" i="3"/>
  <c r="Y142" i="3"/>
  <c r="Z144" i="3"/>
  <c r="Y144" i="3"/>
  <c r="Z146" i="3"/>
  <c r="Y146" i="3"/>
  <c r="Z148" i="3"/>
  <c r="Y148" i="3"/>
  <c r="Z150" i="3"/>
  <c r="Y150" i="3"/>
  <c r="Z152" i="3"/>
  <c r="Y152" i="3"/>
  <c r="Z154" i="3"/>
  <c r="Y154" i="3"/>
  <c r="Z156" i="3"/>
  <c r="Y156" i="3"/>
  <c r="Z158" i="3"/>
  <c r="Y158" i="3"/>
  <c r="Z160" i="3"/>
  <c r="Y160" i="3"/>
  <c r="Y162" i="3"/>
  <c r="Z162" i="3"/>
  <c r="Z164" i="3"/>
  <c r="Y164" i="3"/>
  <c r="Z166" i="3"/>
  <c r="Y166" i="3"/>
  <c r="Z168" i="3"/>
  <c r="Y168" i="3"/>
  <c r="Z170" i="3"/>
  <c r="Y170" i="3"/>
  <c r="Z172" i="3"/>
  <c r="Y172" i="3"/>
  <c r="Z174" i="3"/>
  <c r="Y174" i="3"/>
  <c r="Z176" i="3"/>
  <c r="Y176" i="3"/>
  <c r="Z178" i="3"/>
  <c r="Y178" i="3"/>
  <c r="Z180" i="3"/>
  <c r="Y180" i="3"/>
  <c r="Y182" i="3"/>
  <c r="Z182" i="3"/>
  <c r="Y184" i="3"/>
  <c r="Z184" i="3"/>
  <c r="Y186" i="3"/>
  <c r="Z186" i="3"/>
  <c r="Y188" i="3"/>
  <c r="Z188" i="3"/>
  <c r="Y190" i="3"/>
  <c r="Z190" i="3"/>
  <c r="Y192" i="3"/>
  <c r="Z192" i="3"/>
  <c r="Y194" i="3"/>
  <c r="Z194" i="3"/>
  <c r="Y196" i="3"/>
  <c r="Z196" i="3"/>
  <c r="Y198" i="3"/>
  <c r="Z198" i="3"/>
  <c r="Y200" i="3"/>
  <c r="Z200" i="3"/>
  <c r="Z202" i="3"/>
  <c r="Y202" i="3"/>
  <c r="AJ4" i="3"/>
  <c r="J4" i="3"/>
  <c r="AJ6" i="3"/>
  <c r="J6" i="3"/>
  <c r="AJ8" i="3"/>
  <c r="J8" i="3"/>
  <c r="AJ10" i="3"/>
  <c r="J10" i="3"/>
  <c r="AJ12" i="3"/>
  <c r="J12" i="3"/>
  <c r="AJ14" i="3"/>
  <c r="J14" i="3"/>
  <c r="AJ16" i="3"/>
  <c r="J16" i="3"/>
  <c r="AJ19" i="3"/>
  <c r="J19" i="3"/>
  <c r="AJ23" i="3"/>
  <c r="J23" i="3"/>
  <c r="AJ20" i="3"/>
  <c r="J20" i="3"/>
  <c r="AJ25" i="3"/>
  <c r="J25" i="3"/>
  <c r="AJ29" i="3"/>
  <c r="J29" i="3"/>
  <c r="AJ33" i="3"/>
  <c r="J33" i="3"/>
  <c r="AJ24" i="3"/>
  <c r="J24" i="3"/>
  <c r="AJ28" i="3"/>
  <c r="J28" i="3"/>
  <c r="AJ32" i="3"/>
  <c r="J32" i="3"/>
  <c r="AJ36" i="3"/>
  <c r="J36" i="3"/>
  <c r="AJ38" i="3"/>
  <c r="J38" i="3"/>
  <c r="AJ40" i="3"/>
  <c r="J40" i="3"/>
  <c r="AJ42" i="3"/>
  <c r="J42" i="3"/>
  <c r="AJ44" i="3"/>
  <c r="J44" i="3"/>
  <c r="AJ46" i="3"/>
  <c r="J46" i="3"/>
  <c r="AJ48" i="3"/>
  <c r="J48" i="3"/>
  <c r="AJ50" i="3"/>
  <c r="J50" i="3"/>
  <c r="AJ52" i="3"/>
  <c r="J52" i="3"/>
  <c r="AJ54" i="3"/>
  <c r="J54" i="3"/>
  <c r="AJ56" i="3"/>
  <c r="J56" i="3"/>
  <c r="AJ58" i="3"/>
  <c r="J58" i="3"/>
  <c r="AJ60" i="3"/>
  <c r="J60" i="3"/>
  <c r="AJ62" i="3"/>
  <c r="J62" i="3"/>
  <c r="AJ64" i="3"/>
  <c r="J64" i="3"/>
  <c r="AJ66" i="3"/>
  <c r="J66" i="3"/>
  <c r="J68" i="3"/>
  <c r="AJ68" i="3"/>
  <c r="J72" i="3"/>
  <c r="AJ72" i="3"/>
  <c r="J76" i="3"/>
  <c r="AJ76" i="3"/>
  <c r="J80" i="3"/>
  <c r="AJ80" i="3"/>
  <c r="J83" i="3"/>
  <c r="AJ83" i="3"/>
  <c r="AJ87" i="3"/>
  <c r="J87" i="3"/>
  <c r="AJ69" i="3"/>
  <c r="J69" i="3"/>
  <c r="AJ73" i="3"/>
  <c r="J73" i="3"/>
  <c r="AJ77" i="3"/>
  <c r="J77" i="3"/>
  <c r="AJ81" i="3"/>
  <c r="J81" i="3"/>
  <c r="AJ86" i="3"/>
  <c r="J86" i="3"/>
  <c r="J91" i="3"/>
  <c r="AJ91" i="3"/>
  <c r="J95" i="3"/>
  <c r="AJ95" i="3"/>
  <c r="J99" i="3"/>
  <c r="AJ99" i="3"/>
  <c r="J103" i="3"/>
  <c r="AJ103" i="3"/>
  <c r="J107" i="3"/>
  <c r="AJ107" i="3"/>
  <c r="J111" i="3"/>
  <c r="AJ111" i="3"/>
  <c r="J115" i="3"/>
  <c r="AJ115" i="3"/>
  <c r="J119" i="3"/>
  <c r="AJ119" i="3"/>
  <c r="AJ92" i="3"/>
  <c r="J92" i="3"/>
  <c r="AJ96" i="3"/>
  <c r="J96" i="3"/>
  <c r="AJ100" i="3"/>
  <c r="J100" i="3"/>
  <c r="AJ104" i="3"/>
  <c r="J104" i="3"/>
  <c r="AJ108" i="3"/>
  <c r="J108" i="3"/>
  <c r="AJ112" i="3"/>
  <c r="J112" i="3"/>
  <c r="AJ116" i="3"/>
  <c r="J116" i="3"/>
  <c r="AJ120" i="3"/>
  <c r="J120" i="3"/>
  <c r="AJ122" i="3"/>
  <c r="J122" i="3"/>
  <c r="Z125" i="3"/>
  <c r="Y125" i="3"/>
  <c r="Z127" i="3"/>
  <c r="Y127" i="3"/>
  <c r="Z129" i="3"/>
  <c r="Y129" i="3"/>
  <c r="Z131" i="3"/>
  <c r="Y131" i="3"/>
  <c r="Z133" i="3"/>
  <c r="Y133" i="3"/>
  <c r="Z135" i="3"/>
  <c r="Y135" i="3"/>
  <c r="Z137" i="3"/>
  <c r="Y137" i="3"/>
  <c r="Z139" i="3"/>
  <c r="Y139" i="3"/>
  <c r="Z141" i="3"/>
  <c r="Y141" i="3"/>
  <c r="Z143" i="3"/>
  <c r="Y143" i="3"/>
  <c r="Z145" i="3"/>
  <c r="Y145" i="3"/>
  <c r="Z147" i="3"/>
  <c r="Y147" i="3"/>
  <c r="Z149" i="3"/>
  <c r="Y149" i="3"/>
  <c r="Z151" i="3"/>
  <c r="Y151" i="3"/>
  <c r="Z153" i="3"/>
  <c r="Y153" i="3"/>
  <c r="Z155" i="3"/>
  <c r="Y155" i="3"/>
  <c r="Z157" i="3"/>
  <c r="Y157" i="3"/>
  <c r="Z159" i="3"/>
  <c r="Y159" i="3"/>
  <c r="Z161" i="3"/>
  <c r="Y161" i="3"/>
  <c r="V163" i="3"/>
  <c r="AA162" i="3"/>
  <c r="Z165" i="3"/>
  <c r="Y165" i="3"/>
  <c r="Z167" i="3"/>
  <c r="Y167" i="3"/>
  <c r="Z169" i="3"/>
  <c r="Y169" i="3"/>
  <c r="Z171" i="3"/>
  <c r="Y171" i="3"/>
  <c r="Z173" i="3"/>
  <c r="Y173" i="3"/>
  <c r="Z175" i="3"/>
  <c r="Y175" i="3"/>
  <c r="Z177" i="3"/>
  <c r="Y177" i="3"/>
  <c r="Z179" i="3"/>
  <c r="Y179" i="3"/>
  <c r="Z181" i="3"/>
  <c r="Y181" i="3"/>
  <c r="Y183" i="3"/>
  <c r="Z183" i="3"/>
  <c r="Y185" i="3"/>
  <c r="Z185" i="3"/>
  <c r="Y187" i="3"/>
  <c r="Z187" i="3"/>
  <c r="Y189" i="3"/>
  <c r="Z189" i="3"/>
  <c r="Y191" i="3"/>
  <c r="Z191" i="3"/>
  <c r="Y193" i="3"/>
  <c r="Z193" i="3"/>
  <c r="Y195" i="3"/>
  <c r="Z195" i="3"/>
  <c r="Y197" i="3"/>
  <c r="Z197" i="3"/>
  <c r="Y199" i="3"/>
  <c r="Z199" i="3"/>
  <c r="Y201" i="3"/>
  <c r="Z201" i="3"/>
  <c r="AY15" i="2"/>
  <c r="AX15" i="2" s="1"/>
  <c r="AX18" i="2" s="1"/>
  <c r="R4" i="1"/>
  <c r="X4" i="1"/>
  <c r="R6" i="1"/>
  <c r="X6" i="1"/>
  <c r="R8" i="1"/>
  <c r="X8" i="1"/>
  <c r="R10" i="1"/>
  <c r="X10" i="1"/>
  <c r="R12" i="1"/>
  <c r="X12" i="1"/>
  <c r="R14" i="1"/>
  <c r="X14" i="1"/>
  <c r="R16" i="1"/>
  <c r="X16" i="1"/>
  <c r="R18" i="1"/>
  <c r="X18" i="1"/>
  <c r="R20" i="1"/>
  <c r="X20" i="1"/>
  <c r="R22" i="1"/>
  <c r="X22" i="1"/>
  <c r="R24" i="1"/>
  <c r="X24" i="1"/>
  <c r="R26" i="1"/>
  <c r="X26" i="1"/>
  <c r="R28" i="1"/>
  <c r="X28" i="1"/>
  <c r="R30" i="1"/>
  <c r="X30" i="1"/>
  <c r="R32" i="1"/>
  <c r="X32" i="1"/>
  <c r="R34" i="1"/>
  <c r="X34" i="1"/>
  <c r="R36" i="1"/>
  <c r="X36" i="1"/>
  <c r="R38" i="1"/>
  <c r="X38" i="1"/>
  <c r="R40" i="1"/>
  <c r="X40" i="1"/>
  <c r="R42" i="1"/>
  <c r="X42" i="1"/>
  <c r="R44" i="1"/>
  <c r="X44" i="1"/>
  <c r="R46" i="1"/>
  <c r="X46" i="1"/>
  <c r="R48" i="1"/>
  <c r="X48" i="1"/>
  <c r="R50" i="1"/>
  <c r="X50" i="1"/>
  <c r="R52" i="1"/>
  <c r="X52" i="1"/>
  <c r="R54" i="1"/>
  <c r="X54" i="1"/>
  <c r="R56" i="1"/>
  <c r="X56" i="1"/>
  <c r="R58" i="1"/>
  <c r="X58" i="1"/>
  <c r="R60" i="1"/>
  <c r="X60" i="1"/>
  <c r="R62" i="1"/>
  <c r="X62" i="1"/>
  <c r="R64" i="1"/>
  <c r="X64" i="1"/>
  <c r="R66" i="1"/>
  <c r="X66" i="1"/>
  <c r="R68" i="1"/>
  <c r="X68" i="1"/>
  <c r="R70" i="1"/>
  <c r="X70" i="1"/>
  <c r="R72" i="1"/>
  <c r="X72" i="1"/>
  <c r="R74" i="1"/>
  <c r="X74" i="1"/>
  <c r="R76" i="1"/>
  <c r="X76" i="1"/>
  <c r="R78" i="1"/>
  <c r="X78" i="1"/>
  <c r="R80" i="1"/>
  <c r="X80" i="1"/>
  <c r="R82" i="1"/>
  <c r="X82" i="1"/>
  <c r="R84" i="1"/>
  <c r="X84" i="1"/>
  <c r="R86" i="1"/>
  <c r="X86" i="1"/>
  <c r="R88" i="1"/>
  <c r="X88" i="1"/>
  <c r="R90" i="1"/>
  <c r="X90" i="1"/>
  <c r="R92" i="1"/>
  <c r="X92" i="1"/>
  <c r="R94" i="1"/>
  <c r="X94" i="1"/>
  <c r="R96" i="1"/>
  <c r="X96" i="1"/>
  <c r="R98" i="1"/>
  <c r="X98" i="1"/>
  <c r="R100" i="1"/>
  <c r="X100" i="1"/>
  <c r="R102" i="1"/>
  <c r="X102" i="1"/>
  <c r="R104" i="1"/>
  <c r="X104" i="1"/>
  <c r="R106" i="1"/>
  <c r="X106" i="1"/>
  <c r="R108" i="1"/>
  <c r="X108" i="1"/>
  <c r="R110" i="1"/>
  <c r="X110" i="1"/>
  <c r="R112" i="1"/>
  <c r="X112" i="1"/>
  <c r="R114" i="1"/>
  <c r="X114" i="1"/>
  <c r="R116" i="1"/>
  <c r="X116" i="1"/>
  <c r="R118" i="1"/>
  <c r="X118" i="1"/>
  <c r="R120" i="1"/>
  <c r="X120" i="1"/>
  <c r="R122" i="1"/>
  <c r="X122" i="1"/>
  <c r="R124" i="1"/>
  <c r="X124" i="1"/>
  <c r="R126" i="1"/>
  <c r="X126" i="1"/>
  <c r="R128" i="1"/>
  <c r="X128" i="1"/>
  <c r="R130" i="1"/>
  <c r="X130" i="1"/>
  <c r="R132" i="1"/>
  <c r="X132" i="1"/>
  <c r="R134" i="1"/>
  <c r="X134" i="1"/>
  <c r="R136" i="1"/>
  <c r="X136" i="1"/>
  <c r="R138" i="1"/>
  <c r="X138" i="1"/>
  <c r="R140" i="1"/>
  <c r="X140" i="1"/>
  <c r="R142" i="1"/>
  <c r="X142" i="1"/>
  <c r="R144" i="1"/>
  <c r="X144" i="1"/>
  <c r="R146" i="1"/>
  <c r="X146" i="1"/>
  <c r="R148" i="1"/>
  <c r="X148" i="1"/>
  <c r="R150" i="1"/>
  <c r="X150" i="1"/>
  <c r="R152" i="1"/>
  <c r="X152" i="1"/>
  <c r="R154" i="1"/>
  <c r="X154" i="1"/>
  <c r="R156" i="1"/>
  <c r="X156" i="1"/>
  <c r="R158" i="1"/>
  <c r="X158" i="1"/>
  <c r="R160" i="1"/>
  <c r="X160" i="1"/>
  <c r="R162" i="1"/>
  <c r="X162" i="1"/>
  <c r="R164" i="1"/>
  <c r="X164" i="1"/>
  <c r="R166" i="1"/>
  <c r="X166" i="1"/>
  <c r="R168" i="1"/>
  <c r="X168" i="1"/>
  <c r="R170" i="1"/>
  <c r="X170" i="1"/>
  <c r="R172" i="1"/>
  <c r="X172" i="1"/>
  <c r="R174" i="1"/>
  <c r="X174" i="1"/>
  <c r="R176" i="1"/>
  <c r="X176" i="1"/>
  <c r="R178" i="1"/>
  <c r="X178" i="1"/>
  <c r="R180" i="1"/>
  <c r="X180" i="1"/>
  <c r="R182" i="1"/>
  <c r="X182" i="1"/>
  <c r="R184" i="1"/>
  <c r="X184" i="1"/>
  <c r="R186" i="1"/>
  <c r="X186" i="1"/>
  <c r="R188" i="1"/>
  <c r="X188" i="1"/>
  <c r="R190" i="1"/>
  <c r="X190" i="1"/>
  <c r="R192" i="1"/>
  <c r="X192" i="1"/>
  <c r="R194" i="1"/>
  <c r="X194" i="1"/>
  <c r="R196" i="1"/>
  <c r="X196" i="1"/>
  <c r="R198" i="1"/>
  <c r="X198" i="1"/>
  <c r="R200" i="1"/>
  <c r="X200" i="1"/>
  <c r="R202" i="1"/>
  <c r="X202" i="1"/>
  <c r="R5" i="1"/>
  <c r="X5" i="1"/>
  <c r="R7" i="1"/>
  <c r="X7" i="1"/>
  <c r="R9" i="1"/>
  <c r="X9" i="1"/>
  <c r="R11" i="1"/>
  <c r="X11" i="1"/>
  <c r="R13" i="1"/>
  <c r="X13" i="1"/>
  <c r="R15" i="1"/>
  <c r="X15" i="1"/>
  <c r="R17" i="1"/>
  <c r="X17" i="1"/>
  <c r="R19" i="1"/>
  <c r="X19" i="1"/>
  <c r="R21" i="1"/>
  <c r="X21" i="1"/>
  <c r="R23" i="1"/>
  <c r="X23" i="1"/>
  <c r="R25" i="1"/>
  <c r="X25" i="1"/>
  <c r="R27" i="1"/>
  <c r="X27" i="1"/>
  <c r="R29" i="1"/>
  <c r="X29" i="1"/>
  <c r="R31" i="1"/>
  <c r="X31" i="1"/>
  <c r="R33" i="1"/>
  <c r="X33" i="1"/>
  <c r="R35" i="1"/>
  <c r="X35" i="1"/>
  <c r="R37" i="1"/>
  <c r="X37" i="1"/>
  <c r="R39" i="1"/>
  <c r="X39" i="1"/>
  <c r="R41" i="1"/>
  <c r="X41" i="1"/>
  <c r="R43" i="1"/>
  <c r="X43" i="1"/>
  <c r="R45" i="1"/>
  <c r="X45" i="1"/>
  <c r="R47" i="1"/>
  <c r="X47" i="1"/>
  <c r="R49" i="1"/>
  <c r="X49" i="1"/>
  <c r="R51" i="1"/>
  <c r="X51" i="1"/>
  <c r="R53" i="1"/>
  <c r="X53" i="1"/>
  <c r="R55" i="1"/>
  <c r="X55" i="1"/>
  <c r="R57" i="1"/>
  <c r="X57" i="1"/>
  <c r="R59" i="1"/>
  <c r="X59" i="1"/>
  <c r="R61" i="1"/>
  <c r="X61" i="1"/>
  <c r="R63" i="1"/>
  <c r="X63" i="1"/>
  <c r="R65" i="1"/>
  <c r="X65" i="1"/>
  <c r="R67" i="1"/>
  <c r="X67" i="1"/>
  <c r="R69" i="1"/>
  <c r="X69" i="1"/>
  <c r="R71" i="1"/>
  <c r="X71" i="1"/>
  <c r="R73" i="1"/>
  <c r="X73" i="1"/>
  <c r="R75" i="1"/>
  <c r="X75" i="1"/>
  <c r="R77" i="1"/>
  <c r="X77" i="1"/>
  <c r="R79" i="1"/>
  <c r="X79" i="1"/>
  <c r="R81" i="1"/>
  <c r="X81" i="1"/>
  <c r="R83" i="1"/>
  <c r="X83" i="1"/>
  <c r="R85" i="1"/>
  <c r="X85" i="1"/>
  <c r="R87" i="1"/>
  <c r="X87" i="1"/>
  <c r="R89" i="1"/>
  <c r="X89" i="1"/>
  <c r="R91" i="1"/>
  <c r="X91" i="1"/>
  <c r="R93" i="1"/>
  <c r="X93" i="1"/>
  <c r="R95" i="1"/>
  <c r="X95" i="1"/>
  <c r="R97" i="1"/>
  <c r="X97" i="1"/>
  <c r="R99" i="1"/>
  <c r="X99" i="1"/>
  <c r="R101" i="1"/>
  <c r="X101" i="1"/>
  <c r="R103" i="1"/>
  <c r="X103" i="1"/>
  <c r="R105" i="1"/>
  <c r="X105" i="1"/>
  <c r="R107" i="1"/>
  <c r="X107" i="1"/>
  <c r="R109" i="1"/>
  <c r="X109" i="1"/>
  <c r="R111" i="1"/>
  <c r="X111" i="1"/>
  <c r="R113" i="1"/>
  <c r="X113" i="1"/>
  <c r="R115" i="1"/>
  <c r="X115" i="1"/>
  <c r="R117" i="1"/>
  <c r="X117" i="1"/>
  <c r="R119" i="1"/>
  <c r="X119" i="1"/>
  <c r="R121" i="1"/>
  <c r="X121" i="1"/>
  <c r="R123" i="1"/>
  <c r="X123" i="1"/>
  <c r="R125" i="1"/>
  <c r="X125" i="1"/>
  <c r="R127" i="1"/>
  <c r="X127" i="1"/>
  <c r="R129" i="1"/>
  <c r="X129" i="1"/>
  <c r="R131" i="1"/>
  <c r="X131" i="1"/>
  <c r="R133" i="1"/>
  <c r="X133" i="1"/>
  <c r="R135" i="1"/>
  <c r="X135" i="1"/>
  <c r="R137" i="1"/>
  <c r="X137" i="1"/>
  <c r="R139" i="1"/>
  <c r="X139" i="1"/>
  <c r="R141" i="1"/>
  <c r="X141" i="1"/>
  <c r="R143" i="1"/>
  <c r="X143" i="1"/>
  <c r="R145" i="1"/>
  <c r="X145" i="1"/>
  <c r="R147" i="1"/>
  <c r="X147" i="1"/>
  <c r="R149" i="1"/>
  <c r="X149" i="1"/>
  <c r="R151" i="1"/>
  <c r="X151" i="1"/>
  <c r="R153" i="1"/>
  <c r="X153" i="1"/>
  <c r="R155" i="1"/>
  <c r="X155" i="1"/>
  <c r="R157" i="1"/>
  <c r="X157" i="1"/>
  <c r="R159" i="1"/>
  <c r="X159" i="1"/>
  <c r="R161" i="1"/>
  <c r="X161" i="1"/>
  <c r="R163" i="1"/>
  <c r="X163" i="1"/>
  <c r="R165" i="1"/>
  <c r="X165" i="1"/>
  <c r="R167" i="1"/>
  <c r="X167" i="1"/>
  <c r="R169" i="1"/>
  <c r="X169" i="1"/>
  <c r="R171" i="1"/>
  <c r="X171" i="1"/>
  <c r="R173" i="1"/>
  <c r="X173" i="1"/>
  <c r="R175" i="1"/>
  <c r="X175" i="1"/>
  <c r="R177" i="1"/>
  <c r="X177" i="1"/>
  <c r="R179" i="1"/>
  <c r="X179" i="1"/>
  <c r="R181" i="1"/>
  <c r="X181" i="1"/>
  <c r="R183" i="1"/>
  <c r="X183" i="1"/>
  <c r="R185" i="1"/>
  <c r="X185" i="1"/>
  <c r="R187" i="1"/>
  <c r="X187" i="1"/>
  <c r="R189" i="1"/>
  <c r="X189" i="1"/>
  <c r="R191" i="1"/>
  <c r="X191" i="1"/>
  <c r="R193" i="1"/>
  <c r="X193" i="1"/>
  <c r="R195" i="1"/>
  <c r="X195" i="1"/>
  <c r="R197" i="1"/>
  <c r="X197" i="1"/>
  <c r="R199" i="1"/>
  <c r="X199" i="1"/>
  <c r="R201" i="1"/>
  <c r="X201" i="1"/>
  <c r="BS9" i="1"/>
  <c r="BU9" i="1" s="1"/>
  <c r="BS5" i="1"/>
  <c r="BU5" i="1" s="1"/>
  <c r="BS13" i="1"/>
  <c r="BU13" i="1" s="1"/>
  <c r="BS3" i="1"/>
  <c r="BU3" i="1" s="1"/>
  <c r="BS7" i="1"/>
  <c r="BU7" i="1" s="1"/>
  <c r="BS11" i="1"/>
  <c r="BU11" i="1" s="1"/>
  <c r="BS15" i="1"/>
  <c r="BU15" i="1" s="1"/>
  <c r="BS2" i="1"/>
  <c r="BS4" i="1"/>
  <c r="BU4" i="1" s="1"/>
  <c r="BS6" i="1"/>
  <c r="BU6" i="1" s="1"/>
  <c r="BS8" i="1"/>
  <c r="BU8" i="1" s="1"/>
  <c r="BS10" i="1"/>
  <c r="BU10" i="1" s="1"/>
  <c r="BS12" i="1"/>
  <c r="BU12" i="1" s="1"/>
  <c r="BS14" i="1"/>
  <c r="BU14" i="1" s="1"/>
  <c r="BS16" i="1"/>
  <c r="BU16" i="1" s="1"/>
  <c r="BR18" i="1"/>
  <c r="BR19" i="1"/>
  <c r="BS18" i="1"/>
  <c r="BU18" i="1" s="1"/>
  <c r="M2" i="1"/>
  <c r="N3" i="1" s="1"/>
  <c r="P3" i="1" s="1"/>
  <c r="BS19" i="1"/>
  <c r="BU19" i="1" s="1"/>
  <c r="BR17" i="1"/>
  <c r="BV17" i="1" s="1"/>
  <c r="BV18" i="1"/>
  <c r="BZ19" i="1"/>
  <c r="BU17" i="1"/>
  <c r="BR4" i="1"/>
  <c r="BR8" i="1"/>
  <c r="BR12" i="1"/>
  <c r="BR16" i="1"/>
  <c r="BZ16" i="1" s="1"/>
  <c r="BR6" i="1"/>
  <c r="BR10" i="1"/>
  <c r="BR14" i="1"/>
  <c r="BZ18" i="1"/>
  <c r="BU20" i="1"/>
  <c r="BR3" i="1"/>
  <c r="BR5" i="1"/>
  <c r="BR7" i="1"/>
  <c r="BR9" i="1"/>
  <c r="BR11" i="1"/>
  <c r="BR13" i="1"/>
  <c r="BR15" i="1"/>
  <c r="BZ15" i="1" s="1"/>
  <c r="BR20" i="1"/>
  <c r="BZ20" i="1" s="1"/>
  <c r="AV8" i="3" l="1"/>
  <c r="AV3" i="3"/>
  <c r="AV14" i="3"/>
  <c r="AV11" i="3"/>
  <c r="AV6" i="3"/>
  <c r="AV4" i="3"/>
  <c r="AV10" i="3"/>
  <c r="AV12" i="3"/>
  <c r="AV15" i="3"/>
  <c r="AV17" i="3"/>
  <c r="Z163" i="3"/>
  <c r="Y163" i="3"/>
  <c r="W119" i="3"/>
  <c r="V120" i="3" s="1"/>
  <c r="AL119" i="3"/>
  <c r="AN119" i="3" s="1"/>
  <c r="W115" i="3"/>
  <c r="V116" i="3" s="1"/>
  <c r="AL115" i="3"/>
  <c r="AN115" i="3" s="1"/>
  <c r="W111" i="3"/>
  <c r="V112" i="3" s="1"/>
  <c r="AL111" i="3"/>
  <c r="AN111" i="3" s="1"/>
  <c r="W107" i="3"/>
  <c r="V108" i="3" s="1"/>
  <c r="AL107" i="3"/>
  <c r="AN107" i="3" s="1"/>
  <c r="W103" i="3"/>
  <c r="AL103" i="3"/>
  <c r="AN103" i="3" s="1"/>
  <c r="W99" i="3"/>
  <c r="V100" i="3" s="1"/>
  <c r="AL99" i="3"/>
  <c r="AN99" i="3" s="1"/>
  <c r="W95" i="3"/>
  <c r="V96" i="3" s="1"/>
  <c r="AL95" i="3"/>
  <c r="AN95" i="3" s="1"/>
  <c r="W91" i="3"/>
  <c r="V92" i="3" s="1"/>
  <c r="AL91" i="3"/>
  <c r="AN91" i="3" s="1"/>
  <c r="W83" i="3"/>
  <c r="V84" i="3" s="1"/>
  <c r="AL83" i="3"/>
  <c r="AN83" i="3" s="1"/>
  <c r="W80" i="3"/>
  <c r="V81" i="3" s="1"/>
  <c r="AL80" i="3"/>
  <c r="AN80" i="3" s="1"/>
  <c r="W76" i="3"/>
  <c r="V77" i="3" s="1"/>
  <c r="AL76" i="3"/>
  <c r="AN76" i="3" s="1"/>
  <c r="W72" i="3"/>
  <c r="V73" i="3" s="1"/>
  <c r="AL72" i="3"/>
  <c r="AN72" i="3" s="1"/>
  <c r="W68" i="3"/>
  <c r="V69" i="3" s="1"/>
  <c r="AL68" i="3"/>
  <c r="AN68" i="3" s="1"/>
  <c r="W117" i="3"/>
  <c r="V118" i="3" s="1"/>
  <c r="AL117" i="3"/>
  <c r="AN117" i="3" s="1"/>
  <c r="W113" i="3"/>
  <c r="V114" i="3" s="1"/>
  <c r="AL113" i="3"/>
  <c r="AN113" i="3" s="1"/>
  <c r="W109" i="3"/>
  <c r="V110" i="3" s="1"/>
  <c r="AL109" i="3"/>
  <c r="AN109" i="3" s="1"/>
  <c r="W105" i="3"/>
  <c r="V106" i="3" s="1"/>
  <c r="AL105" i="3"/>
  <c r="AN105" i="3" s="1"/>
  <c r="W101" i="3"/>
  <c r="V102" i="3" s="1"/>
  <c r="AL101" i="3"/>
  <c r="AN101" i="3" s="1"/>
  <c r="W97" i="3"/>
  <c r="V98" i="3" s="1"/>
  <c r="AL97" i="3"/>
  <c r="AN97" i="3" s="1"/>
  <c r="W93" i="3"/>
  <c r="V94" i="3" s="1"/>
  <c r="AL93" i="3"/>
  <c r="AN93" i="3" s="1"/>
  <c r="W88" i="3"/>
  <c r="V89" i="3" s="1"/>
  <c r="AL88" i="3"/>
  <c r="AN88" i="3" s="1"/>
  <c r="W85" i="3"/>
  <c r="V86" i="3" s="1"/>
  <c r="AL85" i="3"/>
  <c r="AN85" i="3" s="1"/>
  <c r="W78" i="3"/>
  <c r="V79" i="3" s="1"/>
  <c r="AL78" i="3"/>
  <c r="AN78" i="3" s="1"/>
  <c r="W74" i="3"/>
  <c r="V75" i="3" s="1"/>
  <c r="AL74" i="3"/>
  <c r="AN74" i="3" s="1"/>
  <c r="W70" i="3"/>
  <c r="V71" i="3" s="1"/>
  <c r="AL70" i="3"/>
  <c r="AN70" i="3" s="1"/>
  <c r="W3" i="3"/>
  <c r="AL3" i="3"/>
  <c r="AN3" i="3" s="1"/>
  <c r="AV2" i="3"/>
  <c r="AL122" i="3"/>
  <c r="AN122" i="3" s="1"/>
  <c r="W122" i="3"/>
  <c r="AL120" i="3"/>
  <c r="AN120" i="3" s="1"/>
  <c r="W120" i="3"/>
  <c r="V121" i="3" s="1"/>
  <c r="W116" i="3"/>
  <c r="V117" i="3" s="1"/>
  <c r="AL116" i="3"/>
  <c r="AN116" i="3" s="1"/>
  <c r="W112" i="3"/>
  <c r="V113" i="3" s="1"/>
  <c r="AL112" i="3"/>
  <c r="AN112" i="3" s="1"/>
  <c r="W108" i="3"/>
  <c r="V109" i="3" s="1"/>
  <c r="AL108" i="3"/>
  <c r="AN108" i="3" s="1"/>
  <c r="W104" i="3"/>
  <c r="V105" i="3" s="1"/>
  <c r="AL104" i="3"/>
  <c r="AN104" i="3" s="1"/>
  <c r="W100" i="3"/>
  <c r="V101" i="3" s="1"/>
  <c r="AL100" i="3"/>
  <c r="AN100" i="3" s="1"/>
  <c r="W96" i="3"/>
  <c r="V97" i="3" s="1"/>
  <c r="AL96" i="3"/>
  <c r="AN96" i="3" s="1"/>
  <c r="W92" i="3"/>
  <c r="V93" i="3" s="1"/>
  <c r="AL92" i="3"/>
  <c r="AN92" i="3" s="1"/>
  <c r="W86" i="3"/>
  <c r="V87" i="3" s="1"/>
  <c r="AL86" i="3"/>
  <c r="AN86" i="3" s="1"/>
  <c r="W81" i="3"/>
  <c r="V82" i="3" s="1"/>
  <c r="AL81" i="3"/>
  <c r="AN81" i="3" s="1"/>
  <c r="W77" i="3"/>
  <c r="V78" i="3" s="1"/>
  <c r="AL77" i="3"/>
  <c r="AN77" i="3" s="1"/>
  <c r="W73" i="3"/>
  <c r="V74" i="3" s="1"/>
  <c r="AL73" i="3"/>
  <c r="AN73" i="3" s="1"/>
  <c r="W69" i="3"/>
  <c r="V70" i="3" s="1"/>
  <c r="AL69" i="3"/>
  <c r="AN69" i="3" s="1"/>
  <c r="W87" i="3"/>
  <c r="V88" i="3" s="1"/>
  <c r="AL87" i="3"/>
  <c r="AN87" i="3" s="1"/>
  <c r="W66" i="3"/>
  <c r="V67" i="3" s="1"/>
  <c r="AL66" i="3"/>
  <c r="AN66" i="3" s="1"/>
  <c r="W64" i="3"/>
  <c r="V65" i="3" s="1"/>
  <c r="AL64" i="3"/>
  <c r="AN64" i="3" s="1"/>
  <c r="AL62" i="3"/>
  <c r="AN62" i="3" s="1"/>
  <c r="W62" i="3"/>
  <c r="W60" i="3"/>
  <c r="V61" i="3" s="1"/>
  <c r="AL60" i="3"/>
  <c r="AN60" i="3" s="1"/>
  <c r="W58" i="3"/>
  <c r="V59" i="3" s="1"/>
  <c r="AL58" i="3"/>
  <c r="AN58" i="3" s="1"/>
  <c r="W56" i="3"/>
  <c r="V57" i="3" s="1"/>
  <c r="AL56" i="3"/>
  <c r="AN56" i="3" s="1"/>
  <c r="W54" i="3"/>
  <c r="V55" i="3" s="1"/>
  <c r="AL54" i="3"/>
  <c r="AN54" i="3" s="1"/>
  <c r="W52" i="3"/>
  <c r="V53" i="3" s="1"/>
  <c r="AL52" i="3"/>
  <c r="AN52" i="3" s="1"/>
  <c r="AL50" i="3"/>
  <c r="AN50" i="3" s="1"/>
  <c r="W50" i="3"/>
  <c r="W48" i="3"/>
  <c r="V49" i="3" s="1"/>
  <c r="AL48" i="3"/>
  <c r="AN48" i="3" s="1"/>
  <c r="W46" i="3"/>
  <c r="V47" i="3" s="1"/>
  <c r="AL46" i="3"/>
  <c r="AN46" i="3" s="1"/>
  <c r="W44" i="3"/>
  <c r="V45" i="3" s="1"/>
  <c r="AL44" i="3"/>
  <c r="AN44" i="3" s="1"/>
  <c r="AL42" i="3"/>
  <c r="AN42" i="3" s="1"/>
  <c r="W42" i="3"/>
  <c r="W40" i="3"/>
  <c r="V41" i="3" s="1"/>
  <c r="AL40" i="3"/>
  <c r="AN40" i="3" s="1"/>
  <c r="AL38" i="3"/>
  <c r="AN38" i="3" s="1"/>
  <c r="W38" i="3"/>
  <c r="W36" i="3"/>
  <c r="V37" i="3" s="1"/>
  <c r="AL36" i="3"/>
  <c r="AN36" i="3" s="1"/>
  <c r="AL32" i="3"/>
  <c r="AN32" i="3" s="1"/>
  <c r="W32" i="3"/>
  <c r="V33" i="3" s="1"/>
  <c r="AL28" i="3"/>
  <c r="AN28" i="3" s="1"/>
  <c r="W28" i="3"/>
  <c r="V29" i="3" s="1"/>
  <c r="AL24" i="3"/>
  <c r="AN24" i="3" s="1"/>
  <c r="W24" i="3"/>
  <c r="V25" i="3" s="1"/>
  <c r="W33" i="3"/>
  <c r="V34" i="3" s="1"/>
  <c r="AL33" i="3"/>
  <c r="AN33" i="3" s="1"/>
  <c r="W29" i="3"/>
  <c r="V30" i="3" s="1"/>
  <c r="AL29" i="3"/>
  <c r="AN29" i="3" s="1"/>
  <c r="W25" i="3"/>
  <c r="V26" i="3" s="1"/>
  <c r="AL25" i="3"/>
  <c r="AN25" i="3" s="1"/>
  <c r="AL20" i="3"/>
  <c r="AN20" i="3" s="1"/>
  <c r="W20" i="3"/>
  <c r="V21" i="3" s="1"/>
  <c r="W23" i="3"/>
  <c r="V24" i="3" s="1"/>
  <c r="AL23" i="3"/>
  <c r="AN23" i="3" s="1"/>
  <c r="W19" i="3"/>
  <c r="V20" i="3" s="1"/>
  <c r="AL19" i="3"/>
  <c r="AN19" i="3" s="1"/>
  <c r="W16" i="3"/>
  <c r="V17" i="3" s="1"/>
  <c r="AL16" i="3"/>
  <c r="AN16" i="3" s="1"/>
  <c r="AL14" i="3"/>
  <c r="AN14" i="3" s="1"/>
  <c r="W14" i="3"/>
  <c r="W12" i="3"/>
  <c r="V13" i="3" s="1"/>
  <c r="AL12" i="3"/>
  <c r="AN12" i="3" s="1"/>
  <c r="AL10" i="3"/>
  <c r="AN10" i="3" s="1"/>
  <c r="W10" i="3"/>
  <c r="W8" i="3"/>
  <c r="V9" i="3" s="1"/>
  <c r="AL8" i="3"/>
  <c r="AN8" i="3" s="1"/>
  <c r="W6" i="3"/>
  <c r="V7" i="3" s="1"/>
  <c r="AL6" i="3"/>
  <c r="AN6" i="3" s="1"/>
  <c r="W4" i="3"/>
  <c r="V5" i="3" s="1"/>
  <c r="AL4" i="3"/>
  <c r="AN4" i="3" s="1"/>
  <c r="AL121" i="3"/>
  <c r="AN121" i="3" s="1"/>
  <c r="W121" i="3"/>
  <c r="V122" i="3" s="1"/>
  <c r="W118" i="3"/>
  <c r="V119" i="3" s="1"/>
  <c r="AL118" i="3"/>
  <c r="AN118" i="3" s="1"/>
  <c r="W114" i="3"/>
  <c r="V115" i="3" s="1"/>
  <c r="AL114" i="3"/>
  <c r="AN114" i="3" s="1"/>
  <c r="W110" i="3"/>
  <c r="V111" i="3" s="1"/>
  <c r="AL110" i="3"/>
  <c r="AN110" i="3" s="1"/>
  <c r="W106" i="3"/>
  <c r="V107" i="3" s="1"/>
  <c r="AL106" i="3"/>
  <c r="AN106" i="3" s="1"/>
  <c r="W102" i="3"/>
  <c r="AL102" i="3"/>
  <c r="AN102" i="3" s="1"/>
  <c r="W98" i="3"/>
  <c r="V99" i="3" s="1"/>
  <c r="AL98" i="3"/>
  <c r="AN98" i="3" s="1"/>
  <c r="W94" i="3"/>
  <c r="V95" i="3" s="1"/>
  <c r="AL94" i="3"/>
  <c r="AN94" i="3" s="1"/>
  <c r="W90" i="3"/>
  <c r="V91" i="3" s="1"/>
  <c r="AL90" i="3"/>
  <c r="AN90" i="3" s="1"/>
  <c r="W89" i="3"/>
  <c r="V90" i="3" s="1"/>
  <c r="AL89" i="3"/>
  <c r="AN89" i="3" s="1"/>
  <c r="W84" i="3"/>
  <c r="V85" i="3" s="1"/>
  <c r="AL84" i="3"/>
  <c r="AN84" i="3" s="1"/>
  <c r="W79" i="3"/>
  <c r="V80" i="3" s="1"/>
  <c r="AL79" i="3"/>
  <c r="AN79" i="3" s="1"/>
  <c r="W75" i="3"/>
  <c r="V76" i="3" s="1"/>
  <c r="AL75" i="3"/>
  <c r="AN75" i="3" s="1"/>
  <c r="W71" i="3"/>
  <c r="V72" i="3" s="1"/>
  <c r="AL71" i="3"/>
  <c r="AN71" i="3" s="1"/>
  <c r="W82" i="3"/>
  <c r="AL82" i="3"/>
  <c r="AN82" i="3" s="1"/>
  <c r="W67" i="3"/>
  <c r="V68" i="3" s="1"/>
  <c r="AL67" i="3"/>
  <c r="AN67" i="3" s="1"/>
  <c r="W65" i="3"/>
  <c r="V66" i="3" s="1"/>
  <c r="AL65" i="3"/>
  <c r="AN65" i="3" s="1"/>
  <c r="W63" i="3"/>
  <c r="V64" i="3" s="1"/>
  <c r="AL63" i="3"/>
  <c r="AN63" i="3" s="1"/>
  <c r="W61" i="3"/>
  <c r="V62" i="3" s="1"/>
  <c r="AL61" i="3"/>
  <c r="AN61" i="3" s="1"/>
  <c r="W59" i="3"/>
  <c r="V60" i="3" s="1"/>
  <c r="AL59" i="3"/>
  <c r="AN59" i="3" s="1"/>
  <c r="W57" i="3"/>
  <c r="V58" i="3" s="1"/>
  <c r="AL57" i="3"/>
  <c r="AN57" i="3" s="1"/>
  <c r="W55" i="3"/>
  <c r="V56" i="3" s="1"/>
  <c r="AL55" i="3"/>
  <c r="AN55" i="3" s="1"/>
  <c r="W53" i="3"/>
  <c r="V54" i="3" s="1"/>
  <c r="AL53" i="3"/>
  <c r="AN53" i="3" s="1"/>
  <c r="W51" i="3"/>
  <c r="V52" i="3" s="1"/>
  <c r="AL51" i="3"/>
  <c r="AN51" i="3" s="1"/>
  <c r="W49" i="3"/>
  <c r="V50" i="3" s="1"/>
  <c r="AL49" i="3"/>
  <c r="AN49" i="3" s="1"/>
  <c r="W47" i="3"/>
  <c r="V48" i="3" s="1"/>
  <c r="AL47" i="3"/>
  <c r="AN47" i="3" s="1"/>
  <c r="W45" i="3"/>
  <c r="V46" i="3" s="1"/>
  <c r="AL45" i="3"/>
  <c r="AN45" i="3" s="1"/>
  <c r="W43" i="3"/>
  <c r="V44" i="3" s="1"/>
  <c r="AL43" i="3"/>
  <c r="AN43" i="3" s="1"/>
  <c r="W41" i="3"/>
  <c r="V42" i="3" s="1"/>
  <c r="AL41" i="3"/>
  <c r="AN41" i="3" s="1"/>
  <c r="W39" i="3"/>
  <c r="V40" i="3" s="1"/>
  <c r="AL39" i="3"/>
  <c r="AN39" i="3" s="1"/>
  <c r="W37" i="3"/>
  <c r="V38" i="3" s="1"/>
  <c r="AL37" i="3"/>
  <c r="AN37" i="3" s="1"/>
  <c r="AL34" i="3"/>
  <c r="AN34" i="3" s="1"/>
  <c r="W34" i="3"/>
  <c r="AL30" i="3"/>
  <c r="AN30" i="3" s="1"/>
  <c r="W30" i="3"/>
  <c r="AL26" i="3"/>
  <c r="AN26" i="3" s="1"/>
  <c r="W26" i="3"/>
  <c r="AL35" i="3"/>
  <c r="AN35" i="3" s="1"/>
  <c r="W35" i="3"/>
  <c r="V36" i="3" s="1"/>
  <c r="W31" i="3"/>
  <c r="V32" i="3" s="1"/>
  <c r="AL31" i="3"/>
  <c r="AN31" i="3" s="1"/>
  <c r="W27" i="3"/>
  <c r="V28" i="3" s="1"/>
  <c r="AL27" i="3"/>
  <c r="AN27" i="3" s="1"/>
  <c r="AL22" i="3"/>
  <c r="AN22" i="3" s="1"/>
  <c r="W22" i="3"/>
  <c r="AL18" i="3"/>
  <c r="AN18" i="3" s="1"/>
  <c r="W18" i="3"/>
  <c r="W21" i="3"/>
  <c r="V22" i="3" s="1"/>
  <c r="AL21" i="3"/>
  <c r="AN21" i="3" s="1"/>
  <c r="W17" i="3"/>
  <c r="V18" i="3" s="1"/>
  <c r="AL17" i="3"/>
  <c r="AN17" i="3" s="1"/>
  <c r="W15" i="3"/>
  <c r="V16" i="3" s="1"/>
  <c r="AL15" i="3"/>
  <c r="AN15" i="3" s="1"/>
  <c r="W13" i="3"/>
  <c r="V14" i="3" s="1"/>
  <c r="AL13" i="3"/>
  <c r="AN13" i="3" s="1"/>
  <c r="W11" i="3"/>
  <c r="V12" i="3" s="1"/>
  <c r="AL11" i="3"/>
  <c r="AN11" i="3" s="1"/>
  <c r="W9" i="3"/>
  <c r="V10" i="3" s="1"/>
  <c r="AL9" i="3"/>
  <c r="AN9" i="3" s="1"/>
  <c r="W7" i="3"/>
  <c r="V8" i="3" s="1"/>
  <c r="AL7" i="3"/>
  <c r="AN7" i="3" s="1"/>
  <c r="W5" i="3"/>
  <c r="V6" i="3" s="1"/>
  <c r="AL5" i="3"/>
  <c r="AN5" i="3" s="1"/>
  <c r="R3" i="1"/>
  <c r="X3" i="1"/>
  <c r="BV19" i="1"/>
  <c r="BZ17" i="1"/>
  <c r="BV20" i="1"/>
  <c r="CB3" i="1"/>
  <c r="CB4" i="1"/>
  <c r="CB5" i="1"/>
  <c r="CB6" i="1"/>
  <c r="CB7" i="1"/>
  <c r="CB8" i="1"/>
  <c r="CB9" i="1"/>
  <c r="CB10" i="1"/>
  <c r="CB11" i="1"/>
  <c r="CB12" i="1"/>
  <c r="CB13" i="1"/>
  <c r="CB14" i="1"/>
  <c r="CB21" i="1"/>
  <c r="CB22" i="1"/>
  <c r="CB23" i="1"/>
  <c r="CB24" i="1"/>
  <c r="CB25" i="1"/>
  <c r="CB26" i="1"/>
  <c r="CB27" i="1"/>
  <c r="CB28" i="1"/>
  <c r="CB29" i="1"/>
  <c r="CB30" i="1"/>
  <c r="CB31" i="1"/>
  <c r="CB32" i="1"/>
  <c r="CB33" i="1"/>
  <c r="CB34" i="1"/>
  <c r="CB35" i="1"/>
  <c r="CB2" i="1"/>
  <c r="AQ2" i="1"/>
  <c r="AR2" i="1"/>
  <c r="AQ3" i="1"/>
  <c r="AR3" i="1"/>
  <c r="AQ4" i="1"/>
  <c r="AR4" i="1"/>
  <c r="AQ5" i="1"/>
  <c r="AR5" i="1"/>
  <c r="AQ6" i="1"/>
  <c r="AR6" i="1"/>
  <c r="AQ7" i="1"/>
  <c r="AR7" i="1"/>
  <c r="AQ8" i="1"/>
  <c r="AR8" i="1"/>
  <c r="AQ9" i="1"/>
  <c r="AR9" i="1"/>
  <c r="AQ10" i="1"/>
  <c r="AR10" i="1"/>
  <c r="AQ11" i="1"/>
  <c r="AR11" i="1"/>
  <c r="AQ12" i="1"/>
  <c r="AR12" i="1"/>
  <c r="AQ13" i="1"/>
  <c r="AR13" i="1"/>
  <c r="AQ14" i="1"/>
  <c r="AR14" i="1"/>
  <c r="AQ15" i="1"/>
  <c r="AR15" i="1"/>
  <c r="AQ16" i="1"/>
  <c r="AR16" i="1"/>
  <c r="AP3" i="1"/>
  <c r="BC3" i="1" s="1"/>
  <c r="AP4" i="1"/>
  <c r="BC4" i="1" s="1"/>
  <c r="AP5" i="1"/>
  <c r="BC5" i="1" s="1"/>
  <c r="AP6" i="1"/>
  <c r="BC6" i="1" s="1"/>
  <c r="AP7" i="1"/>
  <c r="BC7" i="1" s="1"/>
  <c r="AP8" i="1"/>
  <c r="BC8" i="1" s="1"/>
  <c r="AP9" i="1"/>
  <c r="BC9" i="1" s="1"/>
  <c r="AP10" i="1"/>
  <c r="BC10" i="1" s="1"/>
  <c r="AP11" i="1"/>
  <c r="BC11" i="1" s="1"/>
  <c r="AP12" i="1"/>
  <c r="BC12" i="1" s="1"/>
  <c r="AP13" i="1"/>
  <c r="BC13" i="1" s="1"/>
  <c r="AP14" i="1"/>
  <c r="BC14" i="1" s="1"/>
  <c r="AP15" i="1"/>
  <c r="BC15" i="1" s="1"/>
  <c r="AP16" i="1"/>
  <c r="BC16" i="1" s="1"/>
  <c r="AP2" i="1"/>
  <c r="BC2" i="1" s="1"/>
  <c r="A2" i="1"/>
  <c r="V103" i="3" l="1"/>
  <c r="Y103" i="3" s="1"/>
  <c r="AA102" i="3"/>
  <c r="V104" i="3"/>
  <c r="Z104" i="3" s="1"/>
  <c r="AA18" i="3"/>
  <c r="V19" i="3"/>
  <c r="AA22" i="3"/>
  <c r="V23" i="3"/>
  <c r="Y36" i="3"/>
  <c r="Z36" i="3"/>
  <c r="AA30" i="3"/>
  <c r="V31" i="3"/>
  <c r="V35" i="3"/>
  <c r="AA34" i="3"/>
  <c r="Y6" i="3"/>
  <c r="Z6" i="3"/>
  <c r="Y8" i="3"/>
  <c r="Z8" i="3"/>
  <c r="Z10" i="3"/>
  <c r="Y10" i="3"/>
  <c r="Y12" i="3"/>
  <c r="Z12" i="3"/>
  <c r="Z14" i="3"/>
  <c r="Y14" i="3"/>
  <c r="Y16" i="3"/>
  <c r="Z16" i="3"/>
  <c r="Y18" i="3"/>
  <c r="Z18" i="3"/>
  <c r="Y22" i="3"/>
  <c r="Z22" i="3"/>
  <c r="Z28" i="3"/>
  <c r="Y28" i="3"/>
  <c r="Z32" i="3"/>
  <c r="Y32" i="3"/>
  <c r="Z38" i="3"/>
  <c r="Y38" i="3"/>
  <c r="Y40" i="3"/>
  <c r="Z40" i="3"/>
  <c r="Z42" i="3"/>
  <c r="Y42" i="3"/>
  <c r="Y44" i="3"/>
  <c r="Z44" i="3"/>
  <c r="Y46" i="3"/>
  <c r="Z46" i="3"/>
  <c r="Y48" i="3"/>
  <c r="Z48" i="3"/>
  <c r="Z50" i="3"/>
  <c r="Y50" i="3"/>
  <c r="Y52" i="3"/>
  <c r="Z52" i="3"/>
  <c r="Y54" i="3"/>
  <c r="Z54" i="3"/>
  <c r="Y56" i="3"/>
  <c r="Z56" i="3"/>
  <c r="Y58" i="3"/>
  <c r="Z58" i="3"/>
  <c r="Y60" i="3"/>
  <c r="Z60" i="3"/>
  <c r="Z62" i="3"/>
  <c r="Y62" i="3"/>
  <c r="Y64" i="3"/>
  <c r="Z64" i="3"/>
  <c r="Y66" i="3"/>
  <c r="Z66" i="3"/>
  <c r="Y68" i="3"/>
  <c r="Z68" i="3"/>
  <c r="AA82" i="3"/>
  <c r="V83" i="3"/>
  <c r="Y72" i="3"/>
  <c r="Z72" i="3"/>
  <c r="Y76" i="3"/>
  <c r="Z76" i="3"/>
  <c r="Y80" i="3"/>
  <c r="Z80" i="3"/>
  <c r="Y85" i="3"/>
  <c r="Z85" i="3"/>
  <c r="Y90" i="3"/>
  <c r="Z90" i="3"/>
  <c r="Y91" i="3"/>
  <c r="Z91" i="3"/>
  <c r="Y95" i="3"/>
  <c r="Z95" i="3"/>
  <c r="Y99" i="3"/>
  <c r="Z99" i="3"/>
  <c r="Y107" i="3"/>
  <c r="Z107" i="3"/>
  <c r="Y111" i="3"/>
  <c r="Z111" i="3"/>
  <c r="Y115" i="3"/>
  <c r="Z115" i="3"/>
  <c r="Y119" i="3"/>
  <c r="Z119" i="3"/>
  <c r="Y5" i="3"/>
  <c r="Z5" i="3"/>
  <c r="Y7" i="3"/>
  <c r="Z7" i="3"/>
  <c r="Y9" i="3"/>
  <c r="Z9" i="3"/>
  <c r="Y13" i="3"/>
  <c r="Z13" i="3"/>
  <c r="Y17" i="3"/>
  <c r="Z17" i="3"/>
  <c r="Z20" i="3"/>
  <c r="Y20" i="3"/>
  <c r="Z24" i="3"/>
  <c r="Y24" i="3"/>
  <c r="Y26" i="3"/>
  <c r="Z26" i="3"/>
  <c r="Y30" i="3"/>
  <c r="Z30" i="3"/>
  <c r="Y34" i="3"/>
  <c r="Z34" i="3"/>
  <c r="Y37" i="3"/>
  <c r="Z37" i="3"/>
  <c r="Y41" i="3"/>
  <c r="Z41" i="3"/>
  <c r="Y45" i="3"/>
  <c r="Z45" i="3"/>
  <c r="Y47" i="3"/>
  <c r="Z47" i="3"/>
  <c r="Y49" i="3"/>
  <c r="Z49" i="3"/>
  <c r="Y53" i="3"/>
  <c r="Z53" i="3"/>
  <c r="Y55" i="3"/>
  <c r="Z55" i="3"/>
  <c r="Y57" i="3"/>
  <c r="Z57" i="3"/>
  <c r="Y59" i="3"/>
  <c r="Z59" i="3"/>
  <c r="Y61" i="3"/>
  <c r="Z61" i="3"/>
  <c r="Y65" i="3"/>
  <c r="Z65" i="3"/>
  <c r="Y67" i="3"/>
  <c r="Z67" i="3"/>
  <c r="Y88" i="3"/>
  <c r="Z88" i="3"/>
  <c r="Y70" i="3"/>
  <c r="Z70" i="3"/>
  <c r="Y74" i="3"/>
  <c r="Z74" i="3"/>
  <c r="Y78" i="3"/>
  <c r="Z78" i="3"/>
  <c r="Z82" i="3"/>
  <c r="Y82" i="3"/>
  <c r="Y87" i="3"/>
  <c r="Z87" i="3"/>
  <c r="Y93" i="3"/>
  <c r="Z93" i="3"/>
  <c r="Y97" i="3"/>
  <c r="Z97" i="3"/>
  <c r="Y101" i="3"/>
  <c r="Z101" i="3"/>
  <c r="Y105" i="3"/>
  <c r="Z105" i="3"/>
  <c r="Y109" i="3"/>
  <c r="Z109" i="3"/>
  <c r="Y113" i="3"/>
  <c r="Z113" i="3"/>
  <c r="Y117" i="3"/>
  <c r="Z117" i="3"/>
  <c r="AA26" i="3"/>
  <c r="V27" i="3"/>
  <c r="Y122" i="3"/>
  <c r="Z122" i="3"/>
  <c r="V11" i="3"/>
  <c r="AA10" i="3"/>
  <c r="V15" i="3"/>
  <c r="AA14" i="3"/>
  <c r="Y21" i="3"/>
  <c r="Z21" i="3"/>
  <c r="Y25" i="3"/>
  <c r="Z25" i="3"/>
  <c r="Y29" i="3"/>
  <c r="Z29" i="3"/>
  <c r="Y33" i="3"/>
  <c r="Z33" i="3"/>
  <c r="V39" i="3"/>
  <c r="AA38" i="3"/>
  <c r="V43" i="3"/>
  <c r="AA42" i="3"/>
  <c r="V51" i="3"/>
  <c r="AA50" i="3"/>
  <c r="V63" i="3"/>
  <c r="AA62" i="3"/>
  <c r="Z121" i="3"/>
  <c r="Y121" i="3"/>
  <c r="V123" i="3"/>
  <c r="AA122" i="3"/>
  <c r="V4" i="3"/>
  <c r="Z3" i="3"/>
  <c r="Y71" i="3"/>
  <c r="Z71" i="3"/>
  <c r="Y75" i="3"/>
  <c r="Z75" i="3"/>
  <c r="Y79" i="3"/>
  <c r="Z79" i="3"/>
  <c r="Y86" i="3"/>
  <c r="Z86" i="3"/>
  <c r="Y89" i="3"/>
  <c r="Z89" i="3"/>
  <c r="Y94" i="3"/>
  <c r="Z94" i="3"/>
  <c r="Y98" i="3"/>
  <c r="Z98" i="3"/>
  <c r="Y102" i="3"/>
  <c r="Z102" i="3"/>
  <c r="Y106" i="3"/>
  <c r="Z106" i="3"/>
  <c r="Y110" i="3"/>
  <c r="Z110" i="3"/>
  <c r="Y114" i="3"/>
  <c r="Z114" i="3"/>
  <c r="Y118" i="3"/>
  <c r="Z118" i="3"/>
  <c r="Y69" i="3"/>
  <c r="Z69" i="3"/>
  <c r="Y73" i="3"/>
  <c r="Z73" i="3"/>
  <c r="Y77" i="3"/>
  <c r="Z77" i="3"/>
  <c r="Y81" i="3"/>
  <c r="Z81" i="3"/>
  <c r="Y84" i="3"/>
  <c r="Z84" i="3"/>
  <c r="Y92" i="3"/>
  <c r="Z92" i="3"/>
  <c r="Y96" i="3"/>
  <c r="Z96" i="3"/>
  <c r="Y100" i="3"/>
  <c r="Z100" i="3"/>
  <c r="Y108" i="3"/>
  <c r="Z108" i="3"/>
  <c r="Y112" i="3"/>
  <c r="Z112" i="3"/>
  <c r="Y116" i="3"/>
  <c r="Z116" i="3"/>
  <c r="Z120" i="3"/>
  <c r="Y120" i="3"/>
  <c r="G2" i="1"/>
  <c r="BZ2" i="1"/>
  <c r="BX3" i="1"/>
  <c r="BX4" i="1"/>
  <c r="BX5" i="1"/>
  <c r="BX6" i="1"/>
  <c r="BX7" i="1"/>
  <c r="BX8" i="1"/>
  <c r="BX9" i="1"/>
  <c r="BX10" i="1"/>
  <c r="BX11" i="1"/>
  <c r="BX12" i="1"/>
  <c r="BX13" i="1"/>
  <c r="BX14" i="1"/>
  <c r="BX21" i="1"/>
  <c r="BX22" i="1"/>
  <c r="BX23" i="1"/>
  <c r="BX24" i="1"/>
  <c r="BX25" i="1"/>
  <c r="BX26" i="1"/>
  <c r="BX27" i="1"/>
  <c r="BX28" i="1"/>
  <c r="BX29" i="1"/>
  <c r="BX30" i="1"/>
  <c r="BX31" i="1"/>
  <c r="BX32" i="1"/>
  <c r="BX33" i="1"/>
  <c r="BX34" i="1"/>
  <c r="BX35" i="1"/>
  <c r="BX2" i="1"/>
  <c r="BY19" i="1" s="1"/>
  <c r="Z103" i="3" l="1"/>
  <c r="Y104" i="3"/>
  <c r="AY14" i="3"/>
  <c r="Y4" i="3"/>
  <c r="Z4" i="3"/>
  <c r="AY2" i="3"/>
  <c r="AY17" i="3"/>
  <c r="AY16" i="3"/>
  <c r="AY13" i="3"/>
  <c r="AY11" i="3"/>
  <c r="AY9" i="3"/>
  <c r="AY7" i="3"/>
  <c r="AY5" i="3"/>
  <c r="AY3" i="3"/>
  <c r="AY15" i="3"/>
  <c r="AY12" i="3"/>
  <c r="AY10" i="3"/>
  <c r="AY8" i="3"/>
  <c r="AY6" i="3"/>
  <c r="AY4" i="3"/>
  <c r="Y27" i="3"/>
  <c r="Z27" i="3"/>
  <c r="Y83" i="3"/>
  <c r="Z83" i="3"/>
  <c r="Y31" i="3"/>
  <c r="Z31" i="3"/>
  <c r="Y23" i="3"/>
  <c r="Z23" i="3"/>
  <c r="Y19" i="3"/>
  <c r="Z19" i="3"/>
  <c r="Z123" i="3"/>
  <c r="Y123" i="3"/>
  <c r="Y63" i="3"/>
  <c r="Z63" i="3"/>
  <c r="Y51" i="3"/>
  <c r="Z51" i="3"/>
  <c r="Y43" i="3"/>
  <c r="Z43" i="3"/>
  <c r="Y39" i="3"/>
  <c r="Z39" i="3"/>
  <c r="Y15" i="3"/>
  <c r="Z15" i="3"/>
  <c r="Y11" i="3"/>
  <c r="Z11" i="3"/>
  <c r="Z35" i="3"/>
  <c r="Y35" i="3"/>
  <c r="CC19" i="1"/>
  <c r="CA19" i="1"/>
  <c r="V3" i="1"/>
  <c r="Y3" i="1" s="1"/>
  <c r="BY20" i="1"/>
  <c r="BY18" i="1"/>
  <c r="BY17" i="1"/>
  <c r="BY16" i="1"/>
  <c r="BY15" i="1"/>
  <c r="BY34" i="1"/>
  <c r="CC34" i="1" s="1"/>
  <c r="BY32" i="1"/>
  <c r="CC32" i="1" s="1"/>
  <c r="BY30" i="1"/>
  <c r="CC30" i="1" s="1"/>
  <c r="BY28" i="1"/>
  <c r="CC28" i="1" s="1"/>
  <c r="BY26" i="1"/>
  <c r="CC26" i="1" s="1"/>
  <c r="BY24" i="1"/>
  <c r="CC24" i="1" s="1"/>
  <c r="BY22" i="1"/>
  <c r="CC22" i="1" s="1"/>
  <c r="BY14" i="1"/>
  <c r="CC14" i="1" s="1"/>
  <c r="BY12" i="1"/>
  <c r="CC12" i="1" s="1"/>
  <c r="BY10" i="1"/>
  <c r="CC10" i="1" s="1"/>
  <c r="BY8" i="1"/>
  <c r="CC8" i="1" s="1"/>
  <c r="BY6" i="1"/>
  <c r="CC6" i="1" s="1"/>
  <c r="BY4" i="1"/>
  <c r="CC4" i="1" s="1"/>
  <c r="BY2" i="1"/>
  <c r="BY35" i="1"/>
  <c r="CC35" i="1" s="1"/>
  <c r="BY33" i="1"/>
  <c r="CC33" i="1" s="1"/>
  <c r="BY31" i="1"/>
  <c r="CC31" i="1" s="1"/>
  <c r="BY29" i="1"/>
  <c r="CC29" i="1" s="1"/>
  <c r="BY27" i="1"/>
  <c r="CC27" i="1" s="1"/>
  <c r="BY25" i="1"/>
  <c r="CC25" i="1" s="1"/>
  <c r="BY23" i="1"/>
  <c r="CC23" i="1" s="1"/>
  <c r="BY21" i="1"/>
  <c r="CC21" i="1" s="1"/>
  <c r="BY13" i="1"/>
  <c r="BY11" i="1"/>
  <c r="CC11" i="1" s="1"/>
  <c r="BY9" i="1"/>
  <c r="CC9" i="1" s="1"/>
  <c r="BY7" i="1"/>
  <c r="CC7" i="1" s="1"/>
  <c r="BY5" i="1"/>
  <c r="CC5" i="1" s="1"/>
  <c r="BY3" i="1"/>
  <c r="CC3" i="1" s="1"/>
  <c r="CC13" i="1"/>
  <c r="AX14" i="3" l="1"/>
  <c r="AW14" i="3"/>
  <c r="AX16" i="3"/>
  <c r="AX2" i="3"/>
  <c r="AX4" i="3"/>
  <c r="AX6" i="3"/>
  <c r="AX8" i="3"/>
  <c r="AX10" i="3"/>
  <c r="AX12" i="3"/>
  <c r="AX15" i="3"/>
  <c r="AX17" i="3"/>
  <c r="AX3" i="3"/>
  <c r="AX5" i="3"/>
  <c r="AX7" i="3"/>
  <c r="AX9" i="3"/>
  <c r="AX11" i="3"/>
  <c r="AX13" i="3"/>
  <c r="AW7" i="3"/>
  <c r="AZ7" i="3" s="1"/>
  <c r="BA7" i="3" s="1"/>
  <c r="BB7" i="3" s="1"/>
  <c r="BD7" i="3" s="1"/>
  <c r="AW5" i="3"/>
  <c r="AZ5" i="3" s="1"/>
  <c r="BA5" i="3" s="1"/>
  <c r="BB5" i="3" s="1"/>
  <c r="BD5" i="3" s="1"/>
  <c r="AW16" i="3"/>
  <c r="AW13" i="3"/>
  <c r="AW11" i="3"/>
  <c r="AW9" i="3"/>
  <c r="AZ9" i="3" s="1"/>
  <c r="BA9" i="3" s="1"/>
  <c r="BB9" i="3" s="1"/>
  <c r="BD9" i="3" s="1"/>
  <c r="AW4" i="3"/>
  <c r="AW2" i="3"/>
  <c r="AW6" i="3"/>
  <c r="AZ6" i="3" s="1"/>
  <c r="BA6" i="3" s="1"/>
  <c r="BB6" i="3" s="1"/>
  <c r="BD6" i="3" s="1"/>
  <c r="AW17" i="3"/>
  <c r="AZ17" i="3" s="1"/>
  <c r="BA17" i="3" s="1"/>
  <c r="BB17" i="3" s="1"/>
  <c r="BD17" i="3" s="1"/>
  <c r="AW15" i="3"/>
  <c r="AW12" i="3"/>
  <c r="AZ12" i="3" s="1"/>
  <c r="BA12" i="3" s="1"/>
  <c r="BB12" i="3" s="1"/>
  <c r="BD12" i="3" s="1"/>
  <c r="AW10" i="3"/>
  <c r="AZ10" i="3" s="1"/>
  <c r="BA10" i="3" s="1"/>
  <c r="BB10" i="3" s="1"/>
  <c r="BD10" i="3" s="1"/>
  <c r="AW8" i="3"/>
  <c r="AZ8" i="3" s="1"/>
  <c r="BA8" i="3" s="1"/>
  <c r="BB8" i="3" s="1"/>
  <c r="BD8" i="3" s="1"/>
  <c r="AW3" i="3"/>
  <c r="AZ3" i="3" s="1"/>
  <c r="BA3" i="3" s="1"/>
  <c r="BB3" i="3" s="1"/>
  <c r="BD3" i="3" s="1"/>
  <c r="CC15" i="1"/>
  <c r="CA15" i="1"/>
  <c r="CC17" i="1"/>
  <c r="CA17" i="1"/>
  <c r="CC20" i="1"/>
  <c r="CA20" i="1"/>
  <c r="CC16" i="1"/>
  <c r="CA16" i="1"/>
  <c r="CC18" i="1"/>
  <c r="CA18" i="1"/>
  <c r="BV14" i="1"/>
  <c r="BZ14" i="1"/>
  <c r="CA14" i="1" s="1"/>
  <c r="BV10" i="1"/>
  <c r="BZ10" i="1"/>
  <c r="CA10" i="1" s="1"/>
  <c r="BV6" i="1"/>
  <c r="BZ6" i="1"/>
  <c r="CA6" i="1" s="1"/>
  <c r="BV15" i="1"/>
  <c r="BV11" i="1"/>
  <c r="BZ11" i="1"/>
  <c r="CA11" i="1" s="1"/>
  <c r="BV7" i="1"/>
  <c r="BZ7" i="1"/>
  <c r="CA7" i="1" s="1"/>
  <c r="BV3" i="1"/>
  <c r="BZ3" i="1"/>
  <c r="CA3" i="1" s="1"/>
  <c r="BV16" i="1"/>
  <c r="BV12" i="1"/>
  <c r="BZ12" i="1"/>
  <c r="CA12" i="1" s="1"/>
  <c r="BV8" i="1"/>
  <c r="BZ8" i="1"/>
  <c r="CA8" i="1" s="1"/>
  <c r="BV4" i="1"/>
  <c r="BZ4" i="1"/>
  <c r="CA4" i="1" s="1"/>
  <c r="BV13" i="1"/>
  <c r="BZ13" i="1"/>
  <c r="CA13" i="1" s="1"/>
  <c r="BV9" i="1"/>
  <c r="BZ9" i="1"/>
  <c r="CA9" i="1" s="1"/>
  <c r="BV5" i="1"/>
  <c r="BZ5" i="1"/>
  <c r="CA5" i="1" s="1"/>
  <c r="H3" i="1"/>
  <c r="AZ15" i="3" l="1"/>
  <c r="BA15" i="3" s="1"/>
  <c r="BB15" i="3" s="1"/>
  <c r="BD15" i="3" s="1"/>
  <c r="AZ14" i="3"/>
  <c r="BA14" i="3" s="1"/>
  <c r="BB14" i="3" s="1"/>
  <c r="BD14" i="3" s="1"/>
  <c r="AZ2" i="3"/>
  <c r="BA2" i="3" s="1"/>
  <c r="BB2" i="3" s="1"/>
  <c r="BD2" i="3" s="1"/>
  <c r="AZ13" i="3"/>
  <c r="BA13" i="3" s="1"/>
  <c r="BB13" i="3" s="1"/>
  <c r="BD13" i="3" s="1"/>
  <c r="AZ4" i="3"/>
  <c r="BA4" i="3" s="1"/>
  <c r="BB4" i="3" s="1"/>
  <c r="BD4" i="3" s="1"/>
  <c r="AZ16" i="3"/>
  <c r="BA16" i="3" s="1"/>
  <c r="BB16" i="3" s="1"/>
  <c r="BD16" i="3" s="1"/>
  <c r="AZ11" i="3"/>
  <c r="BA11" i="3" s="1"/>
  <c r="BB11" i="3" s="1"/>
  <c r="BD11" i="3" s="1"/>
  <c r="I3" i="1"/>
  <c r="H63" i="1"/>
  <c r="H191" i="1"/>
  <c r="H121" i="1"/>
  <c r="H26" i="1"/>
  <c r="H90" i="1"/>
  <c r="H154" i="1"/>
  <c r="H51" i="1"/>
  <c r="H179" i="1"/>
  <c r="H109" i="1"/>
  <c r="H20" i="1"/>
  <c r="H84" i="1"/>
  <c r="H148" i="1"/>
  <c r="H7" i="1"/>
  <c r="H135" i="1"/>
  <c r="H65" i="1"/>
  <c r="H193" i="1"/>
  <c r="H102" i="1"/>
  <c r="H75" i="1"/>
  <c r="H133" i="1"/>
  <c r="H96" i="1"/>
  <c r="H94" i="1"/>
  <c r="H181" i="1"/>
  <c r="H47" i="1"/>
  <c r="H175" i="1"/>
  <c r="H105" i="1"/>
  <c r="H18" i="1"/>
  <c r="H82" i="1"/>
  <c r="H146" i="1"/>
  <c r="H35" i="1"/>
  <c r="H163" i="1"/>
  <c r="H93" i="1"/>
  <c r="H12" i="1"/>
  <c r="H76" i="1"/>
  <c r="H140" i="1"/>
  <c r="H194" i="1"/>
  <c r="H119" i="1"/>
  <c r="H49" i="1"/>
  <c r="H177" i="1"/>
  <c r="H86" i="1"/>
  <c r="H43" i="1"/>
  <c r="H101" i="1"/>
  <c r="H80" i="1"/>
  <c r="H202" i="1"/>
  <c r="H155" i="1"/>
  <c r="H200" i="1"/>
  <c r="H152" i="1"/>
  <c r="H95" i="1"/>
  <c r="H25" i="1"/>
  <c r="H153" i="1"/>
  <c r="H42" i="1"/>
  <c r="H106" i="1"/>
  <c r="H170" i="1"/>
  <c r="H83" i="1"/>
  <c r="H13" i="1"/>
  <c r="H141" i="1"/>
  <c r="H36" i="1"/>
  <c r="H100" i="1"/>
  <c r="H164" i="1"/>
  <c r="H39" i="1"/>
  <c r="H167" i="1"/>
  <c r="H97" i="1"/>
  <c r="H14" i="1"/>
  <c r="H134" i="1"/>
  <c r="H139" i="1"/>
  <c r="H197" i="1"/>
  <c r="H128" i="1"/>
  <c r="H158" i="1"/>
  <c r="H56" i="1"/>
  <c r="H79" i="1"/>
  <c r="H9" i="1"/>
  <c r="H137" i="1"/>
  <c r="H34" i="1"/>
  <c r="H98" i="1"/>
  <c r="H162" i="1"/>
  <c r="H67" i="1"/>
  <c r="H195" i="1"/>
  <c r="H125" i="1"/>
  <c r="H28" i="1"/>
  <c r="H92" i="1"/>
  <c r="H156" i="1"/>
  <c r="H23" i="1"/>
  <c r="H151" i="1"/>
  <c r="H81" i="1"/>
  <c r="H6" i="1"/>
  <c r="H118" i="1"/>
  <c r="H107" i="1"/>
  <c r="H165" i="1"/>
  <c r="H112" i="1"/>
  <c r="H46" i="1"/>
  <c r="H174" i="1"/>
  <c r="H21" i="1"/>
  <c r="H40" i="1"/>
  <c r="H168" i="1"/>
  <c r="H126" i="1"/>
  <c r="H117" i="1"/>
  <c r="H184" i="1"/>
  <c r="H27" i="1"/>
  <c r="H8" i="1"/>
  <c r="H62" i="1"/>
  <c r="H24" i="1"/>
  <c r="H127" i="1"/>
  <c r="H57" i="1"/>
  <c r="H185" i="1"/>
  <c r="H58" i="1"/>
  <c r="H122" i="1"/>
  <c r="H186" i="1"/>
  <c r="H115" i="1"/>
  <c r="H45" i="1"/>
  <c r="H173" i="1"/>
  <c r="H52" i="1"/>
  <c r="H116" i="1"/>
  <c r="H180" i="1"/>
  <c r="H71" i="1"/>
  <c r="H199" i="1"/>
  <c r="H129" i="1"/>
  <c r="H38" i="1"/>
  <c r="H166" i="1"/>
  <c r="H5" i="1"/>
  <c r="H32" i="1"/>
  <c r="H160" i="1"/>
  <c r="H123" i="1"/>
  <c r="H120" i="1"/>
  <c r="H111" i="1"/>
  <c r="H41" i="1"/>
  <c r="H169" i="1"/>
  <c r="H50" i="1"/>
  <c r="H114" i="1"/>
  <c r="H178" i="1"/>
  <c r="H99" i="1"/>
  <c r="H29" i="1"/>
  <c r="H157" i="1"/>
  <c r="H44" i="1"/>
  <c r="H108" i="1"/>
  <c r="H172" i="1"/>
  <c r="H55" i="1"/>
  <c r="H183" i="1"/>
  <c r="H113" i="1"/>
  <c r="H22" i="1"/>
  <c r="H150" i="1"/>
  <c r="H171" i="1"/>
  <c r="H16" i="1"/>
  <c r="H144" i="1"/>
  <c r="H142" i="1"/>
  <c r="H72" i="1"/>
  <c r="H187" i="1"/>
  <c r="H31" i="1"/>
  <c r="H159" i="1"/>
  <c r="H89" i="1"/>
  <c r="H10" i="1"/>
  <c r="H74" i="1"/>
  <c r="H138" i="1"/>
  <c r="H19" i="1"/>
  <c r="H147" i="1"/>
  <c r="H77" i="1"/>
  <c r="H4" i="1"/>
  <c r="H68" i="1"/>
  <c r="H132" i="1"/>
  <c r="H196" i="1"/>
  <c r="H103" i="1"/>
  <c r="H33" i="1"/>
  <c r="H161" i="1"/>
  <c r="H70" i="1"/>
  <c r="H11" i="1"/>
  <c r="H69" i="1"/>
  <c r="H64" i="1"/>
  <c r="H30" i="1"/>
  <c r="H53" i="1"/>
  <c r="H15" i="1"/>
  <c r="H143" i="1"/>
  <c r="H73" i="1"/>
  <c r="H201" i="1"/>
  <c r="H66" i="1"/>
  <c r="H130" i="1"/>
  <c r="H198" i="1"/>
  <c r="H131" i="1"/>
  <c r="H61" i="1"/>
  <c r="H189" i="1"/>
  <c r="H60" i="1"/>
  <c r="H124" i="1"/>
  <c r="H188" i="1"/>
  <c r="H87" i="1"/>
  <c r="H17" i="1"/>
  <c r="H145" i="1"/>
  <c r="H54" i="1"/>
  <c r="H182" i="1"/>
  <c r="H37" i="1"/>
  <c r="H48" i="1"/>
  <c r="H176" i="1"/>
  <c r="H110" i="1"/>
  <c r="H91" i="1"/>
  <c r="H149" i="1"/>
  <c r="H104" i="1"/>
  <c r="H192" i="1"/>
  <c r="H59" i="1"/>
  <c r="H88" i="1"/>
  <c r="H78" i="1"/>
  <c r="H85" i="1"/>
  <c r="H136" i="1"/>
  <c r="H190" i="1"/>
  <c r="AJ3" i="1" l="1"/>
  <c r="J3" i="1"/>
  <c r="I200" i="1"/>
  <c r="J200" i="1" s="1"/>
  <c r="W200" i="1" s="1"/>
  <c r="V201" i="1" s="1"/>
  <c r="Y201" i="1" s="1"/>
  <c r="I184" i="1"/>
  <c r="J184" i="1" s="1"/>
  <c r="W184" i="1" s="1"/>
  <c r="V185" i="1" s="1"/>
  <c r="Y185" i="1" s="1"/>
  <c r="I168" i="1"/>
  <c r="J168" i="1" s="1"/>
  <c r="W168" i="1" s="1"/>
  <c r="V169" i="1" s="1"/>
  <c r="Y169" i="1" s="1"/>
  <c r="I152" i="1"/>
  <c r="J152" i="1" s="1"/>
  <c r="W152" i="1" s="1"/>
  <c r="I136" i="1"/>
  <c r="J136" i="1" s="1"/>
  <c r="W136" i="1" s="1"/>
  <c r="V137" i="1" s="1"/>
  <c r="Y137" i="1" s="1"/>
  <c r="I120" i="1"/>
  <c r="I104" i="1"/>
  <c r="I88" i="1"/>
  <c r="I72" i="1"/>
  <c r="I56" i="1"/>
  <c r="I40" i="1"/>
  <c r="I24" i="1"/>
  <c r="I8" i="1"/>
  <c r="I181" i="1"/>
  <c r="J181" i="1" s="1"/>
  <c r="W181" i="1" s="1"/>
  <c r="V182" i="1" s="1"/>
  <c r="Y182" i="1" s="1"/>
  <c r="I149" i="1"/>
  <c r="J149" i="1" s="1"/>
  <c r="W149" i="1" s="1"/>
  <c r="V150" i="1" s="1"/>
  <c r="I117" i="1"/>
  <c r="I85" i="1"/>
  <c r="I53" i="1"/>
  <c r="I21" i="1"/>
  <c r="I187" i="1"/>
  <c r="J187" i="1" s="1"/>
  <c r="W187" i="1" s="1"/>
  <c r="V188" i="1" s="1"/>
  <c r="I155" i="1"/>
  <c r="J155" i="1" s="1"/>
  <c r="W155" i="1" s="1"/>
  <c r="I123" i="1"/>
  <c r="J123" i="1" s="1"/>
  <c r="W123" i="1" s="1"/>
  <c r="V124" i="1" s="1"/>
  <c r="Y124" i="1" s="1"/>
  <c r="I91" i="1"/>
  <c r="I59" i="1"/>
  <c r="I27" i="1"/>
  <c r="I190" i="1"/>
  <c r="J190" i="1" s="1"/>
  <c r="W190" i="1" s="1"/>
  <c r="V191" i="1" s="1"/>
  <c r="Y191" i="1" s="1"/>
  <c r="I174" i="1"/>
  <c r="J174" i="1" s="1"/>
  <c r="W174" i="1" s="1"/>
  <c r="V175" i="1" s="1"/>
  <c r="Y175" i="1" s="1"/>
  <c r="I158" i="1"/>
  <c r="J158" i="1" s="1"/>
  <c r="W158" i="1" s="1"/>
  <c r="V159" i="1" s="1"/>
  <c r="Y159" i="1" s="1"/>
  <c r="I142" i="1"/>
  <c r="J142" i="1" s="1"/>
  <c r="W142" i="1" s="1"/>
  <c r="V143" i="1" s="1"/>
  <c r="Y143" i="1" s="1"/>
  <c r="I126" i="1"/>
  <c r="J126" i="1" s="1"/>
  <c r="W126" i="1" s="1"/>
  <c r="V127" i="1" s="1"/>
  <c r="Y127" i="1" s="1"/>
  <c r="I110" i="1"/>
  <c r="I94" i="1"/>
  <c r="I78" i="1"/>
  <c r="I62" i="1"/>
  <c r="AJ62" i="1" s="1"/>
  <c r="I46" i="1"/>
  <c r="I30" i="1"/>
  <c r="AJ30" i="1" s="1"/>
  <c r="I202" i="1"/>
  <c r="I192" i="1"/>
  <c r="J192" i="1" s="1"/>
  <c r="W192" i="1" s="1"/>
  <c r="V193" i="1" s="1"/>
  <c r="Y193" i="1" s="1"/>
  <c r="I176" i="1"/>
  <c r="J176" i="1" s="1"/>
  <c r="W176" i="1" s="1"/>
  <c r="V177" i="1" s="1"/>
  <c r="Y177" i="1" s="1"/>
  <c r="I160" i="1"/>
  <c r="J160" i="1" s="1"/>
  <c r="W160" i="1" s="1"/>
  <c r="V161" i="1" s="1"/>
  <c r="I144" i="1"/>
  <c r="J144" i="1" s="1"/>
  <c r="W144" i="1" s="1"/>
  <c r="V145" i="1" s="1"/>
  <c r="Y145" i="1" s="1"/>
  <c r="I128" i="1"/>
  <c r="J128" i="1" s="1"/>
  <c r="W128" i="1" s="1"/>
  <c r="V129" i="1" s="1"/>
  <c r="Y129" i="1" s="1"/>
  <c r="I112" i="1"/>
  <c r="I96" i="1"/>
  <c r="I80" i="1"/>
  <c r="I64" i="1"/>
  <c r="I48" i="1"/>
  <c r="I32" i="1"/>
  <c r="I16" i="1"/>
  <c r="I197" i="1"/>
  <c r="J197" i="1" s="1"/>
  <c r="W197" i="1" s="1"/>
  <c r="V198" i="1" s="1"/>
  <c r="Y198" i="1" s="1"/>
  <c r="I165" i="1"/>
  <c r="J165" i="1" s="1"/>
  <c r="W165" i="1" s="1"/>
  <c r="V166" i="1" s="1"/>
  <c r="Y166" i="1" s="1"/>
  <c r="I133" i="1"/>
  <c r="J133" i="1" s="1"/>
  <c r="W133" i="1" s="1"/>
  <c r="V134" i="1" s="1"/>
  <c r="Y134" i="1" s="1"/>
  <c r="I101" i="1"/>
  <c r="I69" i="1"/>
  <c r="I37" i="1"/>
  <c r="I5" i="1"/>
  <c r="I171" i="1"/>
  <c r="J171" i="1" s="1"/>
  <c r="W171" i="1" s="1"/>
  <c r="V172" i="1" s="1"/>
  <c r="Y172" i="1" s="1"/>
  <c r="I139" i="1"/>
  <c r="J139" i="1" s="1"/>
  <c r="W139" i="1" s="1"/>
  <c r="I107" i="1"/>
  <c r="I75" i="1"/>
  <c r="I43" i="1"/>
  <c r="I11" i="1"/>
  <c r="I182" i="1"/>
  <c r="J182" i="1" s="1"/>
  <c r="W182" i="1" s="1"/>
  <c r="V183" i="1" s="1"/>
  <c r="Y183" i="1" s="1"/>
  <c r="I166" i="1"/>
  <c r="J166" i="1" s="1"/>
  <c r="W166" i="1" s="1"/>
  <c r="V167" i="1" s="1"/>
  <c r="Y167" i="1" s="1"/>
  <c r="I150" i="1"/>
  <c r="J150" i="1" s="1"/>
  <c r="W150" i="1" s="1"/>
  <c r="V151" i="1" s="1"/>
  <c r="Y151" i="1" s="1"/>
  <c r="I134" i="1"/>
  <c r="J134" i="1" s="1"/>
  <c r="W134" i="1" s="1"/>
  <c r="V135" i="1" s="1"/>
  <c r="I118" i="1"/>
  <c r="I102" i="1"/>
  <c r="I86" i="1"/>
  <c r="I70" i="1"/>
  <c r="I54" i="1"/>
  <c r="I38" i="1"/>
  <c r="AJ38" i="1" s="1"/>
  <c r="I22" i="1"/>
  <c r="AJ22" i="1" s="1"/>
  <c r="I14" i="1"/>
  <c r="AJ14" i="1" s="1"/>
  <c r="I6" i="1"/>
  <c r="I193" i="1"/>
  <c r="I177" i="1"/>
  <c r="J177" i="1" s="1"/>
  <c r="W177" i="1" s="1"/>
  <c r="V178" i="1" s="1"/>
  <c r="Y178" i="1" s="1"/>
  <c r="I161" i="1"/>
  <c r="J161" i="1" s="1"/>
  <c r="W161" i="1" s="1"/>
  <c r="I145" i="1"/>
  <c r="J145" i="1" s="1"/>
  <c r="W145" i="1" s="1"/>
  <c r="I129" i="1"/>
  <c r="I113" i="1"/>
  <c r="I97" i="1"/>
  <c r="I81" i="1"/>
  <c r="I65" i="1"/>
  <c r="I49" i="1"/>
  <c r="I33" i="1"/>
  <c r="I17" i="1"/>
  <c r="I199" i="1"/>
  <c r="J199" i="1" s="1"/>
  <c r="W199" i="1" s="1"/>
  <c r="V200" i="1" s="1"/>
  <c r="Y200" i="1" s="1"/>
  <c r="I183" i="1"/>
  <c r="J183" i="1" s="1"/>
  <c r="W183" i="1" s="1"/>
  <c r="V184" i="1" s="1"/>
  <c r="Y184" i="1" s="1"/>
  <c r="I167" i="1"/>
  <c r="J167" i="1" s="1"/>
  <c r="W167" i="1" s="1"/>
  <c r="I151" i="1"/>
  <c r="J151" i="1" s="1"/>
  <c r="W151" i="1" s="1"/>
  <c r="V152" i="1" s="1"/>
  <c r="Y152" i="1" s="1"/>
  <c r="I135" i="1"/>
  <c r="J135" i="1" s="1"/>
  <c r="W135" i="1" s="1"/>
  <c r="V136" i="1" s="1"/>
  <c r="Y136" i="1" s="1"/>
  <c r="I119" i="1"/>
  <c r="I103" i="1"/>
  <c r="I87" i="1"/>
  <c r="I71" i="1"/>
  <c r="I55" i="1"/>
  <c r="I39" i="1"/>
  <c r="I23" i="1"/>
  <c r="I7" i="1"/>
  <c r="I194" i="1"/>
  <c r="I196" i="1"/>
  <c r="J196" i="1" s="1"/>
  <c r="W196" i="1" s="1"/>
  <c r="I188" i="1"/>
  <c r="J188" i="1" s="1"/>
  <c r="W188" i="1" s="1"/>
  <c r="V189" i="1" s="1"/>
  <c r="Y189" i="1" s="1"/>
  <c r="I180" i="1"/>
  <c r="I172" i="1"/>
  <c r="J172" i="1" s="1"/>
  <c r="W172" i="1" s="1"/>
  <c r="V173" i="1" s="1"/>
  <c r="Y173" i="1" s="1"/>
  <c r="I164" i="1"/>
  <c r="J164" i="1" s="1"/>
  <c r="W164" i="1" s="1"/>
  <c r="V165" i="1" s="1"/>
  <c r="Y165" i="1" s="1"/>
  <c r="I156" i="1"/>
  <c r="J156" i="1" s="1"/>
  <c r="W156" i="1" s="1"/>
  <c r="V157" i="1" s="1"/>
  <c r="Y157" i="1" s="1"/>
  <c r="I148" i="1"/>
  <c r="I140" i="1"/>
  <c r="J140" i="1" s="1"/>
  <c r="W140" i="1" s="1"/>
  <c r="V141" i="1" s="1"/>
  <c r="Y141" i="1" s="1"/>
  <c r="I132" i="1"/>
  <c r="J132" i="1" s="1"/>
  <c r="W132" i="1" s="1"/>
  <c r="I124" i="1"/>
  <c r="J124" i="1" s="1"/>
  <c r="W124" i="1" s="1"/>
  <c r="V125" i="1" s="1"/>
  <c r="Y125" i="1" s="1"/>
  <c r="I116" i="1"/>
  <c r="AJ116" i="1" s="1"/>
  <c r="I108" i="1"/>
  <c r="I100" i="1"/>
  <c r="I92" i="1"/>
  <c r="I84" i="1"/>
  <c r="AJ84" i="1" s="1"/>
  <c r="I76" i="1"/>
  <c r="I68" i="1"/>
  <c r="I60" i="1"/>
  <c r="I52" i="1"/>
  <c r="I44" i="1"/>
  <c r="I36" i="1"/>
  <c r="I28" i="1"/>
  <c r="I20" i="1"/>
  <c r="I12" i="1"/>
  <c r="I4" i="1"/>
  <c r="I189" i="1"/>
  <c r="J189" i="1" s="1"/>
  <c r="W189" i="1" s="1"/>
  <c r="I173" i="1"/>
  <c r="J173" i="1" s="1"/>
  <c r="W173" i="1" s="1"/>
  <c r="V174" i="1" s="1"/>
  <c r="Y174" i="1" s="1"/>
  <c r="I157" i="1"/>
  <c r="J157" i="1" s="1"/>
  <c r="W157" i="1" s="1"/>
  <c r="V158" i="1" s="1"/>
  <c r="Y158" i="1" s="1"/>
  <c r="I141" i="1"/>
  <c r="I125" i="1"/>
  <c r="J125" i="1" s="1"/>
  <c r="W125" i="1" s="1"/>
  <c r="V126" i="1" s="1"/>
  <c r="Y126" i="1" s="1"/>
  <c r="I109" i="1"/>
  <c r="I93" i="1"/>
  <c r="I77" i="1"/>
  <c r="I61" i="1"/>
  <c r="I45" i="1"/>
  <c r="I29" i="1"/>
  <c r="I13" i="1"/>
  <c r="I195" i="1"/>
  <c r="J195" i="1" s="1"/>
  <c r="W195" i="1" s="1"/>
  <c r="V196" i="1" s="1"/>
  <c r="Y196" i="1" s="1"/>
  <c r="I179" i="1"/>
  <c r="J179" i="1" s="1"/>
  <c r="W179" i="1" s="1"/>
  <c r="V180" i="1" s="1"/>
  <c r="Y180" i="1" s="1"/>
  <c r="I163" i="1"/>
  <c r="J163" i="1" s="1"/>
  <c r="W163" i="1" s="1"/>
  <c r="V164" i="1" s="1"/>
  <c r="I147" i="1"/>
  <c r="J147" i="1" s="1"/>
  <c r="W147" i="1" s="1"/>
  <c r="I131" i="1"/>
  <c r="J131" i="1" s="1"/>
  <c r="W131" i="1" s="1"/>
  <c r="V132" i="1" s="1"/>
  <c r="Y132" i="1" s="1"/>
  <c r="I115" i="1"/>
  <c r="I99" i="1"/>
  <c r="I83" i="1"/>
  <c r="I67" i="1"/>
  <c r="I51" i="1"/>
  <c r="I35" i="1"/>
  <c r="I19" i="1"/>
  <c r="I198" i="1"/>
  <c r="J198" i="1" s="1"/>
  <c r="W198" i="1" s="1"/>
  <c r="I186" i="1"/>
  <c r="J186" i="1" s="1"/>
  <c r="W186" i="1" s="1"/>
  <c r="I178" i="1"/>
  <c r="J178" i="1" s="1"/>
  <c r="W178" i="1" s="1"/>
  <c r="V179" i="1" s="1"/>
  <c r="Y179" i="1" s="1"/>
  <c r="I170" i="1"/>
  <c r="J170" i="1" s="1"/>
  <c r="W170" i="1" s="1"/>
  <c r="V171" i="1" s="1"/>
  <c r="I162" i="1"/>
  <c r="I154" i="1"/>
  <c r="J154" i="1" s="1"/>
  <c r="W154" i="1" s="1"/>
  <c r="V155" i="1" s="1"/>
  <c r="Y155" i="1" s="1"/>
  <c r="I146" i="1"/>
  <c r="J146" i="1" s="1"/>
  <c r="W146" i="1" s="1"/>
  <c r="V147" i="1" s="1"/>
  <c r="Y147" i="1" s="1"/>
  <c r="I138" i="1"/>
  <c r="J138" i="1" s="1"/>
  <c r="W138" i="1" s="1"/>
  <c r="V139" i="1" s="1"/>
  <c r="Y139" i="1" s="1"/>
  <c r="I130" i="1"/>
  <c r="J130" i="1" s="1"/>
  <c r="W130" i="1" s="1"/>
  <c r="V131" i="1" s="1"/>
  <c r="Y131" i="1" s="1"/>
  <c r="I122" i="1"/>
  <c r="AJ122" i="1" s="1"/>
  <c r="I114" i="1"/>
  <c r="I106" i="1"/>
  <c r="AJ106" i="1" s="1"/>
  <c r="I98" i="1"/>
  <c r="I90" i="1"/>
  <c r="I82" i="1"/>
  <c r="AJ82" i="1" s="1"/>
  <c r="I74" i="1"/>
  <c r="I66" i="1"/>
  <c r="I58" i="1"/>
  <c r="I50" i="1"/>
  <c r="AJ50" i="1" s="1"/>
  <c r="I42" i="1"/>
  <c r="AJ42" i="1" s="1"/>
  <c r="I34" i="1"/>
  <c r="AJ34" i="1" s="1"/>
  <c r="I26" i="1"/>
  <c r="AJ26" i="1" s="1"/>
  <c r="I18" i="1"/>
  <c r="I10" i="1"/>
  <c r="AJ10" i="1" s="1"/>
  <c r="I201" i="1"/>
  <c r="J201" i="1" s="1"/>
  <c r="W201" i="1" s="1"/>
  <c r="I185" i="1"/>
  <c r="J185" i="1" s="1"/>
  <c r="W185" i="1" s="1"/>
  <c r="V186" i="1" s="1"/>
  <c r="Y186" i="1" s="1"/>
  <c r="I169" i="1"/>
  <c r="J169" i="1" s="1"/>
  <c r="W169" i="1" s="1"/>
  <c r="V170" i="1" s="1"/>
  <c r="I153" i="1"/>
  <c r="J153" i="1" s="1"/>
  <c r="W153" i="1" s="1"/>
  <c r="V154" i="1" s="1"/>
  <c r="I137" i="1"/>
  <c r="J137" i="1" s="1"/>
  <c r="W137" i="1" s="1"/>
  <c r="I121" i="1"/>
  <c r="I105" i="1"/>
  <c r="I89" i="1"/>
  <c r="I73" i="1"/>
  <c r="I57" i="1"/>
  <c r="I41" i="1"/>
  <c r="I25" i="1"/>
  <c r="I9" i="1"/>
  <c r="I191" i="1"/>
  <c r="I175" i="1"/>
  <c r="J175" i="1" s="1"/>
  <c r="W175" i="1" s="1"/>
  <c r="I159" i="1"/>
  <c r="I143" i="1"/>
  <c r="J143" i="1" s="1"/>
  <c r="W143" i="1" s="1"/>
  <c r="V144" i="1" s="1"/>
  <c r="Y144" i="1" s="1"/>
  <c r="I127" i="1"/>
  <c r="I111" i="1"/>
  <c r="I95" i="1"/>
  <c r="AJ95" i="1" s="1"/>
  <c r="I79" i="1"/>
  <c r="I63" i="1"/>
  <c r="AJ63" i="1" s="1"/>
  <c r="I47" i="1"/>
  <c r="I31" i="1"/>
  <c r="I15" i="1"/>
  <c r="V162" i="1"/>
  <c r="Y162" i="1" s="1"/>
  <c r="AT7" i="1" l="1"/>
  <c r="AT4" i="1"/>
  <c r="AT8" i="1"/>
  <c r="AT10" i="1"/>
  <c r="AT12" i="1"/>
  <c r="AT14" i="1"/>
  <c r="AT16" i="1"/>
  <c r="AU3" i="1"/>
  <c r="AU4" i="1"/>
  <c r="AU5" i="1"/>
  <c r="AU6" i="1"/>
  <c r="AU7" i="1"/>
  <c r="AU8" i="1"/>
  <c r="AU9" i="1"/>
  <c r="AU10" i="1"/>
  <c r="AU11" i="1"/>
  <c r="AU12" i="1"/>
  <c r="AU13" i="1"/>
  <c r="AU14" i="1"/>
  <c r="AU15" i="1"/>
  <c r="AU16" i="1"/>
  <c r="AT5" i="1"/>
  <c r="AU2" i="1"/>
  <c r="AT6" i="1"/>
  <c r="AT9" i="1"/>
  <c r="AT11" i="1"/>
  <c r="AT13" i="1"/>
  <c r="AT15" i="1"/>
  <c r="AS3" i="1"/>
  <c r="AS4" i="1"/>
  <c r="AS5" i="1"/>
  <c r="AS6" i="1"/>
  <c r="AS7" i="1"/>
  <c r="AV7" i="1" s="1"/>
  <c r="AS8" i="1"/>
  <c r="AS9" i="1"/>
  <c r="AS10" i="1"/>
  <c r="AV10" i="1" s="1"/>
  <c r="AS11" i="1"/>
  <c r="AS12" i="1"/>
  <c r="AS13" i="1"/>
  <c r="AS14" i="1"/>
  <c r="AV14" i="1" s="1"/>
  <c r="AS15" i="1"/>
  <c r="AS16" i="1"/>
  <c r="AT3" i="1"/>
  <c r="J31" i="1"/>
  <c r="AJ31" i="1"/>
  <c r="J25" i="1"/>
  <c r="AJ25" i="1"/>
  <c r="J57" i="1"/>
  <c r="AJ57" i="1"/>
  <c r="J89" i="1"/>
  <c r="AJ89" i="1"/>
  <c r="J121" i="1"/>
  <c r="AJ121" i="1"/>
  <c r="J58" i="1"/>
  <c r="AJ58" i="1"/>
  <c r="J74" i="1"/>
  <c r="AJ74" i="1"/>
  <c r="J90" i="1"/>
  <c r="AJ90" i="1"/>
  <c r="J19" i="1"/>
  <c r="AJ19" i="1"/>
  <c r="J51" i="1"/>
  <c r="AJ51" i="1"/>
  <c r="J83" i="1"/>
  <c r="AJ83" i="1"/>
  <c r="J115" i="1"/>
  <c r="AJ115" i="1"/>
  <c r="J13" i="1"/>
  <c r="AJ13" i="1"/>
  <c r="J45" i="1"/>
  <c r="AJ45" i="1"/>
  <c r="J77" i="1"/>
  <c r="AJ77" i="1"/>
  <c r="J109" i="1"/>
  <c r="AJ109" i="1"/>
  <c r="J4" i="1"/>
  <c r="AJ4" i="1"/>
  <c r="J20" i="1"/>
  <c r="AJ20" i="1"/>
  <c r="J36" i="1"/>
  <c r="AJ36" i="1"/>
  <c r="J52" i="1"/>
  <c r="AJ52" i="1"/>
  <c r="J68" i="1"/>
  <c r="AJ68" i="1"/>
  <c r="J100" i="1"/>
  <c r="AJ100" i="1"/>
  <c r="J7" i="1"/>
  <c r="AJ7" i="1"/>
  <c r="J39" i="1"/>
  <c r="AJ39" i="1"/>
  <c r="J71" i="1"/>
  <c r="AJ71" i="1"/>
  <c r="J103" i="1"/>
  <c r="AJ103" i="1"/>
  <c r="J33" i="1"/>
  <c r="AJ33" i="1"/>
  <c r="J65" i="1"/>
  <c r="AJ65" i="1"/>
  <c r="J97" i="1"/>
  <c r="AJ97" i="1"/>
  <c r="J70" i="1"/>
  <c r="AJ70" i="1"/>
  <c r="J102" i="1"/>
  <c r="AJ102" i="1"/>
  <c r="J11" i="1"/>
  <c r="AJ11" i="1"/>
  <c r="J75" i="1"/>
  <c r="AJ75" i="1"/>
  <c r="J5" i="1"/>
  <c r="AJ5" i="1"/>
  <c r="J69" i="1"/>
  <c r="AJ69" i="1"/>
  <c r="J15" i="1"/>
  <c r="AJ15" i="1"/>
  <c r="J47" i="1"/>
  <c r="AJ47" i="1"/>
  <c r="J79" i="1"/>
  <c r="AJ79" i="1"/>
  <c r="J111" i="1"/>
  <c r="AJ111" i="1"/>
  <c r="J9" i="1"/>
  <c r="AJ9" i="1"/>
  <c r="J41" i="1"/>
  <c r="AJ41" i="1"/>
  <c r="J73" i="1"/>
  <c r="AJ73" i="1"/>
  <c r="J105" i="1"/>
  <c r="AJ105" i="1"/>
  <c r="J18" i="1"/>
  <c r="AJ18" i="1"/>
  <c r="J66" i="1"/>
  <c r="AJ66" i="1"/>
  <c r="J98" i="1"/>
  <c r="AJ98" i="1"/>
  <c r="J114" i="1"/>
  <c r="AJ114" i="1"/>
  <c r="J35" i="1"/>
  <c r="AJ35" i="1"/>
  <c r="J67" i="1"/>
  <c r="AJ67" i="1"/>
  <c r="J99" i="1"/>
  <c r="AJ99" i="1"/>
  <c r="J29" i="1"/>
  <c r="AJ29" i="1"/>
  <c r="J61" i="1"/>
  <c r="AJ61" i="1"/>
  <c r="J93" i="1"/>
  <c r="AJ93" i="1"/>
  <c r="J12" i="1"/>
  <c r="AJ12" i="1"/>
  <c r="J28" i="1"/>
  <c r="AJ28" i="1"/>
  <c r="J44" i="1"/>
  <c r="AJ44" i="1"/>
  <c r="J60" i="1"/>
  <c r="AJ60" i="1"/>
  <c r="J76" i="1"/>
  <c r="AJ76" i="1"/>
  <c r="J92" i="1"/>
  <c r="AJ92" i="1"/>
  <c r="J108" i="1"/>
  <c r="AJ108" i="1"/>
  <c r="J23" i="1"/>
  <c r="AJ23" i="1"/>
  <c r="J55" i="1"/>
  <c r="AJ55" i="1"/>
  <c r="J87" i="1"/>
  <c r="AJ87" i="1"/>
  <c r="J119" i="1"/>
  <c r="AJ119" i="1"/>
  <c r="J17" i="1"/>
  <c r="AJ17" i="1"/>
  <c r="J49" i="1"/>
  <c r="AJ49" i="1"/>
  <c r="J81" i="1"/>
  <c r="AJ81" i="1"/>
  <c r="J113" i="1"/>
  <c r="AJ113" i="1"/>
  <c r="J6" i="1"/>
  <c r="AJ6" i="1"/>
  <c r="J54" i="1"/>
  <c r="AJ54" i="1"/>
  <c r="J86" i="1"/>
  <c r="AJ86" i="1"/>
  <c r="J118" i="1"/>
  <c r="AJ118" i="1"/>
  <c r="J43" i="1"/>
  <c r="AJ43" i="1"/>
  <c r="J107" i="1"/>
  <c r="AJ107" i="1"/>
  <c r="J37" i="1"/>
  <c r="AJ37" i="1"/>
  <c r="J101" i="1"/>
  <c r="AJ101" i="1"/>
  <c r="J16" i="1"/>
  <c r="AJ16" i="1"/>
  <c r="J48" i="1"/>
  <c r="AJ48" i="1"/>
  <c r="J80" i="1"/>
  <c r="AJ80" i="1"/>
  <c r="J112" i="1"/>
  <c r="AJ112" i="1"/>
  <c r="J46" i="1"/>
  <c r="AJ46" i="1"/>
  <c r="J78" i="1"/>
  <c r="AJ78" i="1"/>
  <c r="J110" i="1"/>
  <c r="AJ110" i="1"/>
  <c r="J27" i="1"/>
  <c r="AJ27" i="1"/>
  <c r="J91" i="1"/>
  <c r="AJ91" i="1"/>
  <c r="J21" i="1"/>
  <c r="AJ21" i="1"/>
  <c r="J85" i="1"/>
  <c r="AJ85" i="1"/>
  <c r="J8" i="1"/>
  <c r="AJ8" i="1"/>
  <c r="J40" i="1"/>
  <c r="AJ40" i="1"/>
  <c r="J72" i="1"/>
  <c r="AJ72" i="1"/>
  <c r="J104" i="1"/>
  <c r="AJ104" i="1"/>
  <c r="AT2" i="1"/>
  <c r="J32" i="1"/>
  <c r="AJ32" i="1"/>
  <c r="J64" i="1"/>
  <c r="AJ64" i="1"/>
  <c r="J96" i="1"/>
  <c r="AJ96" i="1"/>
  <c r="J94" i="1"/>
  <c r="AJ94" i="1"/>
  <c r="J59" i="1"/>
  <c r="AJ59" i="1"/>
  <c r="J53" i="1"/>
  <c r="AJ53" i="1"/>
  <c r="J117" i="1"/>
  <c r="AJ117" i="1"/>
  <c r="J24" i="1"/>
  <c r="AJ24" i="1"/>
  <c r="J56" i="1"/>
  <c r="AJ56" i="1"/>
  <c r="J88" i="1"/>
  <c r="AJ88" i="1"/>
  <c r="J120" i="1"/>
  <c r="AJ120" i="1"/>
  <c r="W3" i="1"/>
  <c r="Z3" i="1" s="1"/>
  <c r="AL3" i="1"/>
  <c r="AN3" i="1" s="1"/>
  <c r="AS2" i="1"/>
  <c r="Z188" i="1"/>
  <c r="Y188" i="1"/>
  <c r="Z161" i="1"/>
  <c r="Y161" i="1"/>
  <c r="Z135" i="1"/>
  <c r="Y135" i="1"/>
  <c r="Z170" i="1"/>
  <c r="Y170" i="1"/>
  <c r="Z171" i="1"/>
  <c r="Y171" i="1"/>
  <c r="Z150" i="1"/>
  <c r="Y150" i="1"/>
  <c r="Z154" i="1"/>
  <c r="Y154" i="1"/>
  <c r="Z164" i="1"/>
  <c r="Y164" i="1"/>
  <c r="Z174" i="1"/>
  <c r="Z172" i="1"/>
  <c r="Z173" i="1"/>
  <c r="Z182" i="1"/>
  <c r="Z179" i="1"/>
  <c r="Z144" i="1"/>
  <c r="Z137" i="1"/>
  <c r="Z201" i="1"/>
  <c r="Z155" i="1"/>
  <c r="Z132" i="1"/>
  <c r="Z196" i="1"/>
  <c r="Z189" i="1"/>
  <c r="Z175" i="1"/>
  <c r="Z126" i="1"/>
  <c r="Z134" i="1"/>
  <c r="Z145" i="1"/>
  <c r="Z131" i="1"/>
  <c r="Z152" i="1"/>
  <c r="Z200" i="1"/>
  <c r="Z165" i="1"/>
  <c r="Z183" i="1"/>
  <c r="Z157" i="1"/>
  <c r="Z143" i="1"/>
  <c r="Z198" i="1"/>
  <c r="Z147" i="1"/>
  <c r="Z167" i="1"/>
  <c r="Z186" i="1"/>
  <c r="Z169" i="1"/>
  <c r="Z125" i="1"/>
  <c r="Z158" i="1"/>
  <c r="Z124" i="1"/>
  <c r="Z166" i="1"/>
  <c r="Z177" i="1"/>
  <c r="Z136" i="1"/>
  <c r="Z184" i="1"/>
  <c r="Z151" i="1"/>
  <c r="Z178" i="1"/>
  <c r="Z185" i="1"/>
  <c r="Z139" i="1"/>
  <c r="J63" i="1"/>
  <c r="AL63" i="1" s="1"/>
  <c r="AN63" i="1" s="1"/>
  <c r="J95" i="1"/>
  <c r="J127" i="1"/>
  <c r="W127" i="1" s="1"/>
  <c r="Z127" i="1" s="1"/>
  <c r="J159" i="1"/>
  <c r="W159" i="1" s="1"/>
  <c r="Z159" i="1" s="1"/>
  <c r="J191" i="1"/>
  <c r="W191" i="1" s="1"/>
  <c r="Z191" i="1" s="1"/>
  <c r="J10" i="1"/>
  <c r="J26" i="1"/>
  <c r="J42" i="1"/>
  <c r="J106" i="1"/>
  <c r="J122" i="1"/>
  <c r="J141" i="1"/>
  <c r="W141" i="1" s="1"/>
  <c r="Z141" i="1" s="1"/>
  <c r="J84" i="1"/>
  <c r="J116" i="1"/>
  <c r="J148" i="1"/>
  <c r="J180" i="1"/>
  <c r="W180" i="1" s="1"/>
  <c r="Z180" i="1" s="1"/>
  <c r="J129" i="1"/>
  <c r="W129" i="1" s="1"/>
  <c r="Z129" i="1" s="1"/>
  <c r="J193" i="1"/>
  <c r="W193" i="1" s="1"/>
  <c r="Z193" i="1" s="1"/>
  <c r="J14" i="1"/>
  <c r="J38" i="1"/>
  <c r="J30" i="1"/>
  <c r="J62" i="1"/>
  <c r="J34" i="1"/>
  <c r="J50" i="1"/>
  <c r="J82" i="1"/>
  <c r="J162" i="1"/>
  <c r="W162" i="1" s="1"/>
  <c r="J194" i="1"/>
  <c r="J22" i="1"/>
  <c r="J202" i="1"/>
  <c r="W202" i="1" s="1"/>
  <c r="AA202" i="1" s="1"/>
  <c r="V4" i="1"/>
  <c r="Y4" i="1" s="1"/>
  <c r="V140" i="1"/>
  <c r="V148" i="1"/>
  <c r="Y148" i="1" s="1"/>
  <c r="V176" i="1"/>
  <c r="V199" i="1"/>
  <c r="V138" i="1"/>
  <c r="V202" i="1"/>
  <c r="Y202" i="1" s="1"/>
  <c r="V187" i="1"/>
  <c r="V156" i="1"/>
  <c r="V190" i="1"/>
  <c r="V168" i="1"/>
  <c r="V133" i="1"/>
  <c r="V197" i="1"/>
  <c r="V146" i="1"/>
  <c r="V153" i="1"/>
  <c r="AV16" i="1" l="1"/>
  <c r="AV12" i="1"/>
  <c r="AV8" i="1"/>
  <c r="AV5" i="1"/>
  <c r="AV2" i="1"/>
  <c r="AV3" i="2"/>
  <c r="AU3" i="2"/>
  <c r="AV3" i="1"/>
  <c r="AV13" i="1"/>
  <c r="AV9" i="1"/>
  <c r="AV15" i="1"/>
  <c r="AV11" i="1"/>
  <c r="AV6" i="1"/>
  <c r="AV4" i="1"/>
  <c r="W22" i="1"/>
  <c r="AA22" i="1" s="1"/>
  <c r="AL22" i="1"/>
  <c r="AN22" i="1" s="1"/>
  <c r="W50" i="1"/>
  <c r="AA50" i="1" s="1"/>
  <c r="AL50" i="1"/>
  <c r="AN50" i="1" s="1"/>
  <c r="W62" i="1"/>
  <c r="AA62" i="1" s="1"/>
  <c r="AL62" i="1"/>
  <c r="AN62" i="1" s="1"/>
  <c r="W38" i="1"/>
  <c r="AA38" i="1" s="1"/>
  <c r="AL38" i="1"/>
  <c r="AN38" i="1" s="1"/>
  <c r="W116" i="1"/>
  <c r="V117" i="1" s="1"/>
  <c r="AL116" i="1"/>
  <c r="AN116" i="1" s="1"/>
  <c r="W106" i="1"/>
  <c r="V107" i="1" s="1"/>
  <c r="AL106" i="1"/>
  <c r="AN106" i="1" s="1"/>
  <c r="W26" i="1"/>
  <c r="AA26" i="1" s="1"/>
  <c r="AL26" i="1"/>
  <c r="AN26" i="1" s="1"/>
  <c r="W82" i="1"/>
  <c r="AA82" i="1" s="1"/>
  <c r="AL82" i="1"/>
  <c r="AN82" i="1" s="1"/>
  <c r="W34" i="1"/>
  <c r="AA34" i="1" s="1"/>
  <c r="AL34" i="1"/>
  <c r="AN34" i="1" s="1"/>
  <c r="W30" i="1"/>
  <c r="AA30" i="1" s="1"/>
  <c r="AL30" i="1"/>
  <c r="AN30" i="1" s="1"/>
  <c r="W14" i="1"/>
  <c r="AA14" i="1" s="1"/>
  <c r="AL14" i="1"/>
  <c r="AN14" i="1" s="1"/>
  <c r="W84" i="1"/>
  <c r="V85" i="1" s="1"/>
  <c r="AL84" i="1"/>
  <c r="AN84" i="1" s="1"/>
  <c r="W122" i="1"/>
  <c r="AA122" i="1" s="1"/>
  <c r="AL122" i="1"/>
  <c r="AN122" i="1" s="1"/>
  <c r="W42" i="1"/>
  <c r="AA42" i="1" s="1"/>
  <c r="AL42" i="1"/>
  <c r="AN42" i="1" s="1"/>
  <c r="W10" i="1"/>
  <c r="AA10" i="1" s="1"/>
  <c r="AL10" i="1"/>
  <c r="AN10" i="1" s="1"/>
  <c r="W95" i="1"/>
  <c r="AL95" i="1"/>
  <c r="AN95" i="1" s="1"/>
  <c r="W120" i="1"/>
  <c r="V121" i="1" s="1"/>
  <c r="AL120" i="1"/>
  <c r="AN120" i="1" s="1"/>
  <c r="W88" i="1"/>
  <c r="V89" i="1" s="1"/>
  <c r="AL88" i="1"/>
  <c r="AN88" i="1" s="1"/>
  <c r="W56" i="1"/>
  <c r="V57" i="1" s="1"/>
  <c r="AL56" i="1"/>
  <c r="AN56" i="1" s="1"/>
  <c r="W24" i="1"/>
  <c r="V25" i="1" s="1"/>
  <c r="AL24" i="1"/>
  <c r="AN24" i="1" s="1"/>
  <c r="W117" i="1"/>
  <c r="V118" i="1" s="1"/>
  <c r="AL117" i="1"/>
  <c r="AN117" i="1" s="1"/>
  <c r="W53" i="1"/>
  <c r="V54" i="1" s="1"/>
  <c r="AL53" i="1"/>
  <c r="AN53" i="1" s="1"/>
  <c r="W59" i="1"/>
  <c r="V60" i="1" s="1"/>
  <c r="AL59" i="1"/>
  <c r="AN59" i="1" s="1"/>
  <c r="W94" i="1"/>
  <c r="V95" i="1" s="1"/>
  <c r="Y95" i="1" s="1"/>
  <c r="AL94" i="1"/>
  <c r="AN94" i="1" s="1"/>
  <c r="W96" i="1"/>
  <c r="V97" i="1" s="1"/>
  <c r="AL96" i="1"/>
  <c r="AN96" i="1" s="1"/>
  <c r="W64" i="1"/>
  <c r="V65" i="1" s="1"/>
  <c r="AL64" i="1"/>
  <c r="AN64" i="1" s="1"/>
  <c r="W32" i="1"/>
  <c r="V33" i="1" s="1"/>
  <c r="AL32" i="1"/>
  <c r="AN32" i="1" s="1"/>
  <c r="W104" i="1"/>
  <c r="V105" i="1" s="1"/>
  <c r="AL104" i="1"/>
  <c r="AN104" i="1" s="1"/>
  <c r="W72" i="1"/>
  <c r="V73" i="1" s="1"/>
  <c r="AL72" i="1"/>
  <c r="AN72" i="1" s="1"/>
  <c r="W40" i="1"/>
  <c r="V41" i="1" s="1"/>
  <c r="AL40" i="1"/>
  <c r="AN40" i="1" s="1"/>
  <c r="W8" i="1"/>
  <c r="V9" i="1" s="1"/>
  <c r="Y9" i="1" s="1"/>
  <c r="AL8" i="1"/>
  <c r="AN8" i="1" s="1"/>
  <c r="W85" i="1"/>
  <c r="V86" i="1" s="1"/>
  <c r="AL85" i="1"/>
  <c r="AN85" i="1" s="1"/>
  <c r="W21" i="1"/>
  <c r="V22" i="1" s="1"/>
  <c r="Y22" i="1" s="1"/>
  <c r="AL21" i="1"/>
  <c r="AN21" i="1" s="1"/>
  <c r="W91" i="1"/>
  <c r="V92" i="1" s="1"/>
  <c r="AL91" i="1"/>
  <c r="AN91" i="1" s="1"/>
  <c r="W27" i="1"/>
  <c r="V28" i="1" s="1"/>
  <c r="AL27" i="1"/>
  <c r="AN27" i="1" s="1"/>
  <c r="W110" i="1"/>
  <c r="V111" i="1" s="1"/>
  <c r="AL110" i="1"/>
  <c r="AN110" i="1" s="1"/>
  <c r="W78" i="1"/>
  <c r="V79" i="1" s="1"/>
  <c r="AL78" i="1"/>
  <c r="AN78" i="1" s="1"/>
  <c r="W46" i="1"/>
  <c r="V47" i="1" s="1"/>
  <c r="AL46" i="1"/>
  <c r="AN46" i="1" s="1"/>
  <c r="W112" i="1"/>
  <c r="V113" i="1" s="1"/>
  <c r="AL112" i="1"/>
  <c r="AN112" i="1" s="1"/>
  <c r="W80" i="1"/>
  <c r="V81" i="1" s="1"/>
  <c r="AL80" i="1"/>
  <c r="AN80" i="1" s="1"/>
  <c r="W48" i="1"/>
  <c r="V49" i="1" s="1"/>
  <c r="AL48" i="1"/>
  <c r="AN48" i="1" s="1"/>
  <c r="W16" i="1"/>
  <c r="V17" i="1" s="1"/>
  <c r="AL16" i="1"/>
  <c r="AN16" i="1" s="1"/>
  <c r="W101" i="1"/>
  <c r="V102" i="1" s="1"/>
  <c r="AL101" i="1"/>
  <c r="AN101" i="1" s="1"/>
  <c r="W37" i="1"/>
  <c r="V38" i="1" s="1"/>
  <c r="Y38" i="1" s="1"/>
  <c r="AL37" i="1"/>
  <c r="AN37" i="1" s="1"/>
  <c r="W107" i="1"/>
  <c r="V108" i="1" s="1"/>
  <c r="AL107" i="1"/>
  <c r="AN107" i="1" s="1"/>
  <c r="W43" i="1"/>
  <c r="V44" i="1" s="1"/>
  <c r="AL43" i="1"/>
  <c r="AN43" i="1" s="1"/>
  <c r="W118" i="1"/>
  <c r="V119" i="1" s="1"/>
  <c r="AL118" i="1"/>
  <c r="AN118" i="1" s="1"/>
  <c r="W86" i="1"/>
  <c r="V87" i="1" s="1"/>
  <c r="AL86" i="1"/>
  <c r="AN86" i="1" s="1"/>
  <c r="W54" i="1"/>
  <c r="V55" i="1" s="1"/>
  <c r="AL54" i="1"/>
  <c r="AN54" i="1" s="1"/>
  <c r="W6" i="1"/>
  <c r="V7" i="1" s="1"/>
  <c r="AL6" i="1"/>
  <c r="AN6" i="1" s="1"/>
  <c r="W113" i="1"/>
  <c r="V114" i="1" s="1"/>
  <c r="AL113" i="1"/>
  <c r="AN113" i="1" s="1"/>
  <c r="W81" i="1"/>
  <c r="V82" i="1" s="1"/>
  <c r="Y82" i="1" s="1"/>
  <c r="AL81" i="1"/>
  <c r="AN81" i="1" s="1"/>
  <c r="W49" i="1"/>
  <c r="V50" i="1" s="1"/>
  <c r="Y50" i="1" s="1"/>
  <c r="AL49" i="1"/>
  <c r="AN49" i="1" s="1"/>
  <c r="W17" i="1"/>
  <c r="V18" i="1" s="1"/>
  <c r="AL17" i="1"/>
  <c r="AN17" i="1" s="1"/>
  <c r="W119" i="1"/>
  <c r="V120" i="1" s="1"/>
  <c r="AL119" i="1"/>
  <c r="AN119" i="1" s="1"/>
  <c r="W87" i="1"/>
  <c r="V88" i="1" s="1"/>
  <c r="AL87" i="1"/>
  <c r="AN87" i="1" s="1"/>
  <c r="W55" i="1"/>
  <c r="V56" i="1" s="1"/>
  <c r="AL55" i="1"/>
  <c r="AN55" i="1" s="1"/>
  <c r="W23" i="1"/>
  <c r="V24" i="1" s="1"/>
  <c r="AL23" i="1"/>
  <c r="AN23" i="1" s="1"/>
  <c r="W108" i="1"/>
  <c r="V109" i="1" s="1"/>
  <c r="AL108" i="1"/>
  <c r="AN108" i="1" s="1"/>
  <c r="W92" i="1"/>
  <c r="V93" i="1" s="1"/>
  <c r="AL92" i="1"/>
  <c r="AN92" i="1" s="1"/>
  <c r="W76" i="1"/>
  <c r="V77" i="1" s="1"/>
  <c r="AL76" i="1"/>
  <c r="AN76" i="1" s="1"/>
  <c r="W60" i="1"/>
  <c r="V61" i="1" s="1"/>
  <c r="AL60" i="1"/>
  <c r="AN60" i="1" s="1"/>
  <c r="W44" i="1"/>
  <c r="V45" i="1" s="1"/>
  <c r="AL44" i="1"/>
  <c r="AN44" i="1" s="1"/>
  <c r="W28" i="1"/>
  <c r="V29" i="1" s="1"/>
  <c r="AL28" i="1"/>
  <c r="AN28" i="1" s="1"/>
  <c r="W12" i="1"/>
  <c r="V13" i="1" s="1"/>
  <c r="AL12" i="1"/>
  <c r="AN12" i="1" s="1"/>
  <c r="W93" i="1"/>
  <c r="V94" i="1" s="1"/>
  <c r="AL93" i="1"/>
  <c r="AN93" i="1" s="1"/>
  <c r="W61" i="1"/>
  <c r="V62" i="1" s="1"/>
  <c r="Y62" i="1" s="1"/>
  <c r="AL61" i="1"/>
  <c r="AN61" i="1" s="1"/>
  <c r="W29" i="1"/>
  <c r="V30" i="1" s="1"/>
  <c r="Y30" i="1" s="1"/>
  <c r="AL29" i="1"/>
  <c r="AN29" i="1" s="1"/>
  <c r="W99" i="1"/>
  <c r="V100" i="1" s="1"/>
  <c r="AL99" i="1"/>
  <c r="AN99" i="1" s="1"/>
  <c r="W67" i="1"/>
  <c r="V68" i="1" s="1"/>
  <c r="AL67" i="1"/>
  <c r="AN67" i="1" s="1"/>
  <c r="W35" i="1"/>
  <c r="V36" i="1" s="1"/>
  <c r="AL35" i="1"/>
  <c r="AN35" i="1" s="1"/>
  <c r="W114" i="1"/>
  <c r="V115" i="1" s="1"/>
  <c r="AL114" i="1"/>
  <c r="AN114" i="1" s="1"/>
  <c r="W98" i="1"/>
  <c r="V99" i="1" s="1"/>
  <c r="AL98" i="1"/>
  <c r="AN98" i="1" s="1"/>
  <c r="W66" i="1"/>
  <c r="V67" i="1" s="1"/>
  <c r="AL66" i="1"/>
  <c r="AN66" i="1" s="1"/>
  <c r="W18" i="1"/>
  <c r="AL18" i="1"/>
  <c r="AN18" i="1" s="1"/>
  <c r="W105" i="1"/>
  <c r="V106" i="1" s="1"/>
  <c r="Y106" i="1" s="1"/>
  <c r="AL105" i="1"/>
  <c r="AN105" i="1" s="1"/>
  <c r="W73" i="1"/>
  <c r="V74" i="1" s="1"/>
  <c r="AL73" i="1"/>
  <c r="AN73" i="1" s="1"/>
  <c r="W41" i="1"/>
  <c r="V42" i="1" s="1"/>
  <c r="Y42" i="1" s="1"/>
  <c r="AL41" i="1"/>
  <c r="AN41" i="1" s="1"/>
  <c r="W9" i="1"/>
  <c r="V10" i="1" s="1"/>
  <c r="Y10" i="1" s="1"/>
  <c r="AL9" i="1"/>
  <c r="AN9" i="1" s="1"/>
  <c r="W111" i="1"/>
  <c r="V112" i="1" s="1"/>
  <c r="AL111" i="1"/>
  <c r="AN111" i="1" s="1"/>
  <c r="W79" i="1"/>
  <c r="V80" i="1" s="1"/>
  <c r="AL79" i="1"/>
  <c r="AN79" i="1" s="1"/>
  <c r="W47" i="1"/>
  <c r="V48" i="1" s="1"/>
  <c r="AL47" i="1"/>
  <c r="AN47" i="1" s="1"/>
  <c r="W15" i="1"/>
  <c r="V16" i="1" s="1"/>
  <c r="AL15" i="1"/>
  <c r="AN15" i="1" s="1"/>
  <c r="W69" i="1"/>
  <c r="V70" i="1" s="1"/>
  <c r="AL69" i="1"/>
  <c r="AN69" i="1" s="1"/>
  <c r="W5" i="1"/>
  <c r="V6" i="1" s="1"/>
  <c r="AL5" i="1"/>
  <c r="AN5" i="1" s="1"/>
  <c r="W75" i="1"/>
  <c r="V76" i="1" s="1"/>
  <c r="AL75" i="1"/>
  <c r="AN75" i="1" s="1"/>
  <c r="W11" i="1"/>
  <c r="V12" i="1" s="1"/>
  <c r="AL11" i="1"/>
  <c r="AN11" i="1" s="1"/>
  <c r="W102" i="1"/>
  <c r="V103" i="1" s="1"/>
  <c r="AL102" i="1"/>
  <c r="AN102" i="1" s="1"/>
  <c r="W70" i="1"/>
  <c r="V71" i="1" s="1"/>
  <c r="AL70" i="1"/>
  <c r="AN70" i="1" s="1"/>
  <c r="W97" i="1"/>
  <c r="V98" i="1" s="1"/>
  <c r="AL97" i="1"/>
  <c r="AN97" i="1" s="1"/>
  <c r="W65" i="1"/>
  <c r="V66" i="1" s="1"/>
  <c r="AL65" i="1"/>
  <c r="AN65" i="1" s="1"/>
  <c r="W33" i="1"/>
  <c r="V34" i="1" s="1"/>
  <c r="Y34" i="1" s="1"/>
  <c r="AL33" i="1"/>
  <c r="AN33" i="1" s="1"/>
  <c r="W103" i="1"/>
  <c r="V104" i="1" s="1"/>
  <c r="AL103" i="1"/>
  <c r="AN103" i="1" s="1"/>
  <c r="W71" i="1"/>
  <c r="V72" i="1" s="1"/>
  <c r="AL71" i="1"/>
  <c r="AN71" i="1" s="1"/>
  <c r="W39" i="1"/>
  <c r="V40" i="1" s="1"/>
  <c r="AL39" i="1"/>
  <c r="AN39" i="1" s="1"/>
  <c r="W7" i="1"/>
  <c r="V8" i="1" s="1"/>
  <c r="AL7" i="1"/>
  <c r="AN7" i="1" s="1"/>
  <c r="W100" i="1"/>
  <c r="V101" i="1" s="1"/>
  <c r="AL100" i="1"/>
  <c r="AN100" i="1" s="1"/>
  <c r="W68" i="1"/>
  <c r="V69" i="1" s="1"/>
  <c r="AL68" i="1"/>
  <c r="AN68" i="1" s="1"/>
  <c r="W52" i="1"/>
  <c r="V53" i="1" s="1"/>
  <c r="AL52" i="1"/>
  <c r="AN52" i="1" s="1"/>
  <c r="W36" i="1"/>
  <c r="V37" i="1" s="1"/>
  <c r="AL36" i="1"/>
  <c r="AN36" i="1" s="1"/>
  <c r="W20" i="1"/>
  <c r="V21" i="1" s="1"/>
  <c r="AL20" i="1"/>
  <c r="AN20" i="1" s="1"/>
  <c r="W4" i="1"/>
  <c r="V5" i="1" s="1"/>
  <c r="AL4" i="1"/>
  <c r="AN4" i="1" s="1"/>
  <c r="W109" i="1"/>
  <c r="V110" i="1" s="1"/>
  <c r="AL109" i="1"/>
  <c r="AN109" i="1" s="1"/>
  <c r="W77" i="1"/>
  <c r="V78" i="1" s="1"/>
  <c r="AL77" i="1"/>
  <c r="AN77" i="1" s="1"/>
  <c r="W45" i="1"/>
  <c r="V46" i="1" s="1"/>
  <c r="AL45" i="1"/>
  <c r="AN45" i="1" s="1"/>
  <c r="W13" i="1"/>
  <c r="V14" i="1" s="1"/>
  <c r="Y14" i="1" s="1"/>
  <c r="AL13" i="1"/>
  <c r="AN13" i="1" s="1"/>
  <c r="W115" i="1"/>
  <c r="V116" i="1" s="1"/>
  <c r="Y116" i="1" s="1"/>
  <c r="AL115" i="1"/>
  <c r="AN115" i="1" s="1"/>
  <c r="W83" i="1"/>
  <c r="V84" i="1" s="1"/>
  <c r="Y84" i="1" s="1"/>
  <c r="AL83" i="1"/>
  <c r="AN83" i="1" s="1"/>
  <c r="W51" i="1"/>
  <c r="V52" i="1" s="1"/>
  <c r="AL51" i="1"/>
  <c r="AN51" i="1" s="1"/>
  <c r="W19" i="1"/>
  <c r="V20" i="1" s="1"/>
  <c r="AL19" i="1"/>
  <c r="AN19" i="1" s="1"/>
  <c r="W90" i="1"/>
  <c r="V91" i="1" s="1"/>
  <c r="AL90" i="1"/>
  <c r="AN90" i="1" s="1"/>
  <c r="W74" i="1"/>
  <c r="V75" i="1" s="1"/>
  <c r="AL74" i="1"/>
  <c r="AN74" i="1" s="1"/>
  <c r="W58" i="1"/>
  <c r="V59" i="1" s="1"/>
  <c r="AL58" i="1"/>
  <c r="AN58" i="1" s="1"/>
  <c r="W121" i="1"/>
  <c r="V122" i="1" s="1"/>
  <c r="Y122" i="1" s="1"/>
  <c r="AL121" i="1"/>
  <c r="AN121" i="1" s="1"/>
  <c r="W89" i="1"/>
  <c r="V90" i="1" s="1"/>
  <c r="AL89" i="1"/>
  <c r="AN89" i="1" s="1"/>
  <c r="W57" i="1"/>
  <c r="V58" i="1" s="1"/>
  <c r="AL57" i="1"/>
  <c r="AN57" i="1" s="1"/>
  <c r="W25" i="1"/>
  <c r="V26" i="1" s="1"/>
  <c r="Y26" i="1" s="1"/>
  <c r="AL25" i="1"/>
  <c r="AN25" i="1" s="1"/>
  <c r="W31" i="1"/>
  <c r="V32" i="1" s="1"/>
  <c r="AL31" i="1"/>
  <c r="AN31" i="1" s="1"/>
  <c r="Z82" i="1"/>
  <c r="Z162" i="1"/>
  <c r="AA162" i="1"/>
  <c r="Z146" i="1"/>
  <c r="Y146" i="1"/>
  <c r="Z197" i="1"/>
  <c r="Y197" i="1"/>
  <c r="Z133" i="1"/>
  <c r="Y133" i="1"/>
  <c r="Z168" i="1"/>
  <c r="Y168" i="1"/>
  <c r="Z190" i="1"/>
  <c r="Y190" i="1"/>
  <c r="Z138" i="1"/>
  <c r="Y138" i="1"/>
  <c r="Z199" i="1"/>
  <c r="Y199" i="1"/>
  <c r="Z176" i="1"/>
  <c r="Y176" i="1"/>
  <c r="Z140" i="1"/>
  <c r="Y140" i="1"/>
  <c r="Z153" i="1"/>
  <c r="Y153" i="1"/>
  <c r="Z156" i="1"/>
  <c r="Y156" i="1"/>
  <c r="Z187" i="1"/>
  <c r="Y187" i="1"/>
  <c r="Z202" i="1"/>
  <c r="W194" i="1"/>
  <c r="V195" i="1" s="1"/>
  <c r="Y195" i="1" s="1"/>
  <c r="W148" i="1"/>
  <c r="V149" i="1" s="1"/>
  <c r="Y149" i="1" s="1"/>
  <c r="W63" i="1"/>
  <c r="V64" i="1" s="1"/>
  <c r="Y64" i="1" s="1"/>
  <c r="V163" i="1"/>
  <c r="V63" i="1"/>
  <c r="Y63" i="1" s="1"/>
  <c r="V194" i="1"/>
  <c r="V181" i="1"/>
  <c r="V142" i="1"/>
  <c r="V192" i="1"/>
  <c r="V128" i="1"/>
  <c r="V83" i="1"/>
  <c r="Y83" i="1" s="1"/>
  <c r="V130" i="1"/>
  <c r="V11" i="1"/>
  <c r="V160" i="1"/>
  <c r="V96" i="1"/>
  <c r="Z34" i="1" l="1"/>
  <c r="Z50" i="1"/>
  <c r="V123" i="1"/>
  <c r="Y123" i="1" s="1"/>
  <c r="V31" i="1"/>
  <c r="Y31" i="1" s="1"/>
  <c r="Z38" i="1"/>
  <c r="Z22" i="1"/>
  <c r="Z42" i="1"/>
  <c r="Z14" i="1"/>
  <c r="Z10" i="1"/>
  <c r="Z122" i="1"/>
  <c r="Z30" i="1"/>
  <c r="Z26" i="1"/>
  <c r="Z62" i="1"/>
  <c r="V43" i="1"/>
  <c r="Y43" i="1" s="1"/>
  <c r="V15" i="1"/>
  <c r="Y15" i="1" s="1"/>
  <c r="V35" i="1"/>
  <c r="Y35" i="1" s="1"/>
  <c r="V27" i="1"/>
  <c r="Z27" i="1" s="1"/>
  <c r="V39" i="1"/>
  <c r="Y39" i="1" s="1"/>
  <c r="V51" i="1"/>
  <c r="Y51" i="1" s="1"/>
  <c r="V23" i="1"/>
  <c r="Y23" i="1" s="1"/>
  <c r="Z9" i="1"/>
  <c r="Y32" i="1"/>
  <c r="Z32" i="1"/>
  <c r="Y58" i="1"/>
  <c r="Z58" i="1"/>
  <c r="Y90" i="1"/>
  <c r="Z90" i="1"/>
  <c r="Y59" i="1"/>
  <c r="Z59" i="1"/>
  <c r="Y91" i="1"/>
  <c r="Z91" i="1"/>
  <c r="Y20" i="1"/>
  <c r="Z20" i="1"/>
  <c r="Y78" i="1"/>
  <c r="Z78" i="1"/>
  <c r="Y5" i="1"/>
  <c r="Z5" i="1"/>
  <c r="Y37" i="1"/>
  <c r="Z37" i="1"/>
  <c r="Z53" i="1"/>
  <c r="Y53" i="1"/>
  <c r="Y101" i="1"/>
  <c r="Z101" i="1"/>
  <c r="Y8" i="1"/>
  <c r="Z8" i="1"/>
  <c r="Y72" i="1"/>
  <c r="Z72" i="1"/>
  <c r="Y104" i="1"/>
  <c r="Z104" i="1"/>
  <c r="Y66" i="1"/>
  <c r="Z66" i="1"/>
  <c r="Y71" i="1"/>
  <c r="Z71" i="1"/>
  <c r="Y12" i="1"/>
  <c r="Z12" i="1"/>
  <c r="Y76" i="1"/>
  <c r="Z76" i="1"/>
  <c r="Y70" i="1"/>
  <c r="Z70" i="1"/>
  <c r="Y48" i="1"/>
  <c r="Z48" i="1"/>
  <c r="Y112" i="1"/>
  <c r="Z112" i="1"/>
  <c r="Y74" i="1"/>
  <c r="Z74" i="1"/>
  <c r="AA18" i="1"/>
  <c r="AY5" i="1" s="1"/>
  <c r="V19" i="1"/>
  <c r="Y99" i="1"/>
  <c r="Z99" i="1"/>
  <c r="Y100" i="1"/>
  <c r="Z100" i="1"/>
  <c r="Z4" i="1"/>
  <c r="Y75" i="1"/>
  <c r="Z75" i="1"/>
  <c r="Y52" i="1"/>
  <c r="Z52" i="1"/>
  <c r="Y46" i="1"/>
  <c r="Z46" i="1"/>
  <c r="Y110" i="1"/>
  <c r="Z110" i="1"/>
  <c r="Y21" i="1"/>
  <c r="Z21" i="1"/>
  <c r="Y69" i="1"/>
  <c r="Z69" i="1"/>
  <c r="Y40" i="1"/>
  <c r="Z40" i="1"/>
  <c r="Y98" i="1"/>
  <c r="Z98" i="1"/>
  <c r="Y103" i="1"/>
  <c r="Z103" i="1"/>
  <c r="Y6" i="1"/>
  <c r="Z6" i="1"/>
  <c r="Y16" i="1"/>
  <c r="Z16" i="1"/>
  <c r="Z80" i="1"/>
  <c r="Y80" i="1"/>
  <c r="Y67" i="1"/>
  <c r="Z67" i="1"/>
  <c r="Y115" i="1"/>
  <c r="Z115" i="1"/>
  <c r="Y36" i="1"/>
  <c r="Z36" i="1"/>
  <c r="Y68" i="1"/>
  <c r="Z68" i="1"/>
  <c r="Y94" i="1"/>
  <c r="Z94" i="1"/>
  <c r="Z13" i="1"/>
  <c r="Y13" i="1"/>
  <c r="Y29" i="1"/>
  <c r="Z29" i="1"/>
  <c r="Z45" i="1"/>
  <c r="Y45" i="1"/>
  <c r="Y61" i="1"/>
  <c r="Z61" i="1"/>
  <c r="Y77" i="1"/>
  <c r="Z77" i="1"/>
  <c r="Z93" i="1"/>
  <c r="Y93" i="1"/>
  <c r="Y109" i="1"/>
  <c r="Z109" i="1"/>
  <c r="Y24" i="1"/>
  <c r="Z24" i="1"/>
  <c r="Y56" i="1"/>
  <c r="Z56" i="1"/>
  <c r="Y88" i="1"/>
  <c r="Z88" i="1"/>
  <c r="Z120" i="1"/>
  <c r="Y120" i="1"/>
  <c r="Z18" i="1"/>
  <c r="Y18" i="1"/>
  <c r="Y114" i="1"/>
  <c r="Z114" i="1"/>
  <c r="Y7" i="1"/>
  <c r="Z7" i="1"/>
  <c r="Y55" i="1"/>
  <c r="Z55" i="1"/>
  <c r="Y87" i="1"/>
  <c r="Z87" i="1"/>
  <c r="Y119" i="1"/>
  <c r="Z119" i="1"/>
  <c r="Y44" i="1"/>
  <c r="Z44" i="1"/>
  <c r="Y108" i="1"/>
  <c r="Z108" i="1"/>
  <c r="Y102" i="1"/>
  <c r="Z102" i="1"/>
  <c r="Z17" i="1"/>
  <c r="Y17" i="1"/>
  <c r="Z49" i="1"/>
  <c r="Y49" i="1"/>
  <c r="Z81" i="1"/>
  <c r="Y81" i="1"/>
  <c r="Y113" i="1"/>
  <c r="Z113" i="1"/>
  <c r="Y47" i="1"/>
  <c r="Z47" i="1"/>
  <c r="Z79" i="1"/>
  <c r="Y79" i="1"/>
  <c r="Y111" i="1"/>
  <c r="Z111" i="1"/>
  <c r="Y28" i="1"/>
  <c r="Z28" i="1"/>
  <c r="Y92" i="1"/>
  <c r="Z92" i="1"/>
  <c r="Y86" i="1"/>
  <c r="Z86" i="1"/>
  <c r="Y41" i="1"/>
  <c r="Z41" i="1"/>
  <c r="Y73" i="1"/>
  <c r="Z73" i="1"/>
  <c r="Y105" i="1"/>
  <c r="Z105" i="1"/>
  <c r="Y33" i="1"/>
  <c r="Z33" i="1"/>
  <c r="Y65" i="1"/>
  <c r="Z65" i="1"/>
  <c r="Y97" i="1"/>
  <c r="Z97" i="1"/>
  <c r="Y60" i="1"/>
  <c r="Z60" i="1"/>
  <c r="Y54" i="1"/>
  <c r="Z54" i="1"/>
  <c r="Y118" i="1"/>
  <c r="Z118" i="1"/>
  <c r="Z25" i="1"/>
  <c r="Y25" i="1"/>
  <c r="Y57" i="1"/>
  <c r="Z57" i="1"/>
  <c r="Y89" i="1"/>
  <c r="Z89" i="1"/>
  <c r="Y121" i="1"/>
  <c r="Z121" i="1"/>
  <c r="Z95" i="1"/>
  <c r="Z84" i="1"/>
  <c r="Z106" i="1"/>
  <c r="Z116" i="1"/>
  <c r="Z96" i="1"/>
  <c r="Y96" i="1"/>
  <c r="Z160" i="1"/>
  <c r="Y160" i="1"/>
  <c r="Z11" i="1"/>
  <c r="Y11" i="1"/>
  <c r="Z123" i="1"/>
  <c r="Z85" i="1"/>
  <c r="Y85" i="1"/>
  <c r="Z130" i="1"/>
  <c r="Y130" i="1"/>
  <c r="Z31" i="1"/>
  <c r="Z128" i="1"/>
  <c r="Y128" i="1"/>
  <c r="Z192" i="1"/>
  <c r="Y192" i="1"/>
  <c r="Z107" i="1"/>
  <c r="Y107" i="1"/>
  <c r="Z142" i="1"/>
  <c r="Y142" i="1"/>
  <c r="Z117" i="1"/>
  <c r="Y117" i="1"/>
  <c r="Z181" i="1"/>
  <c r="Y181" i="1"/>
  <c r="Z194" i="1"/>
  <c r="Y194" i="1"/>
  <c r="Z163" i="1"/>
  <c r="Y163" i="1"/>
  <c r="Z64" i="1"/>
  <c r="Z63" i="1"/>
  <c r="Z149" i="1"/>
  <c r="Z195" i="1"/>
  <c r="Z83" i="1"/>
  <c r="Z148" i="1"/>
  <c r="AU10" i="2" l="1"/>
  <c r="Z23" i="1"/>
  <c r="Z35" i="1"/>
  <c r="Z39" i="1"/>
  <c r="Z43" i="1"/>
  <c r="AY4" i="1"/>
  <c r="AY7" i="1"/>
  <c r="AY9" i="1"/>
  <c r="AY11" i="1"/>
  <c r="AY13" i="1"/>
  <c r="AY15" i="1"/>
  <c r="AY2" i="1"/>
  <c r="AY3" i="1"/>
  <c r="AV8" i="2"/>
  <c r="AU8" i="2"/>
  <c r="AU5" i="2"/>
  <c r="AV5" i="2"/>
  <c r="AU9" i="2"/>
  <c r="AV9" i="2"/>
  <c r="Z51" i="1"/>
  <c r="Y27" i="1"/>
  <c r="Z15" i="1"/>
  <c r="AU7" i="2"/>
  <c r="AV7" i="2"/>
  <c r="AV6" i="2"/>
  <c r="AU6" i="2"/>
  <c r="AV4" i="2"/>
  <c r="AU4" i="2"/>
  <c r="AY6" i="1"/>
  <c r="AY8" i="1"/>
  <c r="AY10" i="1"/>
  <c r="AY12" i="1"/>
  <c r="AY14" i="1"/>
  <c r="AY16" i="1"/>
  <c r="AV10" i="2"/>
  <c r="Y19" i="1"/>
  <c r="Z19" i="1"/>
  <c r="AX14" i="1" l="1"/>
  <c r="AW2" i="1"/>
  <c r="AX2" i="1"/>
  <c r="AW16" i="1"/>
  <c r="AW9" i="1"/>
  <c r="AW13" i="1"/>
  <c r="AW4" i="1"/>
  <c r="AW3" i="1"/>
  <c r="AW10" i="1"/>
  <c r="AW14" i="1"/>
  <c r="AW6" i="1"/>
  <c r="AX6" i="1"/>
  <c r="AX10" i="1"/>
  <c r="AX5" i="1"/>
  <c r="AX9" i="1"/>
  <c r="AX13" i="1"/>
  <c r="AZ13" i="1" s="1"/>
  <c r="BA13" i="1" s="1"/>
  <c r="BB13" i="1" s="1"/>
  <c r="BD13" i="1" s="1"/>
  <c r="AX12" i="1"/>
  <c r="AX16" i="1"/>
  <c r="AZ16" i="1" s="1"/>
  <c r="BA16" i="1" s="1"/>
  <c r="BB16" i="1" s="1"/>
  <c r="BD16" i="1" s="1"/>
  <c r="AW5" i="1"/>
  <c r="AW11" i="1"/>
  <c r="AW15" i="1"/>
  <c r="AW8" i="1"/>
  <c r="AW7" i="1"/>
  <c r="AW12" i="1"/>
  <c r="AX4" i="1"/>
  <c r="AZ4" i="1" s="1"/>
  <c r="BA4" i="1" s="1"/>
  <c r="BB4" i="1" s="1"/>
  <c r="BD4" i="1" s="1"/>
  <c r="AX8" i="1"/>
  <c r="AX3" i="1"/>
  <c r="AX7" i="1"/>
  <c r="AX11" i="1"/>
  <c r="AX15" i="1"/>
  <c r="AZ5" i="1" l="1"/>
  <c r="BA5" i="1" s="1"/>
  <c r="BB5" i="1" s="1"/>
  <c r="BD5" i="1" s="1"/>
  <c r="AZ11" i="1"/>
  <c r="BA11" i="1" s="1"/>
  <c r="BB11" i="1" s="1"/>
  <c r="BD11" i="1" s="1"/>
  <c r="AZ14" i="1"/>
  <c r="BA14" i="1" s="1"/>
  <c r="BB14" i="1" s="1"/>
  <c r="BD14" i="1" s="1"/>
  <c r="AZ2" i="1"/>
  <c r="BA2" i="1" s="1"/>
  <c r="BB2" i="1" s="1"/>
  <c r="BD2" i="1" s="1"/>
  <c r="AZ9" i="1"/>
  <c r="BA9" i="1" s="1"/>
  <c r="BB9" i="1" s="1"/>
  <c r="BD9" i="1" s="1"/>
  <c r="AZ15" i="1"/>
  <c r="BA15" i="1" s="1"/>
  <c r="BB15" i="1" s="1"/>
  <c r="BD15" i="1" s="1"/>
  <c r="AZ12" i="1"/>
  <c r="BA12" i="1" s="1"/>
  <c r="BB12" i="1" s="1"/>
  <c r="BD12" i="1" s="1"/>
  <c r="AZ6" i="1"/>
  <c r="BA6" i="1" s="1"/>
  <c r="BB6" i="1" s="1"/>
  <c r="BD6" i="1" s="1"/>
  <c r="AZ7" i="1"/>
  <c r="BA7" i="1" s="1"/>
  <c r="BB7" i="1" s="1"/>
  <c r="BD7" i="1" s="1"/>
  <c r="AZ10" i="1"/>
  <c r="BA10" i="1" s="1"/>
  <c r="BB10" i="1" s="1"/>
  <c r="BD10" i="1" s="1"/>
  <c r="AZ8" i="1"/>
  <c r="BA8" i="1" s="1"/>
  <c r="BB8" i="1" s="1"/>
  <c r="BD8" i="1" s="1"/>
  <c r="AZ3" i="1"/>
  <c r="BA3" i="1" s="1"/>
  <c r="BB3" i="1" s="1"/>
  <c r="BD3" i="1" s="1"/>
</calcChain>
</file>

<file path=xl/sharedStrings.xml><?xml version="1.0" encoding="utf-8"?>
<sst xmlns="http://schemas.openxmlformats.org/spreadsheetml/2006/main" count="2995" uniqueCount="472">
  <si>
    <t>CF_USD_3ML</t>
  </si>
  <si>
    <t>DF_USD_OIS</t>
  </si>
  <si>
    <t>Data</t>
  </si>
  <si>
    <t>Value</t>
  </si>
  <si>
    <t>Spot</t>
  </si>
  <si>
    <t>1W</t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</si>
  <si>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</si>
  <si>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</si>
  <si>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</si>
  <si>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</si>
  <si>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</si>
  <si>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</si>
  <si>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</si>
  <si>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</si>
  <si>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</si>
  <si>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</si>
  <si>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</si>
  <si>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</si>
  <si>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</si>
  <si>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12M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</si>
  <si>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</si>
  <si>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</si>
  <si>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</si>
  <si>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</si>
  <si>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</si>
  <si>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</si>
  <si>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</si>
  <si>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</si>
  <si>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</si>
  <si>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</si>
  <si>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</si>
  <si>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</si>
  <si>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</si>
  <si>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</si>
  <si>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</si>
  <si>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30Y</t>
  </si>
  <si>
    <t>40Y</t>
  </si>
  <si>
    <t>50Y</t>
  </si>
  <si>
    <t>Ticker</t>
  </si>
  <si>
    <t>Payment Date</t>
  </si>
  <si>
    <t>Term Date</t>
  </si>
  <si>
    <t>Node_DT</t>
  </si>
  <si>
    <t>Node_Term</t>
  </si>
  <si>
    <t>DF_USD</t>
  </si>
  <si>
    <t>DF_XCCY</t>
  </si>
  <si>
    <t>dt</t>
  </si>
  <si>
    <t>Basis</t>
  </si>
  <si>
    <t>Spot Node</t>
  </si>
  <si>
    <t>FX_Fwd</t>
  </si>
  <si>
    <t>Not: USD</t>
  </si>
  <si>
    <t>USD:USD</t>
  </si>
  <si>
    <t>Diff</t>
  </si>
  <si>
    <t>DF_OIS</t>
  </si>
  <si>
    <t>OIS Node</t>
  </si>
  <si>
    <t>1bp basis</t>
  </si>
  <si>
    <t>Basis: Implied</t>
  </si>
  <si>
    <t>Basis: Market</t>
  </si>
  <si>
    <t>Curve rate</t>
  </si>
  <si>
    <t>CF_EUR_Fxd</t>
  </si>
  <si>
    <t>CF_EUR_3ML</t>
  </si>
  <si>
    <t>DF_EUR_OIS</t>
  </si>
  <si>
    <t>EUR</t>
  </si>
  <si>
    <t>EUR1W</t>
  </si>
  <si>
    <t>EUR2W</t>
  </si>
  <si>
    <t>EUR3W</t>
  </si>
  <si>
    <t>EUR1M</t>
  </si>
  <si>
    <t>EUR2M</t>
  </si>
  <si>
    <t>EUR3M</t>
  </si>
  <si>
    <t>EUR4M</t>
  </si>
  <si>
    <t>EUR5M</t>
  </si>
  <si>
    <t>EUR6M</t>
  </si>
  <si>
    <t>EUR7M</t>
  </si>
  <si>
    <t>EUR8M</t>
  </si>
  <si>
    <t>EUR9M</t>
  </si>
  <si>
    <t>EUR10M</t>
  </si>
  <si>
    <t>EUR11M</t>
  </si>
  <si>
    <t>EUR12M</t>
  </si>
  <si>
    <t>EUR15M</t>
  </si>
  <si>
    <t>EUR18M</t>
  </si>
  <si>
    <t>EUR21M</t>
  </si>
  <si>
    <t>EUBS2</t>
  </si>
  <si>
    <t>EUBS3</t>
  </si>
  <si>
    <t>EUBS4</t>
  </si>
  <si>
    <t>EUBS5</t>
  </si>
  <si>
    <t>EUBS6</t>
  </si>
  <si>
    <t>EUBS7</t>
  </si>
  <si>
    <t>EUBS8</t>
  </si>
  <si>
    <t>EUBS9</t>
  </si>
  <si>
    <t>EUBS10</t>
  </si>
  <si>
    <t>EUBS12</t>
  </si>
  <si>
    <t>EUBS15</t>
  </si>
  <si>
    <t>EUBS20</t>
  </si>
  <si>
    <t>EUBS30</t>
  </si>
  <si>
    <t>EUBS40</t>
  </si>
  <si>
    <t>EUBS50</t>
  </si>
  <si>
    <t>Not: EUR</t>
  </si>
  <si>
    <t>Quote</t>
  </si>
  <si>
    <t>EUR: Libor</t>
  </si>
  <si>
    <t>EUR: Not</t>
  </si>
  <si>
    <t>1bp:EUR</t>
  </si>
  <si>
    <t>EUR : Float</t>
  </si>
  <si>
    <t>USD: Libor</t>
  </si>
  <si>
    <t>USD: Reset</t>
  </si>
  <si>
    <t>Not: Current</t>
  </si>
  <si>
    <t>Not : New</t>
  </si>
  <si>
    <t>FxFwd</t>
  </si>
  <si>
    <t>DF_EUR</t>
  </si>
  <si>
    <t>OIS_EUR</t>
  </si>
  <si>
    <t>MTM:USD</t>
  </si>
  <si>
    <t>Pay Date</t>
  </si>
  <si>
    <t>Accrual Start</t>
  </si>
  <si>
    <t>Accrual End</t>
  </si>
  <si>
    <t>Days</t>
  </si>
  <si>
    <t>FX Fixing Date</t>
  </si>
  <si>
    <t>FX Rate</t>
  </si>
  <si>
    <t>Notional</t>
  </si>
  <si>
    <t>Principal</t>
  </si>
  <si>
    <t>Reset Date</t>
  </si>
  <si>
    <t>Reset Rate</t>
  </si>
  <si>
    <t>Payment</t>
  </si>
  <si>
    <t>Discount</t>
  </si>
  <si>
    <t>PV</t>
  </si>
  <si>
    <t>07/02/2020</t>
  </si>
  <si>
    <t>10/02/2020</t>
  </si>
  <si>
    <t>06/30/2020</t>
  </si>
  <si>
    <t>01/04/2021</t>
  </si>
  <si>
    <t>09/30/2020</t>
  </si>
  <si>
    <t>04/06/2021</t>
  </si>
  <si>
    <t>12/30/2020</t>
  </si>
  <si>
    <t>07/02/2021</t>
  </si>
  <si>
    <t>03/31/2021</t>
  </si>
  <si>
    <t>10/04/2021</t>
  </si>
  <si>
    <t>06/30/2021</t>
  </si>
  <si>
    <t>01/04/2022</t>
  </si>
  <si>
    <t>09/30/2021</t>
  </si>
  <si>
    <t>04/04/2022</t>
  </si>
  <si>
    <t>12/30/2021</t>
  </si>
  <si>
    <t>12/31/2021</t>
  </si>
  <si>
    <t>07/05/2022</t>
  </si>
  <si>
    <t>03/31/2022</t>
  </si>
  <si>
    <t>10/03/2022</t>
  </si>
  <si>
    <t>06/30/2022</t>
  </si>
  <si>
    <t>07/01/2022</t>
  </si>
  <si>
    <t>01/03/2023</t>
  </si>
  <si>
    <t>09/29/2022</t>
  </si>
  <si>
    <t>04/03/2023</t>
  </si>
  <si>
    <t>12/29/2022</t>
  </si>
  <si>
    <t>12/30/2022</t>
  </si>
  <si>
    <t>07/03/2023</t>
  </si>
  <si>
    <t>03/30/2023</t>
  </si>
  <si>
    <t>10/02/2023</t>
  </si>
  <si>
    <t>06/29/2023</t>
  </si>
  <si>
    <t>01/02/2024</t>
  </si>
  <si>
    <t>09/28/2023</t>
  </si>
  <si>
    <t>04/02/2024</t>
  </si>
  <si>
    <t>12/28/2023</t>
  </si>
  <si>
    <t>07/02/2024</t>
  </si>
  <si>
    <t>03/27/2024</t>
  </si>
  <si>
    <t>10/02/2024</t>
  </si>
  <si>
    <t>06/28/2024</t>
  </si>
  <si>
    <t>01/02/2025</t>
  </si>
  <si>
    <t>09/30/2024</t>
  </si>
  <si>
    <t>04/02/2025</t>
  </si>
  <si>
    <t>12/30/2024</t>
  </si>
  <si>
    <t>07/02/2025</t>
  </si>
  <si>
    <t>03/31/2025</t>
  </si>
  <si>
    <t>Accrual start</t>
  </si>
  <si>
    <t>Reset</t>
  </si>
  <si>
    <t>Cpn : EUR</t>
  </si>
  <si>
    <t>10/02/2025</t>
  </si>
  <si>
    <t>06/30/2025</t>
  </si>
  <si>
    <t>01/02/2026</t>
  </si>
  <si>
    <t>09/30/2025</t>
  </si>
  <si>
    <t>04/02/2026</t>
  </si>
  <si>
    <t>12/30/2025</t>
  </si>
  <si>
    <t>07/02/2026</t>
  </si>
  <si>
    <t>03/31/2026</t>
  </si>
  <si>
    <t>10/02/2026</t>
  </si>
  <si>
    <t>06/30/2026</t>
  </si>
  <si>
    <t>01/04/2027</t>
  </si>
  <si>
    <t>09/30/2026</t>
  </si>
  <si>
    <t>04/02/2027</t>
  </si>
  <si>
    <t>12/30/2026</t>
  </si>
  <si>
    <t>07/02/2027</t>
  </si>
  <si>
    <t>03/31/2027</t>
  </si>
  <si>
    <t>10/04/2027</t>
  </si>
  <si>
    <t>06/30/2027</t>
  </si>
  <si>
    <t>01/04/2028</t>
  </si>
  <si>
    <t>09/30/2027</t>
  </si>
  <si>
    <t>04/03/2028</t>
  </si>
  <si>
    <t>12/30/2027</t>
  </si>
  <si>
    <t>12/31/2027</t>
  </si>
  <si>
    <t>07/03/2028</t>
  </si>
  <si>
    <t>03/30/2028</t>
  </si>
  <si>
    <t>10/02/2028</t>
  </si>
  <si>
    <t>06/29/2028</t>
  </si>
  <si>
    <t>01/02/2029</t>
  </si>
  <si>
    <t>09/28/2028</t>
  </si>
  <si>
    <t>04/03/2029</t>
  </si>
  <si>
    <t>12/28/2028</t>
  </si>
  <si>
    <t>07/02/2029</t>
  </si>
  <si>
    <t>03/28/2029</t>
  </si>
  <si>
    <t>10/02/2029</t>
  </si>
  <si>
    <t>06/28/2029</t>
  </si>
  <si>
    <t>01/02/2030</t>
  </si>
  <si>
    <t>09/28/2029</t>
  </si>
  <si>
    <t>04/02/2030</t>
  </si>
  <si>
    <t>12/28/2029</t>
  </si>
  <si>
    <t>07/02/2030</t>
  </si>
  <si>
    <t>03/29/2030</t>
  </si>
  <si>
    <t>10/02/2030</t>
  </si>
  <si>
    <t>06/28/2030</t>
  </si>
  <si>
    <t>01/02/2031</t>
  </si>
  <si>
    <t>09/30/2030</t>
  </si>
  <si>
    <t>04/02/2031</t>
  </si>
  <si>
    <t>12/30/2030</t>
  </si>
  <si>
    <t>07/02/2031</t>
  </si>
  <si>
    <t>03/31/2031</t>
  </si>
  <si>
    <t>10/02/2031</t>
  </si>
  <si>
    <t>06/30/2031</t>
  </si>
  <si>
    <t>01/02/2032</t>
  </si>
  <si>
    <t>09/30/2031</t>
  </si>
  <si>
    <t>04/02/2032</t>
  </si>
  <si>
    <t>12/30/2031</t>
  </si>
  <si>
    <t>07/02/2032</t>
  </si>
  <si>
    <t>03/31/2032</t>
  </si>
  <si>
    <t>10/04/2032</t>
  </si>
  <si>
    <t>06/30/2032</t>
  </si>
  <si>
    <t>01/04/2033</t>
  </si>
  <si>
    <t>09/30/2032</t>
  </si>
  <si>
    <t>04/04/2033</t>
  </si>
  <si>
    <t>12/30/2032</t>
  </si>
  <si>
    <t>12/31/2032</t>
  </si>
  <si>
    <t>07/05/2033</t>
  </si>
  <si>
    <t>03/31/2033</t>
  </si>
  <si>
    <t>10/03/2033</t>
  </si>
  <si>
    <t>06/30/2033</t>
  </si>
  <si>
    <t>07/01/2033</t>
  </si>
  <si>
    <t>01/03/2034</t>
  </si>
  <si>
    <t>09/29/2033</t>
  </si>
  <si>
    <t>04/03/2034</t>
  </si>
  <si>
    <t>12/29/2033</t>
  </si>
  <si>
    <t>12/30/2033</t>
  </si>
  <si>
    <t>07/03/2034</t>
  </si>
  <si>
    <t>03/30/2034</t>
  </si>
  <si>
    <t>10/02/2034</t>
  </si>
  <si>
    <t>06/29/2034</t>
  </si>
  <si>
    <t>01/02/2035</t>
  </si>
  <si>
    <t>09/28/2034</t>
  </si>
  <si>
    <t>04/02/2035</t>
  </si>
  <si>
    <t>12/28/2034</t>
  </si>
  <si>
    <t>07/02/2035</t>
  </si>
  <si>
    <t>03/29/2035</t>
  </si>
  <si>
    <t>10/02/2035</t>
  </si>
  <si>
    <t>06/28/2035</t>
  </si>
  <si>
    <t>01/02/2036</t>
  </si>
  <si>
    <t>09/28/2035</t>
  </si>
  <si>
    <t>04/02/2036</t>
  </si>
  <si>
    <t>12/28/2035</t>
  </si>
  <si>
    <t>07/02/2036</t>
  </si>
  <si>
    <t>03/31/2036</t>
  </si>
  <si>
    <t>10/02/2036</t>
  </si>
  <si>
    <t>06/30/2036</t>
  </si>
  <si>
    <t>01/02/2037</t>
  </si>
  <si>
    <t>09/30/2036</t>
  </si>
  <si>
    <t>04/02/2037</t>
  </si>
  <si>
    <t>12/30/2036</t>
  </si>
  <si>
    <t>07/02/2037</t>
  </si>
  <si>
    <t>03/31/2037</t>
  </si>
  <si>
    <t>10/02/2037</t>
  </si>
  <si>
    <t>06/30/2037</t>
  </si>
  <si>
    <t>01/04/2038</t>
  </si>
  <si>
    <t>09/30/2037</t>
  </si>
  <si>
    <t>04/02/2038</t>
  </si>
  <si>
    <t>12/30/2037</t>
  </si>
  <si>
    <t>07/02/2038</t>
  </si>
  <si>
    <t>03/31/2038</t>
  </si>
  <si>
    <t>10/04/2038</t>
  </si>
  <si>
    <t>06/30/2038</t>
  </si>
  <si>
    <t>01/04/2039</t>
  </si>
  <si>
    <t>09/30/2038</t>
  </si>
  <si>
    <t>04/04/2039</t>
  </si>
  <si>
    <t>12/30/2038</t>
  </si>
  <si>
    <t>12/31/2038</t>
  </si>
  <si>
    <t>07/05/2039</t>
  </si>
  <si>
    <t>03/31/2039</t>
  </si>
  <si>
    <t>10/03/2039</t>
  </si>
  <si>
    <t>06/30/2039</t>
  </si>
  <si>
    <t>07/01/2039</t>
  </si>
  <si>
    <t>01/03/2040</t>
  </si>
  <si>
    <t>09/29/2039</t>
  </si>
  <si>
    <t>04/03/2040</t>
  </si>
  <si>
    <t>12/29/2039</t>
  </si>
  <si>
    <t>12/30/2039</t>
  </si>
  <si>
    <t>07/02/2040</t>
  </si>
  <si>
    <t>03/28/2040</t>
  </si>
  <si>
    <t>10/02/2040</t>
  </si>
  <si>
    <t>06/28/2040</t>
  </si>
  <si>
    <t>01/02/2041</t>
  </si>
  <si>
    <t>09/28/2040</t>
  </si>
  <si>
    <t>04/02/2041</t>
  </si>
  <si>
    <t>12/28/2040</t>
  </si>
  <si>
    <t>07/02/2041</t>
  </si>
  <si>
    <t>03/29/2041</t>
  </si>
  <si>
    <t>10/02/2041</t>
  </si>
  <si>
    <t>06/28/2041</t>
  </si>
  <si>
    <t>01/02/2042</t>
  </si>
  <si>
    <t>09/30/2041</t>
  </si>
  <si>
    <t>04/02/2042</t>
  </si>
  <si>
    <t>12/30/2041</t>
  </si>
  <si>
    <t>07/02/2042</t>
  </si>
  <si>
    <t>03/31/2042</t>
  </si>
  <si>
    <t>10/02/2042</t>
  </si>
  <si>
    <t>06/30/2042</t>
  </si>
  <si>
    <t>01/02/2043</t>
  </si>
  <si>
    <t>09/30/2042</t>
  </si>
  <si>
    <t>04/02/2043</t>
  </si>
  <si>
    <t>12/30/2042</t>
  </si>
  <si>
    <t>07/02/2043</t>
  </si>
  <si>
    <t>03/31/2043</t>
  </si>
  <si>
    <t>10/02/2043</t>
  </si>
  <si>
    <t>06/30/2043</t>
  </si>
  <si>
    <t>01/04/2044</t>
  </si>
  <si>
    <t>09/30/2043</t>
  </si>
  <si>
    <t>04/04/2044</t>
  </si>
  <si>
    <t>12/30/2043</t>
  </si>
  <si>
    <t>07/05/2044</t>
  </si>
  <si>
    <t>03/31/2044</t>
  </si>
  <si>
    <t>10/03/2044</t>
  </si>
  <si>
    <t>06/30/2044</t>
  </si>
  <si>
    <t>07/01/2044</t>
  </si>
  <si>
    <t>01/03/2045</t>
  </si>
  <si>
    <t>09/29/2044</t>
  </si>
  <si>
    <t>04/03/2045</t>
  </si>
  <si>
    <t>12/29/2044</t>
  </si>
  <si>
    <t>12/30/2044</t>
  </si>
  <si>
    <t>07/03/2045</t>
  </si>
  <si>
    <t>03/30/2045</t>
  </si>
  <si>
    <t>10/02/2045</t>
  </si>
  <si>
    <t>06/29/2045</t>
  </si>
  <si>
    <t>01/02/2046</t>
  </si>
  <si>
    <t>09/28/2045</t>
  </si>
  <si>
    <t>04/02/2046</t>
  </si>
  <si>
    <t>12/28/2045</t>
  </si>
  <si>
    <t>07/02/2046</t>
  </si>
  <si>
    <t>03/29/2046</t>
  </si>
  <si>
    <t>10/02/2046</t>
  </si>
  <si>
    <t>06/28/2046</t>
  </si>
  <si>
    <t>01/02/2047</t>
  </si>
  <si>
    <t>09/28/2046</t>
  </si>
  <si>
    <t>04/02/2047</t>
  </si>
  <si>
    <t>12/28/2046</t>
  </si>
  <si>
    <t>07/02/2047</t>
  </si>
  <si>
    <t>03/29/2047</t>
  </si>
  <si>
    <t>10/02/2047</t>
  </si>
  <si>
    <t>06/28/2047</t>
  </si>
  <si>
    <t>01/02/2048</t>
  </si>
  <si>
    <t>09/30/2047</t>
  </si>
  <si>
    <t>04/02/2048</t>
  </si>
  <si>
    <t>12/30/2047</t>
  </si>
  <si>
    <t>07/02/2048</t>
  </si>
  <si>
    <t>03/31/2048</t>
  </si>
  <si>
    <t>10/02/2048</t>
  </si>
  <si>
    <t>06/30/2048</t>
  </si>
  <si>
    <t>01/04/2049</t>
  </si>
  <si>
    <t>09/30/2048</t>
  </si>
  <si>
    <t>04/02/2049</t>
  </si>
  <si>
    <t>12/30/2048</t>
  </si>
  <si>
    <t>07/02/2049</t>
  </si>
  <si>
    <t>03/31/2049</t>
  </si>
  <si>
    <t>10/04/2049</t>
  </si>
  <si>
    <t>06/30/2049</t>
  </si>
  <si>
    <t>01/04/2050</t>
  </si>
  <si>
    <t>09/30/2049</t>
  </si>
  <si>
    <t>04/04/2050</t>
  </si>
  <si>
    <t>12/30/2049</t>
  </si>
  <si>
    <t>12/31/2049</t>
  </si>
  <si>
    <t>07/05/2050</t>
  </si>
  <si>
    <t>03/31/2050</t>
  </si>
  <si>
    <t>Exchange</t>
  </si>
  <si>
    <t>Not Exch</t>
  </si>
  <si>
    <t>Cpn : USD</t>
  </si>
  <si>
    <t>EUR: 3ML</t>
  </si>
  <si>
    <t>USD: 3ML</t>
  </si>
  <si>
    <t>BBG: EUR_DF</t>
  </si>
  <si>
    <t>BBG: USD_DF</t>
  </si>
  <si>
    <t>BBG: EUR_ZC</t>
  </si>
  <si>
    <t>BBG: USD_ZC</t>
  </si>
  <si>
    <t>QL: USD_ZC</t>
  </si>
  <si>
    <t>Excel EUR</t>
  </si>
  <si>
    <t>Term</t>
  </si>
  <si>
    <t>LIBOR</t>
  </si>
  <si>
    <t>Adjusted</t>
  </si>
  <si>
    <t>NPV</t>
  </si>
  <si>
    <t>2Y USD</t>
  </si>
  <si>
    <t>Accrual</t>
  </si>
  <si>
    <t>NPV USD</t>
  </si>
  <si>
    <t>FX</t>
  </si>
  <si>
    <t>Total</t>
  </si>
  <si>
    <t>BBG</t>
  </si>
  <si>
    <t>NPV EUR</t>
  </si>
  <si>
    <t>Net</t>
  </si>
  <si>
    <t>3ML</t>
  </si>
  <si>
    <t>Implied</t>
  </si>
  <si>
    <t>Reversed</t>
  </si>
  <si>
    <t>Ex Basis</t>
  </si>
  <si>
    <t>NPV ex</t>
  </si>
  <si>
    <t>USD</t>
  </si>
  <si>
    <t>basis only</t>
  </si>
  <si>
    <t>Annuity</t>
  </si>
  <si>
    <t>Annuity per bp</t>
  </si>
  <si>
    <t>implied</t>
  </si>
  <si>
    <t>FX Excel</t>
  </si>
  <si>
    <t>FX BBG</t>
  </si>
  <si>
    <t>NPV float</t>
  </si>
  <si>
    <t>NPV exchange</t>
  </si>
  <si>
    <t>NPV libor</t>
  </si>
  <si>
    <t>NPV other</t>
  </si>
  <si>
    <t>Exchanges</t>
  </si>
  <si>
    <t>XCCY OIS</t>
  </si>
  <si>
    <t>FX Ratio</t>
  </si>
  <si>
    <t>CF_GBP_Fxd</t>
  </si>
  <si>
    <t>CF_GBP_3ML</t>
  </si>
  <si>
    <t>DF_GBP_OIS</t>
  </si>
  <si>
    <t>Not: GBP</t>
  </si>
  <si>
    <t>Cpn : GBP</t>
  </si>
  <si>
    <t>GBP</t>
  </si>
  <si>
    <t>GBP1W</t>
  </si>
  <si>
    <t>GBP2W</t>
  </si>
  <si>
    <t>GBP3W</t>
  </si>
  <si>
    <t>GBP1M</t>
  </si>
  <si>
    <t>GBP2M</t>
  </si>
  <si>
    <t>GBP3M</t>
  </si>
  <si>
    <t>GBP4M</t>
  </si>
  <si>
    <t>GBP5M</t>
  </si>
  <si>
    <t>GBP6M</t>
  </si>
  <si>
    <t>GBP7M</t>
  </si>
  <si>
    <t>GBP8M</t>
  </si>
  <si>
    <t>GBP9M</t>
  </si>
  <si>
    <t>GBP10M</t>
  </si>
  <si>
    <t>GBP11M</t>
  </si>
  <si>
    <t>GBP12M</t>
  </si>
  <si>
    <t>GBP15M</t>
  </si>
  <si>
    <t>GBP18M</t>
  </si>
  <si>
    <t>GBP21M</t>
  </si>
  <si>
    <t>BPBS2</t>
  </si>
  <si>
    <t>BPBS3</t>
  </si>
  <si>
    <t>BPBS4</t>
  </si>
  <si>
    <t>BPBS5</t>
  </si>
  <si>
    <t>BPBS6</t>
  </si>
  <si>
    <t>BPBS7</t>
  </si>
  <si>
    <t>BPBS8</t>
  </si>
  <si>
    <t>BPBS9</t>
  </si>
  <si>
    <t>BPBS10</t>
  </si>
  <si>
    <t>BPBS12</t>
  </si>
  <si>
    <t>BPBS15</t>
  </si>
  <si>
    <t>BPBS20</t>
  </si>
  <si>
    <t>BPBS25</t>
  </si>
  <si>
    <t>BPBS30</t>
  </si>
  <si>
    <t>BPBS40</t>
  </si>
  <si>
    <t>BPBS50</t>
  </si>
  <si>
    <t>25Y</t>
  </si>
  <si>
    <t>Levels</t>
  </si>
  <si>
    <t>GBP: 3ML</t>
  </si>
  <si>
    <t>BBG: GBP_DF</t>
  </si>
  <si>
    <t>BBG: GBP_ZC</t>
  </si>
  <si>
    <t>Excel GBP</t>
  </si>
  <si>
    <t>GBP: Libor</t>
  </si>
  <si>
    <t>GBP: Not</t>
  </si>
  <si>
    <t>1bp:GBP</t>
  </si>
  <si>
    <t>GBP : Float</t>
  </si>
  <si>
    <t>DF_GBP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</si>
</sst>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164" formatCode="0.000000"/>
    <numFmt numFmtId="165" formatCode="0.0000000"/>
    <numFmt numFmtId="166" formatCode="0.00000"/>
    <numFmt numFmtId="167" formatCode="0.0000"/>
    <numFmt numFmtId="168" formatCode="0.000"/>
    <numFmt numFmtId="169" formatCode="0.000000000"/>
    <numFmt numFmtId="170" formatCode="#,##0_ ;[Red]\-#,##0\ "/>
    <numFmt numFmtId="171" formatCode="#,##0.0000000_ ;[Red]\-#,##0.0000000\ "/>
    <numFmt numFmtId="172" formatCode="#,##0.00000_ ;[Red]\-#,##0.00000\ "/>
    <numFmt numFmtId="173" formatCode="0.000%"/>
    <numFmt numFmtId="174" formatCode="0.0000%"/>
    <numFmt numFmtId="175" formatCode="0.00000%"/>
    <numFmt numFmtId="176" formatCode="#,##0.00_ ;[Red]\-#,##0.00\ "/>
    <numFmt numFmtId="177" formatCode="#,##0.0000_ ;[Red]\-#,##0.0000\ "/>
    <numFmt numFmtId="178" formatCode="0.00000000"/>
    <numFmt numFmtId="179" formatCode="#,##0.00000000000_ ;[Red]\-#,##0.00000000000\ "/>
    <numFmt numFmtId="180" formatCode="#,##0.00000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indexed="9"/>
      <name val="Calibri"/>
      <family val="2"/>
    </font>
    <font>
      <b/>
      <sz val="18"/>
      <color theme="3"/>
      <name val="Calibri Light"/>
      <family val="2"/>
      <scheme val="major"/>
    </font>
  </fonts>
  <fills count="4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F81BD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4">
    <xf numFmtId="0" fontId="0" fillId="0" borderId="0"/>
    <xf numFmtId="9" fontId="2" fillId="0" borderId="0" applyFont="0" applyFill="0" applyBorder="0" applyAlignment="0" applyProtection="0"/>
    <xf numFmtId="0" fontId="3" fillId="0" borderId="13" applyNumberFormat="0" applyFill="0" applyAlignment="0" applyProtection="0"/>
    <xf numFmtId="0" fontId="4" fillId="0" borderId="14" applyNumberFormat="0" applyFill="0" applyAlignment="0" applyProtection="0"/>
    <xf numFmtId="0" fontId="5" fillId="0" borderId="15" applyNumberFormat="0" applyFill="0" applyAlignment="0" applyProtection="0"/>
    <xf numFmtId="0" fontId="5" fillId="0" borderId="0" applyNumberFormat="0" applyFill="0" applyBorder="0" applyAlignment="0" applyProtection="0"/>
    <xf numFmtId="0" fontId="6" fillId="6" borderId="0" applyNumberFormat="0" applyBorder="0" applyAlignment="0" applyProtection="0"/>
    <xf numFmtId="0" fontId="7" fillId="7" borderId="0" applyNumberFormat="0" applyBorder="0" applyAlignment="0" applyProtection="0"/>
    <xf numFmtId="0" fontId="8" fillId="8" borderId="0" applyNumberFormat="0" applyBorder="0" applyAlignment="0" applyProtection="0"/>
    <xf numFmtId="0" fontId="9" fillId="9" borderId="16" applyNumberFormat="0" applyAlignment="0" applyProtection="0"/>
    <xf numFmtId="0" fontId="10" fillId="10" borderId="17" applyNumberFormat="0" applyAlignment="0" applyProtection="0"/>
    <xf numFmtId="0" fontId="11" fillId="10" borderId="16" applyNumberFormat="0" applyAlignment="0" applyProtection="0"/>
    <xf numFmtId="0" fontId="12" fillId="0" borderId="18" applyNumberFormat="0" applyFill="0" applyAlignment="0" applyProtection="0"/>
    <xf numFmtId="0" fontId="13" fillId="11" borderId="19" applyNumberFormat="0" applyAlignment="0" applyProtection="0"/>
    <xf numFmtId="0" fontId="14" fillId="0" borderId="0" applyNumberFormat="0" applyFill="0" applyBorder="0" applyAlignment="0" applyProtection="0"/>
    <xf numFmtId="0" fontId="2" fillId="12" borderId="20" applyNumberFormat="0" applyFont="0" applyAlignment="0" applyProtection="0"/>
    <xf numFmtId="0" fontId="15" fillId="0" borderId="0" applyNumberFormat="0" applyFill="0" applyBorder="0" applyAlignment="0" applyProtection="0"/>
    <xf numFmtId="0" fontId="1" fillId="0" borderId="21" applyNumberFormat="0" applyFill="0" applyAlignment="0" applyProtection="0"/>
    <xf numFmtId="0" fontId="16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6" fillId="32" borderId="0" applyNumberFormat="0" applyBorder="0" applyAlignment="0" applyProtection="0"/>
    <xf numFmtId="0" fontId="16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6" fillId="36" borderId="0" applyNumberFormat="0" applyBorder="0" applyAlignment="0" applyProtection="0"/>
    <xf numFmtId="0" fontId="17" fillId="37" borderId="0"/>
    <xf numFmtId="0" fontId="18" fillId="0" borderId="0" applyNumberFormat="0" applyFill="0" applyBorder="0" applyAlignment="0" applyProtection="0"/>
  </cellStyleXfs>
  <cellXfs count="153">
    <xf numFmtId="0" fontId="0" fillId="0" borderId="0" xfId="0"/>
    <xf numFmtId="0" fontId="0" fillId="2" borderId="0" xfId="0" applyFill="1"/>
    <xf numFmtId="1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1" fillId="3" borderId="1" xfId="0" applyFont="1" applyFill="1" applyBorder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15" fontId="0" fillId="2" borderId="2" xfId="0" applyNumberFormat="1" applyFill="1" applyBorder="1" applyAlignment="1">
      <alignment horizontal="center"/>
    </xf>
    <xf numFmtId="15" fontId="0" fillId="2" borderId="1" xfId="0" applyNumberFormat="1" applyFill="1" applyBorder="1" applyAlignment="1">
      <alignment horizontal="center"/>
    </xf>
    <xf numFmtId="164" fontId="0" fillId="2" borderId="2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5" fontId="0" fillId="2" borderId="0" xfId="0" applyNumberFormat="1" applyFill="1"/>
    <xf numFmtId="164" fontId="0" fillId="2" borderId="0" xfId="0" applyNumberFormat="1" applyFill="1"/>
    <xf numFmtId="168" fontId="0" fillId="2" borderId="0" xfId="0" applyNumberFormat="1" applyFill="1" applyAlignment="1">
      <alignment horizontal="center"/>
    </xf>
    <xf numFmtId="168" fontId="0" fillId="2" borderId="2" xfId="0" applyNumberFormat="1" applyFill="1" applyBorder="1" applyAlignment="1">
      <alignment horizontal="center"/>
    </xf>
    <xf numFmtId="168" fontId="0" fillId="2" borderId="1" xfId="0" applyNumberFormat="1" applyFill="1" applyBorder="1" applyAlignment="1">
      <alignment horizontal="center"/>
    </xf>
    <xf numFmtId="165" fontId="0" fillId="2" borderId="2" xfId="0" applyNumberForma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0" fillId="2" borderId="0" xfId="0" applyFill="1" applyBorder="1" applyAlignment="1">
      <alignment horizontal="center"/>
    </xf>
    <xf numFmtId="164" fontId="0" fillId="2" borderId="1" xfId="0" applyNumberFormat="1" applyFill="1" applyBorder="1"/>
    <xf numFmtId="0" fontId="0" fillId="2" borderId="2" xfId="0" applyFill="1" applyBorder="1"/>
    <xf numFmtId="164" fontId="0" fillId="2" borderId="0" xfId="0" applyNumberFormat="1" applyFill="1" applyBorder="1" applyAlignment="1">
      <alignment horizontal="center"/>
    </xf>
    <xf numFmtId="165" fontId="1" fillId="3" borderId="1" xfId="0" applyNumberFormat="1" applyFon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64" fontId="0" fillId="2" borderId="1" xfId="0" applyNumberFormat="1" applyFont="1" applyFill="1" applyBorder="1" applyAlignment="1">
      <alignment horizontal="center"/>
    </xf>
    <xf numFmtId="164" fontId="0" fillId="2" borderId="2" xfId="0" applyNumberFormat="1" applyFill="1" applyBorder="1"/>
    <xf numFmtId="169" fontId="0" fillId="2" borderId="0" xfId="0" applyNumberFormat="1" applyFill="1"/>
    <xf numFmtId="0" fontId="1" fillId="4" borderId="5" xfId="0" applyFont="1" applyFill="1" applyBorder="1" applyAlignment="1">
      <alignment horizontal="center"/>
    </xf>
    <xf numFmtId="164" fontId="0" fillId="2" borderId="5" xfId="0" applyNumberFormat="1" applyFont="1" applyFill="1" applyBorder="1" applyAlignment="1">
      <alignment horizontal="center"/>
    </xf>
    <xf numFmtId="164" fontId="0" fillId="2" borderId="4" xfId="0" applyNumberFormat="1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15" fontId="1" fillId="3" borderId="5" xfId="0" applyNumberFormat="1" applyFont="1" applyFill="1" applyBorder="1" applyAlignment="1">
      <alignment horizontal="center"/>
    </xf>
    <xf numFmtId="15" fontId="0" fillId="2" borderId="5" xfId="0" applyNumberFormat="1" applyFont="1" applyFill="1" applyBorder="1" applyAlignment="1">
      <alignment horizontal="center"/>
    </xf>
    <xf numFmtId="15" fontId="0" fillId="2" borderId="4" xfId="0" applyNumberFormat="1" applyFill="1" applyBorder="1" applyAlignment="1">
      <alignment horizontal="center"/>
    </xf>
    <xf numFmtId="15" fontId="0" fillId="2" borderId="5" xfId="0" applyNumberFormat="1" applyFill="1" applyBorder="1" applyAlignment="1">
      <alignment horizontal="center"/>
    </xf>
    <xf numFmtId="168" fontId="0" fillId="2" borderId="4" xfId="0" applyNumberFormat="1" applyFill="1" applyBorder="1" applyAlignment="1">
      <alignment horizontal="center"/>
    </xf>
    <xf numFmtId="168" fontId="0" fillId="2" borderId="5" xfId="0" applyNumberFormat="1" applyFill="1" applyBorder="1" applyAlignment="1">
      <alignment horizontal="center"/>
    </xf>
    <xf numFmtId="166" fontId="0" fillId="2" borderId="0" xfId="0" applyNumberFormat="1" applyFill="1"/>
    <xf numFmtId="170" fontId="1" fillId="5" borderId="1" xfId="0" applyNumberFormat="1" applyFont="1" applyFill="1" applyBorder="1" applyAlignment="1">
      <alignment horizontal="center"/>
    </xf>
    <xf numFmtId="170" fontId="0" fillId="2" borderId="1" xfId="0" applyNumberFormat="1" applyFont="1" applyFill="1" applyBorder="1" applyAlignment="1">
      <alignment horizontal="center"/>
    </xf>
    <xf numFmtId="170" fontId="0" fillId="2" borderId="0" xfId="0" applyNumberFormat="1" applyFill="1" applyAlignment="1">
      <alignment horizontal="center"/>
    </xf>
    <xf numFmtId="170" fontId="0" fillId="2" borderId="1" xfId="0" applyNumberFormat="1" applyFill="1" applyBorder="1" applyAlignment="1">
      <alignment horizontal="center"/>
    </xf>
    <xf numFmtId="170" fontId="0" fillId="2" borderId="0" xfId="0" applyNumberFormat="1" applyFill="1" applyBorder="1" applyAlignment="1">
      <alignment horizontal="center"/>
    </xf>
    <xf numFmtId="170" fontId="1" fillId="5" borderId="5" xfId="0" applyNumberFormat="1" applyFont="1" applyFill="1" applyBorder="1" applyAlignment="1">
      <alignment horizontal="center"/>
    </xf>
    <xf numFmtId="170" fontId="0" fillId="2" borderId="4" xfId="0" applyNumberFormat="1" applyFill="1" applyBorder="1" applyAlignment="1">
      <alignment horizontal="center"/>
    </xf>
    <xf numFmtId="170" fontId="0" fillId="2" borderId="5" xfId="0" applyNumberFormat="1" applyFill="1" applyBorder="1" applyAlignment="1">
      <alignment horizontal="center"/>
    </xf>
    <xf numFmtId="3" fontId="0" fillId="2" borderId="0" xfId="0" applyNumberFormat="1" applyFill="1" applyAlignment="1">
      <alignment horizontal="center"/>
    </xf>
    <xf numFmtId="170" fontId="0" fillId="2" borderId="0" xfId="0" applyNumberFormat="1" applyFill="1"/>
    <xf numFmtId="0" fontId="1" fillId="3" borderId="7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170" fontId="1" fillId="3" borderId="2" xfId="0" applyNumberFormat="1" applyFont="1" applyFill="1" applyBorder="1" applyAlignment="1">
      <alignment horizontal="center"/>
    </xf>
    <xf numFmtId="170" fontId="1" fillId="5" borderId="8" xfId="0" applyNumberFormat="1" applyFont="1" applyFill="1" applyBorder="1" applyAlignment="1">
      <alignment horizontal="center"/>
    </xf>
    <xf numFmtId="170" fontId="1" fillId="3" borderId="7" xfId="0" applyNumberFormat="1" applyFont="1" applyFill="1" applyBorder="1" applyAlignment="1">
      <alignment horizontal="center"/>
    </xf>
    <xf numFmtId="170" fontId="0" fillId="2" borderId="9" xfId="0" applyNumberFormat="1" applyFill="1" applyBorder="1" applyAlignment="1">
      <alignment horizontal="center"/>
    </xf>
    <xf numFmtId="170" fontId="0" fillId="2" borderId="10" xfId="0" applyNumberFormat="1" applyFill="1" applyBorder="1" applyAlignment="1">
      <alignment horizontal="center"/>
    </xf>
    <xf numFmtId="165" fontId="0" fillId="2" borderId="9" xfId="0" applyNumberFormat="1" applyFill="1" applyBorder="1" applyAlignment="1">
      <alignment horizontal="center"/>
    </xf>
    <xf numFmtId="165" fontId="0" fillId="2" borderId="4" xfId="0" applyNumberFormat="1" applyFill="1" applyBorder="1" applyAlignment="1">
      <alignment horizontal="center"/>
    </xf>
    <xf numFmtId="165" fontId="0" fillId="2" borderId="10" xfId="0" applyNumberFormat="1" applyFill="1" applyBorder="1" applyAlignment="1">
      <alignment horizontal="center"/>
    </xf>
    <xf numFmtId="165" fontId="0" fillId="2" borderId="5" xfId="0" applyNumberForma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165" fontId="0" fillId="2" borderId="11" xfId="0" applyNumberFormat="1" applyFill="1" applyBorder="1" applyAlignment="1">
      <alignment horizontal="center"/>
    </xf>
    <xf numFmtId="165" fontId="0" fillId="2" borderId="12" xfId="0" applyNumberFormat="1" applyFill="1" applyBorder="1" applyAlignment="1">
      <alignment horizontal="center"/>
    </xf>
    <xf numFmtId="0" fontId="0" fillId="2" borderId="1" xfId="0" applyFill="1" applyBorder="1"/>
    <xf numFmtId="164" fontId="0" fillId="4" borderId="1" xfId="0" applyNumberFormat="1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0" xfId="0" applyNumberFormat="1" applyFill="1" applyAlignment="1">
      <alignment horizontal="center"/>
    </xf>
    <xf numFmtId="166" fontId="0" fillId="4" borderId="2" xfId="0" applyNumberForma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166" fontId="0" fillId="4" borderId="0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7" fontId="0" fillId="4" borderId="0" xfId="0" applyNumberFormat="1" applyFill="1" applyAlignment="1">
      <alignment horizontal="center"/>
    </xf>
    <xf numFmtId="2" fontId="0" fillId="4" borderId="0" xfId="0" applyNumberFormat="1" applyFill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6" fontId="0" fillId="4" borderId="1" xfId="0" applyNumberFormat="1" applyFill="1" applyBorder="1" applyAlignment="1">
      <alignment horizontal="center"/>
    </xf>
    <xf numFmtId="167" fontId="0" fillId="4" borderId="1" xfId="0" applyNumberFormat="1" applyFill="1" applyBorder="1" applyAlignment="1">
      <alignment horizontal="center"/>
    </xf>
    <xf numFmtId="2" fontId="0" fillId="4" borderId="1" xfId="0" applyNumberFormat="1" applyFill="1" applyBorder="1" applyAlignment="1">
      <alignment horizontal="center"/>
    </xf>
    <xf numFmtId="171" fontId="0" fillId="2" borderId="0" xfId="0" applyNumberFormat="1" applyFill="1"/>
    <xf numFmtId="170" fontId="1" fillId="5" borderId="2" xfId="0" applyNumberFormat="1" applyFont="1" applyFill="1" applyBorder="1" applyAlignment="1">
      <alignment horizontal="center"/>
    </xf>
    <xf numFmtId="170" fontId="0" fillId="2" borderId="0" xfId="0" applyNumberFormat="1" applyFon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23" xfId="0" applyNumberFormat="1" applyFill="1" applyBorder="1" applyAlignment="1">
      <alignment horizontal="center"/>
    </xf>
    <xf numFmtId="164" fontId="0" fillId="2" borderId="4" xfId="0" applyNumberFormat="1" applyFont="1" applyFill="1" applyBorder="1" applyAlignment="1">
      <alignment horizontal="center"/>
    </xf>
    <xf numFmtId="15" fontId="0" fillId="2" borderId="23" xfId="0" applyNumberFormat="1" applyFill="1" applyBorder="1" applyAlignment="1">
      <alignment horizontal="center"/>
    </xf>
    <xf numFmtId="15" fontId="0" fillId="2" borderId="3" xfId="0" applyNumberFormat="1" applyFill="1" applyBorder="1" applyAlignment="1">
      <alignment horizontal="center"/>
    </xf>
    <xf numFmtId="15" fontId="0" fillId="2" borderId="22" xfId="0" applyNumberFormat="1" applyFill="1" applyBorder="1" applyAlignment="1">
      <alignment horizontal="center"/>
    </xf>
    <xf numFmtId="15" fontId="0" fillId="2" borderId="11" xfId="0" applyNumberFormat="1" applyFont="1" applyFill="1" applyBorder="1" applyAlignment="1">
      <alignment horizontal="center"/>
    </xf>
    <xf numFmtId="15" fontId="0" fillId="2" borderId="12" xfId="0" applyNumberFormat="1" applyFill="1" applyBorder="1" applyAlignment="1">
      <alignment horizontal="center"/>
    </xf>
    <xf numFmtId="15" fontId="0" fillId="2" borderId="11" xfId="0" applyNumberFormat="1" applyFill="1" applyBorder="1" applyAlignment="1">
      <alignment horizontal="center"/>
    </xf>
    <xf numFmtId="15" fontId="1" fillId="3" borderId="12" xfId="0" applyNumberFormat="1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15" fontId="0" fillId="2" borderId="0" xfId="0" applyNumberFormat="1" applyFill="1" applyBorder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17" fillId="37" borderId="0" xfId="42" applyNumberFormat="1" applyFont="1" applyFill="1" applyBorder="1" applyAlignment="1" applyProtection="1"/>
    <xf numFmtId="175" fontId="1" fillId="5" borderId="1" xfId="0" applyNumberFormat="1" applyFont="1" applyFill="1" applyBorder="1" applyAlignment="1">
      <alignment horizontal="center"/>
    </xf>
    <xf numFmtId="175" fontId="0" fillId="2" borderId="1" xfId="0" applyNumberFormat="1" applyFont="1" applyFill="1" applyBorder="1" applyAlignment="1">
      <alignment horizontal="center"/>
    </xf>
    <xf numFmtId="175" fontId="0" fillId="2" borderId="0" xfId="0" applyNumberFormat="1" applyFill="1" applyAlignment="1">
      <alignment horizontal="center"/>
    </xf>
    <xf numFmtId="175" fontId="0" fillId="2" borderId="1" xfId="0" applyNumberFormat="1" applyFill="1" applyBorder="1" applyAlignment="1">
      <alignment horizontal="center"/>
    </xf>
    <xf numFmtId="175" fontId="0" fillId="2" borderId="0" xfId="0" applyNumberFormat="1" applyFill="1" applyBorder="1" applyAlignment="1">
      <alignment horizontal="center"/>
    </xf>
    <xf numFmtId="170" fontId="0" fillId="2" borderId="5" xfId="0" applyNumberFormat="1" applyFont="1" applyFill="1" applyBorder="1" applyAlignment="1">
      <alignment horizontal="center"/>
    </xf>
    <xf numFmtId="170" fontId="1" fillId="5" borderId="10" xfId="0" applyNumberFormat="1" applyFont="1" applyFill="1" applyBorder="1" applyAlignment="1">
      <alignment horizontal="center"/>
    </xf>
    <xf numFmtId="170" fontId="1" fillId="2" borderId="10" xfId="0" applyNumberFormat="1" applyFont="1" applyFill="1" applyBorder="1" applyAlignment="1">
      <alignment horizontal="center"/>
    </xf>
    <xf numFmtId="170" fontId="1" fillId="2" borderId="0" xfId="0" applyNumberFormat="1" applyFont="1" applyFill="1" applyBorder="1" applyAlignment="1">
      <alignment horizontal="center"/>
    </xf>
    <xf numFmtId="173" fontId="0" fillId="2" borderId="0" xfId="1" applyNumberFormat="1" applyFont="1" applyFill="1" applyBorder="1" applyAlignment="1">
      <alignment horizontal="center"/>
    </xf>
    <xf numFmtId="174" fontId="0" fillId="2" borderId="0" xfId="1" applyNumberFormat="1" applyFont="1" applyFill="1" applyBorder="1" applyAlignment="1">
      <alignment horizontal="center"/>
    </xf>
    <xf numFmtId="170" fontId="1" fillId="38" borderId="1" xfId="0" applyNumberFormat="1" applyFont="1" applyFill="1" applyBorder="1" applyAlignment="1">
      <alignment horizontal="center"/>
    </xf>
    <xf numFmtId="172" fontId="1" fillId="38" borderId="1" xfId="0" applyNumberFormat="1" applyFont="1" applyFill="1" applyBorder="1" applyAlignment="1">
      <alignment horizontal="center"/>
    </xf>
    <xf numFmtId="172" fontId="0" fillId="2" borderId="0" xfId="1" applyNumberFormat="1" applyFont="1" applyFill="1" applyBorder="1" applyAlignment="1">
      <alignment horizontal="center"/>
    </xf>
    <xf numFmtId="172" fontId="0" fillId="2" borderId="0" xfId="0" applyNumberFormat="1" applyFill="1" applyBorder="1" applyAlignment="1">
      <alignment horizontal="center"/>
    </xf>
    <xf numFmtId="172" fontId="0" fillId="2" borderId="1" xfId="1" applyNumberFormat="1" applyFont="1" applyFill="1" applyBorder="1" applyAlignment="1">
      <alignment horizontal="center"/>
    </xf>
    <xf numFmtId="170" fontId="17" fillId="37" borderId="0" xfId="42" applyNumberFormat="1" applyFont="1" applyFill="1" applyBorder="1" applyAlignment="1" applyProtection="1"/>
    <xf numFmtId="170" fontId="0" fillId="0" borderId="0" xfId="0" applyNumberFormat="1"/>
    <xf numFmtId="177" fontId="1" fillId="38" borderId="1" xfId="0" applyNumberFormat="1" applyFont="1" applyFill="1" applyBorder="1" applyAlignment="1">
      <alignment horizontal="center"/>
    </xf>
    <xf numFmtId="177" fontId="0" fillId="2" borderId="0" xfId="0" applyNumberFormat="1" applyFill="1" applyBorder="1" applyAlignment="1">
      <alignment horizontal="center"/>
    </xf>
    <xf numFmtId="177" fontId="0" fillId="2" borderId="2" xfId="0" applyNumberFormat="1" applyFont="1" applyFill="1" applyBorder="1" applyAlignment="1">
      <alignment horizontal="center"/>
    </xf>
    <xf numFmtId="177" fontId="0" fillId="2" borderId="1" xfId="0" applyNumberFormat="1" applyFill="1" applyBorder="1" applyAlignment="1">
      <alignment horizontal="center"/>
    </xf>
    <xf numFmtId="174" fontId="0" fillId="2" borderId="1" xfId="1" applyNumberFormat="1" applyFont="1" applyFill="1" applyBorder="1" applyAlignment="1">
      <alignment horizontal="center"/>
    </xf>
    <xf numFmtId="173" fontId="0" fillId="2" borderId="1" xfId="1" applyNumberFormat="1" applyFont="1" applyFill="1" applyBorder="1" applyAlignment="1">
      <alignment horizontal="center"/>
    </xf>
    <xf numFmtId="0" fontId="1" fillId="0" borderId="0" xfId="0" applyFont="1"/>
    <xf numFmtId="0" fontId="17" fillId="37" borderId="0" xfId="42" applyNumberFormat="1" applyFont="1" applyFill="1" applyBorder="1" applyAlignment="1" applyProtection="1">
      <alignment horizontal="center"/>
    </xf>
    <xf numFmtId="170" fontId="0" fillId="0" borderId="0" xfId="0" applyNumberFormat="1" applyAlignment="1">
      <alignment horizontal="center"/>
    </xf>
    <xf numFmtId="176" fontId="17" fillId="37" borderId="0" xfId="42" applyNumberFormat="1" applyFont="1" applyFill="1" applyBorder="1" applyAlignment="1" applyProtection="1">
      <alignment horizontal="center"/>
    </xf>
    <xf numFmtId="176" fontId="0" fillId="0" borderId="0" xfId="0" applyNumberFormat="1" applyAlignment="1">
      <alignment horizontal="center"/>
    </xf>
    <xf numFmtId="176" fontId="17" fillId="39" borderId="0" xfId="42" applyNumberFormat="1" applyFont="1" applyFill="1" applyBorder="1" applyAlignment="1" applyProtection="1">
      <alignment horizontal="center"/>
    </xf>
    <xf numFmtId="176" fontId="0" fillId="0" borderId="0" xfId="0" applyNumberFormat="1"/>
    <xf numFmtId="176" fontId="0" fillId="39" borderId="0" xfId="0" applyNumberFormat="1" applyFill="1"/>
    <xf numFmtId="165" fontId="0" fillId="0" borderId="0" xfId="0" applyNumberFormat="1" applyAlignment="1">
      <alignment horizontal="center"/>
    </xf>
    <xf numFmtId="179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3" fontId="0" fillId="0" borderId="0" xfId="0" applyNumberFormat="1"/>
    <xf numFmtId="3" fontId="0" fillId="0" borderId="0" xfId="0" applyNumberFormat="1" applyAlignment="1">
      <alignment horizontal="center"/>
    </xf>
    <xf numFmtId="172" fontId="0" fillId="2" borderId="1" xfId="0" applyNumberFormat="1" applyFont="1" applyFill="1" applyBorder="1" applyAlignment="1">
      <alignment horizontal="center"/>
    </xf>
    <xf numFmtId="166" fontId="0" fillId="2" borderId="1" xfId="0" applyNumberFormat="1" applyFont="1" applyFill="1" applyBorder="1" applyAlignment="1">
      <alignment horizontal="center"/>
    </xf>
    <xf numFmtId="166" fontId="0" fillId="2" borderId="0" xfId="1" applyNumberFormat="1" applyFont="1" applyFill="1" applyBorder="1" applyAlignment="1">
      <alignment horizontal="center"/>
    </xf>
    <xf numFmtId="166" fontId="0" fillId="2" borderId="1" xfId="1" applyNumberFormat="1" applyFont="1" applyFill="1" applyBorder="1" applyAlignment="1">
      <alignment horizontal="center"/>
    </xf>
    <xf numFmtId="178" fontId="0" fillId="0" borderId="0" xfId="0" applyNumberFormat="1"/>
    <xf numFmtId="180" fontId="0" fillId="0" borderId="0" xfId="0" applyNumberFormat="1"/>
    <xf numFmtId="3" fontId="0" fillId="2" borderId="0" xfId="0" applyNumberFormat="1" applyFill="1"/>
    <xf numFmtId="0" fontId="0" fillId="0" borderId="0" xfId="0" applyFont="1" applyAlignment="1">
      <alignment horizontal="center"/>
    </xf>
    <xf numFmtId="2" fontId="0" fillId="2" borderId="0" xfId="0" applyNumberFormat="1" applyFill="1" applyAlignment="1">
      <alignment horizontal="center"/>
    </xf>
    <xf numFmtId="2" fontId="0" fillId="2" borderId="1" xfId="0" applyNumberFormat="1" applyFill="1" applyBorder="1" applyAlignment="1">
      <alignment horizontal="center"/>
    </xf>
    <xf numFmtId="174" fontId="0" fillId="2" borderId="0" xfId="1" applyNumberFormat="1" applyFont="1" applyFill="1"/>
    <xf numFmtId="174" fontId="0" fillId="2" borderId="1" xfId="1" applyNumberFormat="1" applyFont="1" applyFill="1" applyBorder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blp_column_header" xfId="42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1" builtinId="5"/>
    <cellStyle name="Title 2" xfId="43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PRICER_GBP!$CA$1</c:f>
              <c:strCache>
                <c:ptCount val="1"/>
                <c:pt idx="0">
                  <c:v>Spot Node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PRICER_GBP!$BY$3:$BY$36</c:f>
              <c:numCache>
                <c:formatCode>0.000</c:formatCode>
                <c:ptCount val="34"/>
                <c:pt idx="0">
                  <c:v>1.9444444444444445E-2</c:v>
                </c:pt>
                <c:pt idx="1">
                  <c:v>3.888888888888889E-2</c:v>
                </c:pt>
                <c:pt idx="2">
                  <c:v>5.8333333333333334E-2</c:v>
                </c:pt>
                <c:pt idx="3">
                  <c:v>8.8888888888888892E-2</c:v>
                </c:pt>
                <c:pt idx="4">
                  <c:v>0.17222222222222222</c:v>
                </c:pt>
                <c:pt idx="5">
                  <c:v>0.25555555555555554</c:v>
                </c:pt>
                <c:pt idx="6">
                  <c:v>0.34166666666666667</c:v>
                </c:pt>
                <c:pt idx="7">
                  <c:v>0.42499999999999999</c:v>
                </c:pt>
                <c:pt idx="8">
                  <c:v>0.51666666666666672</c:v>
                </c:pt>
                <c:pt idx="9">
                  <c:v>0.59722222222222221</c:v>
                </c:pt>
                <c:pt idx="10">
                  <c:v>0.67500000000000004</c:v>
                </c:pt>
                <c:pt idx="11">
                  <c:v>0.77222222222222225</c:v>
                </c:pt>
                <c:pt idx="12">
                  <c:v>0.85</c:v>
                </c:pt>
                <c:pt idx="13">
                  <c:v>0.93055555555555558</c:v>
                </c:pt>
                <c:pt idx="14">
                  <c:v>1.0138888888888888</c:v>
                </c:pt>
                <c:pt idx="15">
                  <c:v>1.2749999999999999</c:v>
                </c:pt>
                <c:pt idx="16">
                  <c:v>1.5305555555555554</c:v>
                </c:pt>
                <c:pt idx="17">
                  <c:v>1.7805555555555554</c:v>
                </c:pt>
                <c:pt idx="18">
                  <c:v>2.036111111111111</c:v>
                </c:pt>
                <c:pt idx="19">
                  <c:v>3.0444444444444443</c:v>
                </c:pt>
                <c:pt idx="20">
                  <c:v>4.0583333333333336</c:v>
                </c:pt>
                <c:pt idx="21">
                  <c:v>5.072222222222222</c:v>
                </c:pt>
                <c:pt idx="22">
                  <c:v>6.0861111111111112</c:v>
                </c:pt>
                <c:pt idx="23">
                  <c:v>7.1</c:v>
                </c:pt>
                <c:pt idx="24">
                  <c:v>8.1194444444444436</c:v>
                </c:pt>
                <c:pt idx="25">
                  <c:v>9.1305555555555564</c:v>
                </c:pt>
                <c:pt idx="26">
                  <c:v>10.144444444444444</c:v>
                </c:pt>
                <c:pt idx="27">
                  <c:v>12.175000000000001</c:v>
                </c:pt>
                <c:pt idx="28">
                  <c:v>15.216666666666667</c:v>
                </c:pt>
                <c:pt idx="29">
                  <c:v>20.291666666666668</c:v>
                </c:pt>
                <c:pt idx="30">
                  <c:v>25.366666666666667</c:v>
                </c:pt>
                <c:pt idx="31">
                  <c:v>30.444444444444443</c:v>
                </c:pt>
                <c:pt idx="32">
                  <c:v>40.583333333333336</c:v>
                </c:pt>
                <c:pt idx="33">
                  <c:v>50.727777777777774</c:v>
                </c:pt>
              </c:numCache>
            </c:numRef>
          </c:xVal>
          <c:yVal>
            <c:numRef>
              <c:f>PRICER_GBP!$CA$3:$CA$36</c:f>
              <c:numCache>
                <c:formatCode>0.000000</c:formatCode>
                <c:ptCount val="34"/>
                <c:pt idx="0">
                  <c:v>-1.1819509308027554E-3</c:v>
                </c:pt>
                <c:pt idx="1">
                  <c:v>-1.2647555718159342E-3</c:v>
                </c:pt>
                <c:pt idx="2">
                  <c:v>-1.4061189367463589E-3</c:v>
                </c:pt>
                <c:pt idx="3">
                  <c:v>-1.6248536990077778E-3</c:v>
                </c:pt>
                <c:pt idx="4">
                  <c:v>-1.4035544367706487E-3</c:v>
                </c:pt>
                <c:pt idx="5">
                  <c:v>-1.4358142877000102E-3</c:v>
                </c:pt>
                <c:pt idx="6">
                  <c:v>-1.3255630558166587E-3</c:v>
                </c:pt>
                <c:pt idx="7">
                  <c:v>-1.2497259154390372E-3</c:v>
                </c:pt>
                <c:pt idx="8">
                  <c:v>-1.8032050737469829E-3</c:v>
                </c:pt>
                <c:pt idx="9">
                  <c:v>-1.6831804045085441E-3</c:v>
                </c:pt>
                <c:pt idx="10">
                  <c:v>-1.6042480260369807E-3</c:v>
                </c:pt>
                <c:pt idx="11">
                  <c:v>-1.5796588105867482E-3</c:v>
                </c:pt>
                <c:pt idx="12">
                  <c:v>-1.5293039605457359E-3</c:v>
                </c:pt>
                <c:pt idx="13">
                  <c:v>-1.498516525845206E-3</c:v>
                </c:pt>
                <c:pt idx="14">
                  <c:v>-1.5167794426150794E-3</c:v>
                </c:pt>
                <c:pt idx="15">
                  <c:v>-1.5065565605263398E-3</c:v>
                </c:pt>
                <c:pt idx="16">
                  <c:v>-1.6304608359208883E-3</c:v>
                </c:pt>
                <c:pt idx="17">
                  <c:v>-1.6374577249210764E-3</c:v>
                </c:pt>
                <c:pt idx="18">
                  <c:v>-1.6832590370996188E-3</c:v>
                </c:pt>
                <c:pt idx="19">
                  <c:v>-1.706534164261958E-3</c:v>
                </c:pt>
                <c:pt idx="20">
                  <c:v>-1.5578904118190775E-3</c:v>
                </c:pt>
                <c:pt idx="21">
                  <c:v>-1.3914931819148336E-3</c:v>
                </c:pt>
                <c:pt idx="22">
                  <c:v>-1.0943415865656246E-3</c:v>
                </c:pt>
                <c:pt idx="23">
                  <c:v>-8.3641244285613818E-4</c:v>
                </c:pt>
                <c:pt idx="24">
                  <c:v>-5.9351706438593723E-4</c:v>
                </c:pt>
                <c:pt idx="25">
                  <c:v>-3.5778397197974243E-4</c:v>
                </c:pt>
                <c:pt idx="26">
                  <c:v>-1.5269600606554416E-4</c:v>
                </c:pt>
                <c:pt idx="27">
                  <c:v>1.0934480790883649E-4</c:v>
                </c:pt>
                <c:pt idx="28">
                  <c:v>3.1081033677425233E-4</c:v>
                </c:pt>
                <c:pt idx="29">
                  <c:v>2.9037849616156565E-4</c:v>
                </c:pt>
                <c:pt idx="30">
                  <c:v>1.5302002351097189E-4</c:v>
                </c:pt>
                <c:pt idx="31">
                  <c:v>1.9216806325983633E-4</c:v>
                </c:pt>
                <c:pt idx="32">
                  <c:v>1.1556438762510422E-4</c:v>
                </c:pt>
                <c:pt idx="33">
                  <c:v>9.1455342393514472E-4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E1-4F3F-BDCD-866E2783E109}"/>
            </c:ext>
          </c:extLst>
        </c:ser>
        <c:ser>
          <c:idx val="1"/>
          <c:order val="1"/>
          <c:tx>
            <c:strRef>
              <c:f>PRICER_GBP!$CC$1</c:f>
              <c:strCache>
                <c:ptCount val="1"/>
                <c:pt idx="0">
                  <c:v>OIS Node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PRICER_GBP!$BY$3:$BY$36</c:f>
              <c:numCache>
                <c:formatCode>0.000</c:formatCode>
                <c:ptCount val="34"/>
                <c:pt idx="0">
                  <c:v>1.9444444444444445E-2</c:v>
                </c:pt>
                <c:pt idx="1">
                  <c:v>3.888888888888889E-2</c:v>
                </c:pt>
                <c:pt idx="2">
                  <c:v>5.8333333333333334E-2</c:v>
                </c:pt>
                <c:pt idx="3">
                  <c:v>8.8888888888888892E-2</c:v>
                </c:pt>
                <c:pt idx="4">
                  <c:v>0.17222222222222222</c:v>
                </c:pt>
                <c:pt idx="5">
                  <c:v>0.25555555555555554</c:v>
                </c:pt>
                <c:pt idx="6">
                  <c:v>0.34166666666666667</c:v>
                </c:pt>
                <c:pt idx="7">
                  <c:v>0.42499999999999999</c:v>
                </c:pt>
                <c:pt idx="8">
                  <c:v>0.51666666666666672</c:v>
                </c:pt>
                <c:pt idx="9">
                  <c:v>0.59722222222222221</c:v>
                </c:pt>
                <c:pt idx="10">
                  <c:v>0.67500000000000004</c:v>
                </c:pt>
                <c:pt idx="11">
                  <c:v>0.77222222222222225</c:v>
                </c:pt>
                <c:pt idx="12">
                  <c:v>0.85</c:v>
                </c:pt>
                <c:pt idx="13">
                  <c:v>0.93055555555555558</c:v>
                </c:pt>
                <c:pt idx="14">
                  <c:v>1.0138888888888888</c:v>
                </c:pt>
                <c:pt idx="15">
                  <c:v>1.2749999999999999</c:v>
                </c:pt>
                <c:pt idx="16">
                  <c:v>1.5305555555555554</c:v>
                </c:pt>
                <c:pt idx="17">
                  <c:v>1.7805555555555554</c:v>
                </c:pt>
                <c:pt idx="18">
                  <c:v>2.036111111111111</c:v>
                </c:pt>
                <c:pt idx="19">
                  <c:v>3.0444444444444443</c:v>
                </c:pt>
                <c:pt idx="20">
                  <c:v>4.0583333333333336</c:v>
                </c:pt>
                <c:pt idx="21">
                  <c:v>5.072222222222222</c:v>
                </c:pt>
                <c:pt idx="22">
                  <c:v>6.0861111111111112</c:v>
                </c:pt>
                <c:pt idx="23">
                  <c:v>7.1</c:v>
                </c:pt>
                <c:pt idx="24">
                  <c:v>8.1194444444444436</c:v>
                </c:pt>
                <c:pt idx="25">
                  <c:v>9.1305555555555564</c:v>
                </c:pt>
                <c:pt idx="26">
                  <c:v>10.144444444444444</c:v>
                </c:pt>
                <c:pt idx="27">
                  <c:v>12.175000000000001</c:v>
                </c:pt>
                <c:pt idx="28">
                  <c:v>15.216666666666667</c:v>
                </c:pt>
                <c:pt idx="29">
                  <c:v>20.291666666666668</c:v>
                </c:pt>
                <c:pt idx="30">
                  <c:v>25.366666666666667</c:v>
                </c:pt>
                <c:pt idx="31">
                  <c:v>30.444444444444443</c:v>
                </c:pt>
                <c:pt idx="32">
                  <c:v>40.583333333333336</c:v>
                </c:pt>
                <c:pt idx="33">
                  <c:v>50.727777777777774</c:v>
                </c:pt>
              </c:numCache>
            </c:numRef>
          </c:xVal>
          <c:yVal>
            <c:numRef>
              <c:f>PRICER_GBP!$CC$3:$CC$36</c:f>
              <c:numCache>
                <c:formatCode>0.000000</c:formatCode>
                <c:ptCount val="34"/>
                <c:pt idx="0">
                  <c:v>7.9921634162682942E-4</c:v>
                </c:pt>
                <c:pt idx="1">
                  <c:v>7.1037823069741712E-4</c:v>
                </c:pt>
                <c:pt idx="2">
                  <c:v>6.807642135038261E-4</c:v>
                </c:pt>
                <c:pt idx="3">
                  <c:v>6.508504080668942E-4</c:v>
                </c:pt>
                <c:pt idx="4">
                  <c:v>5.8701129685245768E-4</c:v>
                </c:pt>
                <c:pt idx="5">
                  <c:v>5.6183737148041146E-4</c:v>
                </c:pt>
                <c:pt idx="6">
                  <c:v>5.2491882021876712E-4</c:v>
                </c:pt>
                <c:pt idx="7">
                  <c:v>4.7216033725927531E-4</c:v>
                </c:pt>
                <c:pt idx="8">
                  <c:v>4.2294889780825073E-4</c:v>
                </c:pt>
                <c:pt idx="9">
                  <c:v>3.8351276237835741E-4</c:v>
                </c:pt>
                <c:pt idx="10">
                  <c:v>3.3508863813080936E-4</c:v>
                </c:pt>
                <c:pt idx="11">
                  <c:v>2.786481612375713E-4</c:v>
                </c:pt>
                <c:pt idx="12">
                  <c:v>2.2901549158627077E-4</c:v>
                </c:pt>
                <c:pt idx="13">
                  <c:v>1.7590346635354415E-4</c:v>
                </c:pt>
                <c:pt idx="14">
                  <c:v>1.3271528070246674E-4</c:v>
                </c:pt>
                <c:pt idx="15">
                  <c:v>-2.1310151886222428E-5</c:v>
                </c:pt>
                <c:pt idx="16">
                  <c:v>-1.2115796303346915E-4</c:v>
                </c:pt>
                <c:pt idx="17">
                  <c:v>-1.9109560966812378E-4</c:v>
                </c:pt>
                <c:pt idx="18">
                  <c:v>-2.4393196470728906E-4</c:v>
                </c:pt>
                <c:pt idx="19">
                  <c:v>-3.2268863902629175E-4</c:v>
                </c:pt>
                <c:pt idx="20">
                  <c:v>-1.9834297358678477E-4</c:v>
                </c:pt>
                <c:pt idx="21">
                  <c:v>3.0934017975825512E-5</c:v>
                </c:pt>
                <c:pt idx="22">
                  <c:v>2.2852575927578833E-4</c:v>
                </c:pt>
                <c:pt idx="23">
                  <c:v>4.2663376724294544E-4</c:v>
                </c:pt>
                <c:pt idx="24">
                  <c:v>6.8477045257053781E-4</c:v>
                </c:pt>
                <c:pt idx="25">
                  <c:v>9.3408572639530618E-4</c:v>
                </c:pt>
                <c:pt idx="26">
                  <c:v>1.1236450815128585E-3</c:v>
                </c:pt>
                <c:pt idx="27">
                  <c:v>1.4528297524811773E-3</c:v>
                </c:pt>
                <c:pt idx="28">
                  <c:v>1.7282573470018825E-3</c:v>
                </c:pt>
                <c:pt idx="29">
                  <c:v>1.8815202909989726E-3</c:v>
                </c:pt>
                <c:pt idx="30">
                  <c:v>1.831237790543172E-3</c:v>
                </c:pt>
                <c:pt idx="31">
                  <c:v>1.6527029875985644E-3</c:v>
                </c:pt>
                <c:pt idx="32">
                  <c:v>1.2252752257964072E-3</c:v>
                </c:pt>
                <c:pt idx="33">
                  <c:v>8.7716356565592513E-4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0E1-4F3F-BDCD-866E2783E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852944"/>
        <c:axId val="450853928"/>
      </c:scatterChart>
      <c:valAx>
        <c:axId val="450852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853928"/>
        <c:crosses val="autoZero"/>
        <c:crossBetween val="midCat"/>
      </c:valAx>
      <c:valAx>
        <c:axId val="45085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85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GBP : 3ML resets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PRICER_GBP!$R$1</c:f>
              <c:strCache>
                <c:ptCount val="1"/>
                <c:pt idx="0">
                  <c:v>Reset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PRICER_GBP!$R$3:$R$122</c:f>
              <c:numCache>
                <c:formatCode>0.00000%</c:formatCode>
                <c:ptCount val="120"/>
                <c:pt idx="0">
                  <c:v>1.3889292031951043E-3</c:v>
                </c:pt>
                <c:pt idx="1">
                  <c:v>1.3541440740531894E-3</c:v>
                </c:pt>
                <c:pt idx="2">
                  <c:v>1.2963633274254405E-3</c:v>
                </c:pt>
                <c:pt idx="3">
                  <c:v>8.2171132429307583E-4</c:v>
                </c:pt>
                <c:pt idx="4">
                  <c:v>6.0894987768629616E-4</c:v>
                </c:pt>
                <c:pt idx="5">
                  <c:v>6.0894884768593696E-4</c:v>
                </c:pt>
                <c:pt idx="6">
                  <c:v>6.0894781768893998E-4</c:v>
                </c:pt>
                <c:pt idx="7">
                  <c:v>6.2088260666086175E-4</c:v>
                </c:pt>
                <c:pt idx="8">
                  <c:v>8.2853393135895199E-4</c:v>
                </c:pt>
                <c:pt idx="9">
                  <c:v>8.285358380864243E-4</c:v>
                </c:pt>
                <c:pt idx="10">
                  <c:v>8.2853393135895199E-4</c:v>
                </c:pt>
                <c:pt idx="11">
                  <c:v>8.53540389705873E-4</c:v>
                </c:pt>
                <c:pt idx="12">
                  <c:v>1.5871055092693911E-3</c:v>
                </c:pt>
                <c:pt idx="13">
                  <c:v>1.5871090072841609E-3</c:v>
                </c:pt>
                <c:pt idx="14">
                  <c:v>1.5871055092693911E-3</c:v>
                </c:pt>
                <c:pt idx="15">
                  <c:v>1.6056743302662569E-3</c:v>
                </c:pt>
                <c:pt idx="16">
                  <c:v>2.0095733503525228E-3</c:v>
                </c:pt>
                <c:pt idx="17">
                  <c:v>2.0095733503525228E-3</c:v>
                </c:pt>
                <c:pt idx="18">
                  <c:v>2.0095621345772559E-3</c:v>
                </c:pt>
                <c:pt idx="19">
                  <c:v>2.0307064916473276E-3</c:v>
                </c:pt>
                <c:pt idx="20">
                  <c:v>2.971507392787801E-3</c:v>
                </c:pt>
                <c:pt idx="21">
                  <c:v>2.971507392787801E-3</c:v>
                </c:pt>
                <c:pt idx="22">
                  <c:v>2.9714828717510842E-3</c:v>
                </c:pt>
                <c:pt idx="23">
                  <c:v>2.9780377265323501E-3</c:v>
                </c:pt>
                <c:pt idx="24">
                  <c:v>3.2692089588535482E-3</c:v>
                </c:pt>
                <c:pt idx="25">
                  <c:v>3.2692386389002927E-3</c:v>
                </c:pt>
                <c:pt idx="26">
                  <c:v>3.2691495998380584E-3</c:v>
                </c:pt>
                <c:pt idx="27">
                  <c:v>3.2800118436216948E-3</c:v>
                </c:pt>
                <c:pt idx="28">
                  <c:v>3.7614894476667893E-3</c:v>
                </c:pt>
                <c:pt idx="29">
                  <c:v>3.761450158571092E-3</c:v>
                </c:pt>
                <c:pt idx="30">
                  <c:v>3.7614108700223521E-3</c:v>
                </c:pt>
                <c:pt idx="31">
                  <c:v>3.7752767646529765E-3</c:v>
                </c:pt>
                <c:pt idx="32">
                  <c:v>4.1814549843057491E-3</c:v>
                </c:pt>
                <c:pt idx="33">
                  <c:v>4.1814792599676257E-3</c:v>
                </c:pt>
                <c:pt idx="34">
                  <c:v>4.1814549843057491E-3</c:v>
                </c:pt>
                <c:pt idx="35">
                  <c:v>4.1940933065891198E-3</c:v>
                </c:pt>
                <c:pt idx="36">
                  <c:v>4.5613838330998829E-3</c:v>
                </c:pt>
                <c:pt idx="37">
                  <c:v>4.5613838330998829E-3</c:v>
                </c:pt>
                <c:pt idx="38">
                  <c:v>4.5613260609691196E-3</c:v>
                </c:pt>
                <c:pt idx="39">
                  <c:v>4.5596063157935345E-3</c:v>
                </c:pt>
                <c:pt idx="40">
                  <c:v>4.5216021646057305E-3</c:v>
                </c:pt>
                <c:pt idx="41">
                  <c:v>4.5216021646057305E-3</c:v>
                </c:pt>
                <c:pt idx="42">
                  <c:v>4.5215453955922396E-3</c:v>
                </c:pt>
                <c:pt idx="43">
                  <c:v>4.5215737799800745E-3</c:v>
                </c:pt>
                <c:pt idx="44">
                  <c:v>4.5216021646057305E-3</c:v>
                </c:pt>
                <c:pt idx="45">
                  <c:v>4.5216021646057305E-3</c:v>
                </c:pt>
                <c:pt idx="46">
                  <c:v>4.5215737799800745E-3</c:v>
                </c:pt>
                <c:pt idx="47">
                  <c:v>4.5184208692414553E-3</c:v>
                </c:pt>
                <c:pt idx="48">
                  <c:v>4.378198720240532E-3</c:v>
                </c:pt>
                <c:pt idx="49">
                  <c:v>4.3781454947728954E-3</c:v>
                </c:pt>
                <c:pt idx="50">
                  <c:v>4.3780922701674796E-3</c:v>
                </c:pt>
                <c:pt idx="51">
                  <c:v>4.3781454947728954E-3</c:v>
                </c:pt>
                <c:pt idx="52">
                  <c:v>4.3780922701674796E-3</c:v>
                </c:pt>
                <c:pt idx="53">
                  <c:v>4.3781454947728954E-3</c:v>
                </c:pt>
                <c:pt idx="54">
                  <c:v>4.3780922701674796E-3</c:v>
                </c:pt>
                <c:pt idx="55">
                  <c:v>4.3781188823620223E-3</c:v>
                </c:pt>
                <c:pt idx="56">
                  <c:v>4.3781188823620223E-3</c:v>
                </c:pt>
                <c:pt idx="57">
                  <c:v>4.3781454947728954E-3</c:v>
                </c:pt>
                <c:pt idx="58">
                  <c:v>4.3780922701674796E-3</c:v>
                </c:pt>
                <c:pt idx="59">
                  <c:v>4.3564649206859606E-3</c:v>
                </c:pt>
                <c:pt idx="60">
                  <c:v>3.7213539425584551E-3</c:v>
                </c:pt>
                <c:pt idx="61">
                  <c:v>3.7213539425584551E-3</c:v>
                </c:pt>
                <c:pt idx="62">
                  <c:v>3.7213347147255055E-3</c:v>
                </c:pt>
                <c:pt idx="63">
                  <c:v>3.7213347147246278E-3</c:v>
                </c:pt>
                <c:pt idx="64">
                  <c:v>3.7213539425584551E-3</c:v>
                </c:pt>
                <c:pt idx="65">
                  <c:v>3.7213539425584551E-3</c:v>
                </c:pt>
                <c:pt idx="66">
                  <c:v>3.7213154870254757E-3</c:v>
                </c:pt>
                <c:pt idx="67">
                  <c:v>3.7213347147246278E-3</c:v>
                </c:pt>
                <c:pt idx="68">
                  <c:v>3.7213539425584551E-3</c:v>
                </c:pt>
                <c:pt idx="69">
                  <c:v>3.72139239862062E-3</c:v>
                </c:pt>
                <c:pt idx="70">
                  <c:v>3.7212770320214279E-3</c:v>
                </c:pt>
                <c:pt idx="71">
                  <c:v>3.7213347147255055E-3</c:v>
                </c:pt>
                <c:pt idx="72">
                  <c:v>3.72139239862062E-3</c:v>
                </c:pt>
                <c:pt idx="73">
                  <c:v>3.7213539425584551E-3</c:v>
                </c:pt>
                <c:pt idx="74">
                  <c:v>3.7213154870254757E-3</c:v>
                </c:pt>
                <c:pt idx="75">
                  <c:v>3.7213539425575868E-3</c:v>
                </c:pt>
                <c:pt idx="76">
                  <c:v>3.7213154870254757E-3</c:v>
                </c:pt>
                <c:pt idx="77">
                  <c:v>3.7213539425575868E-3</c:v>
                </c:pt>
                <c:pt idx="78">
                  <c:v>3.7213347147255055E-3</c:v>
                </c:pt>
                <c:pt idx="79">
                  <c:v>3.6956445957638802E-3</c:v>
                </c:pt>
                <c:pt idx="80">
                  <c:v>2.9512845324093447E-3</c:v>
                </c:pt>
                <c:pt idx="81">
                  <c:v>2.9512845324084756E-3</c:v>
                </c:pt>
                <c:pt idx="82">
                  <c:v>2.9512603439538761E-3</c:v>
                </c:pt>
                <c:pt idx="83">
                  <c:v>2.9512724381484724E-3</c:v>
                </c:pt>
                <c:pt idx="84">
                  <c:v>2.9512845324093447E-3</c:v>
                </c:pt>
                <c:pt idx="85">
                  <c:v>2.9512845324084756E-3</c:v>
                </c:pt>
                <c:pt idx="86">
                  <c:v>2.9512603439538761E-3</c:v>
                </c:pt>
                <c:pt idx="87">
                  <c:v>2.9512724381484724E-3</c:v>
                </c:pt>
                <c:pt idx="88">
                  <c:v>2.9512845324093447E-3</c:v>
                </c:pt>
                <c:pt idx="89">
                  <c:v>2.9512845324084756E-3</c:v>
                </c:pt>
                <c:pt idx="90">
                  <c:v>2.9512603439538761E-3</c:v>
                </c:pt>
                <c:pt idx="91">
                  <c:v>2.9512724381484724E-3</c:v>
                </c:pt>
                <c:pt idx="92">
                  <c:v>2.9512845324093447E-3</c:v>
                </c:pt>
                <c:pt idx="93">
                  <c:v>2.9513087211291049E-3</c:v>
                </c:pt>
                <c:pt idx="94">
                  <c:v>2.9512724381484724E-3</c:v>
                </c:pt>
                <c:pt idx="95">
                  <c:v>2.9512845324093447E-3</c:v>
                </c:pt>
                <c:pt idx="96">
                  <c:v>2.9512603439538761E-3</c:v>
                </c:pt>
                <c:pt idx="97">
                  <c:v>2.9512845324093447E-3</c:v>
                </c:pt>
                <c:pt idx="98">
                  <c:v>2.9512603439538761E-3</c:v>
                </c:pt>
                <c:pt idx="99">
                  <c:v>2.9309893423617919E-3</c:v>
                </c:pt>
                <c:pt idx="100">
                  <c:v>2.3360647615575073E-3</c:v>
                </c:pt>
                <c:pt idx="101">
                  <c:v>2.3360723395252671E-3</c:v>
                </c:pt>
                <c:pt idx="102">
                  <c:v>2.3360571836228399E-3</c:v>
                </c:pt>
                <c:pt idx="103">
                  <c:v>2.3360647615575073E-3</c:v>
                </c:pt>
                <c:pt idx="104">
                  <c:v>2.3360723395252671E-3</c:v>
                </c:pt>
                <c:pt idx="105">
                  <c:v>2.3360723395252671E-3</c:v>
                </c:pt>
                <c:pt idx="106">
                  <c:v>2.3360571836228399E-3</c:v>
                </c:pt>
                <c:pt idx="107">
                  <c:v>2.3360647615575073E-3</c:v>
                </c:pt>
                <c:pt idx="108">
                  <c:v>2.3360723395243984E-3</c:v>
                </c:pt>
                <c:pt idx="109">
                  <c:v>2.3360723395252671E-3</c:v>
                </c:pt>
                <c:pt idx="110">
                  <c:v>2.3360647615575073E-3</c:v>
                </c:pt>
                <c:pt idx="111">
                  <c:v>2.3360647615575073E-3</c:v>
                </c:pt>
                <c:pt idx="112">
                  <c:v>2.3360723395243984E-3</c:v>
                </c:pt>
                <c:pt idx="113">
                  <c:v>2.3360874955584013E-3</c:v>
                </c:pt>
                <c:pt idx="114">
                  <c:v>2.3360420278518588E-3</c:v>
                </c:pt>
                <c:pt idx="115">
                  <c:v>2.3360647615575073E-3</c:v>
                </c:pt>
                <c:pt idx="116">
                  <c:v>2.3360874955584013E-3</c:v>
                </c:pt>
                <c:pt idx="117">
                  <c:v>2.3360723395243984E-3</c:v>
                </c:pt>
                <c:pt idx="118">
                  <c:v>2.3360571836228399E-3</c:v>
                </c:pt>
                <c:pt idx="119">
                  <c:v>2.2794830135696308E-3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09-4E47-883C-B0491BBE4293}"/>
            </c:ext>
          </c:extLst>
        </c:ser>
        <c:ser>
          <c:idx val="1"/>
          <c:order val="1"/>
          <c:tx>
            <c:strRef>
              <c:f>PRICER_GBP!$AD$1</c:f>
              <c:strCache>
                <c:ptCount val="1"/>
                <c:pt idx="0">
                  <c:v>GBP: 3ML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PRICER_GBP!$AD$3:$AD$122</c:f>
              <c:numCache>
                <c:formatCode>0.0000%</c:formatCode>
                <c:ptCount val="120"/>
                <c:pt idx="0">
                  <c:v>1.4080000000000002E-3</c:v>
                </c:pt>
                <c:pt idx="1">
                  <c:v>1.3470999999999999E-3</c:v>
                </c:pt>
                <c:pt idx="2">
                  <c:v>1.2993E-3</c:v>
                </c:pt>
                <c:pt idx="3">
                  <c:v>8.0390000000000008E-4</c:v>
                </c:pt>
                <c:pt idx="4">
                  <c:v>6.5299999999999993E-4</c:v>
                </c:pt>
                <c:pt idx="5">
                  <c:v>5.31E-4</c:v>
                </c:pt>
                <c:pt idx="6">
                  <c:v>5.3560000000000001E-4</c:v>
                </c:pt>
                <c:pt idx="7">
                  <c:v>4.2549999999999999E-4</c:v>
                </c:pt>
                <c:pt idx="8">
                  <c:v>5.5849999999999997E-4</c:v>
                </c:pt>
                <c:pt idx="9">
                  <c:v>1.0360999999999999E-3</c:v>
                </c:pt>
                <c:pt idx="10">
                  <c:v>1.0741000000000001E-3</c:v>
                </c:pt>
                <c:pt idx="11">
                  <c:v>1.1218999999999999E-3</c:v>
                </c:pt>
                <c:pt idx="12">
                  <c:v>1.4788000000000002E-3</c:v>
                </c:pt>
                <c:pt idx="13">
                  <c:v>1.5671999999999999E-3</c:v>
                </c:pt>
                <c:pt idx="14">
                  <c:v>1.6554E-3</c:v>
                </c:pt>
                <c:pt idx="15">
                  <c:v>1.7458999999999999E-3</c:v>
                </c:pt>
                <c:pt idx="16">
                  <c:v>1.8978000000000001E-3</c:v>
                </c:pt>
                <c:pt idx="17">
                  <c:v>1.9941E-3</c:v>
                </c:pt>
                <c:pt idx="18">
                  <c:v>2.0891E-3</c:v>
                </c:pt>
                <c:pt idx="19">
                  <c:v>2.1944E-3</c:v>
                </c:pt>
                <c:pt idx="20">
                  <c:v>2.8010000000000001E-3</c:v>
                </c:pt>
                <c:pt idx="21">
                  <c:v>2.9459E-3</c:v>
                </c:pt>
                <c:pt idx="22">
                  <c:v>3.0888999999999999E-3</c:v>
                </c:pt>
                <c:pt idx="23">
                  <c:v>3.2257000000000002E-3</c:v>
                </c:pt>
                <c:pt idx="24">
                  <c:v>3.1327999999999998E-3</c:v>
                </c:pt>
                <c:pt idx="25">
                  <c:v>3.2586999999999998E-3</c:v>
                </c:pt>
                <c:pt idx="26">
                  <c:v>3.3816000000000002E-3</c:v>
                </c:pt>
                <c:pt idx="27">
                  <c:v>3.5022999999999999E-3</c:v>
                </c:pt>
                <c:pt idx="28">
                  <c:v>3.6332999999999999E-3</c:v>
                </c:pt>
                <c:pt idx="29">
                  <c:v>3.7584000000000003E-3</c:v>
                </c:pt>
                <c:pt idx="30">
                  <c:v>3.8804E-3</c:v>
                </c:pt>
                <c:pt idx="31">
                  <c:v>3.9995999999999999E-3</c:v>
                </c:pt>
                <c:pt idx="32">
                  <c:v>4.0660000000000002E-3</c:v>
                </c:pt>
                <c:pt idx="33">
                  <c:v>4.1843999999999996E-3</c:v>
                </c:pt>
                <c:pt idx="34">
                  <c:v>4.3023000000000002E-3</c:v>
                </c:pt>
                <c:pt idx="35">
                  <c:v>4.4161000000000001E-3</c:v>
                </c:pt>
                <c:pt idx="36">
                  <c:v>4.4608E-3</c:v>
                </c:pt>
                <c:pt idx="37">
                  <c:v>4.5744000000000002E-3</c:v>
                </c:pt>
                <c:pt idx="38">
                  <c:v>4.6861999999999997E-3</c:v>
                </c:pt>
                <c:pt idx="39">
                  <c:v>4.7650999999999995E-3</c:v>
                </c:pt>
                <c:pt idx="40">
                  <c:v>4.1600999999999999E-3</c:v>
                </c:pt>
                <c:pt idx="41">
                  <c:v>4.2370000000000003E-3</c:v>
                </c:pt>
                <c:pt idx="42">
                  <c:v>4.3128000000000003E-3</c:v>
                </c:pt>
                <c:pt idx="43">
                  <c:v>4.3946000000000002E-3</c:v>
                </c:pt>
                <c:pt idx="44">
                  <c:v>4.7695999999999997E-3</c:v>
                </c:pt>
                <c:pt idx="45">
                  <c:v>4.8585E-3</c:v>
                </c:pt>
                <c:pt idx="46">
                  <c:v>4.9464999999999995E-3</c:v>
                </c:pt>
                <c:pt idx="47">
                  <c:v>5.0131999999999998E-3</c:v>
                </c:pt>
                <c:pt idx="48">
                  <c:v>4.1687E-3</c:v>
                </c:pt>
                <c:pt idx="49">
                  <c:v>4.2198999999999995E-3</c:v>
                </c:pt>
                <c:pt idx="50">
                  <c:v>4.2698000000000007E-3</c:v>
                </c:pt>
                <c:pt idx="51">
                  <c:v>4.3195999999999998E-3</c:v>
                </c:pt>
                <c:pt idx="52">
                  <c:v>4.3692000000000002E-3</c:v>
                </c:pt>
                <c:pt idx="53">
                  <c:v>4.4187000000000002E-3</c:v>
                </c:pt>
                <c:pt idx="54">
                  <c:v>4.4679999999999997E-3</c:v>
                </c:pt>
                <c:pt idx="55">
                  <c:v>4.5168000000000005E-3</c:v>
                </c:pt>
                <c:pt idx="56">
                  <c:v>4.5658000000000001E-3</c:v>
                </c:pt>
                <c:pt idx="57">
                  <c:v>4.6148999999999999E-3</c:v>
                </c:pt>
                <c:pt idx="58">
                  <c:v>4.6633999999999998E-3</c:v>
                </c:pt>
                <c:pt idx="59">
                  <c:v>4.6753999999999997E-3</c:v>
                </c:pt>
                <c:pt idx="60">
                  <c:v>3.6431999999999997E-3</c:v>
                </c:pt>
                <c:pt idx="61">
                  <c:v>3.6573999999999999E-3</c:v>
                </c:pt>
                <c:pt idx="62">
                  <c:v>3.6714E-3</c:v>
                </c:pt>
                <c:pt idx="63">
                  <c:v>3.6853000000000003E-3</c:v>
                </c:pt>
                <c:pt idx="64">
                  <c:v>3.6993E-3</c:v>
                </c:pt>
                <c:pt idx="65">
                  <c:v>3.7133000000000001E-3</c:v>
                </c:pt>
                <c:pt idx="66">
                  <c:v>3.7269999999999998E-3</c:v>
                </c:pt>
                <c:pt idx="67">
                  <c:v>3.7407E-3</c:v>
                </c:pt>
                <c:pt idx="68">
                  <c:v>3.7545E-3</c:v>
                </c:pt>
                <c:pt idx="69">
                  <c:v>3.7685000000000001E-3</c:v>
                </c:pt>
                <c:pt idx="70">
                  <c:v>3.7819999999999998E-3</c:v>
                </c:pt>
                <c:pt idx="71">
                  <c:v>3.7954E-3</c:v>
                </c:pt>
                <c:pt idx="72">
                  <c:v>3.8092999999999998E-3</c:v>
                </c:pt>
                <c:pt idx="73">
                  <c:v>3.8229999999999996E-3</c:v>
                </c:pt>
                <c:pt idx="74">
                  <c:v>3.8363999999999998E-3</c:v>
                </c:pt>
                <c:pt idx="75">
                  <c:v>3.8498999999999999E-3</c:v>
                </c:pt>
                <c:pt idx="76">
                  <c:v>3.8631999999999998E-3</c:v>
                </c:pt>
                <c:pt idx="77">
                  <c:v>3.8766E-3</c:v>
                </c:pt>
                <c:pt idx="78">
                  <c:v>3.8899E-3</c:v>
                </c:pt>
                <c:pt idx="79">
                  <c:v>3.8747E-3</c:v>
                </c:pt>
                <c:pt idx="80">
                  <c:v>3.0539E-3</c:v>
                </c:pt>
                <c:pt idx="81">
                  <c:v>3.0473000000000002E-3</c:v>
                </c:pt>
                <c:pt idx="82">
                  <c:v>3.0408000000000002E-3</c:v>
                </c:pt>
                <c:pt idx="83">
                  <c:v>3.0344E-3</c:v>
                </c:pt>
                <c:pt idx="84">
                  <c:v>3.0277999999999998E-3</c:v>
                </c:pt>
                <c:pt idx="85">
                  <c:v>3.0213000000000002E-3</c:v>
                </c:pt>
                <c:pt idx="86">
                  <c:v>3.0148000000000002E-3</c:v>
                </c:pt>
                <c:pt idx="87">
                  <c:v>3.0084E-3</c:v>
                </c:pt>
                <c:pt idx="88">
                  <c:v>3.0019000000000001E-3</c:v>
                </c:pt>
                <c:pt idx="89">
                  <c:v>2.9953999999999996E-3</c:v>
                </c:pt>
                <c:pt idx="90">
                  <c:v>2.9889999999999999E-3</c:v>
                </c:pt>
                <c:pt idx="91">
                  <c:v>2.9826999999999996E-3</c:v>
                </c:pt>
                <c:pt idx="92">
                  <c:v>2.9762E-3</c:v>
                </c:pt>
                <c:pt idx="93">
                  <c:v>2.9698000000000003E-3</c:v>
                </c:pt>
                <c:pt idx="94">
                  <c:v>2.9632999999999999E-3</c:v>
                </c:pt>
                <c:pt idx="95">
                  <c:v>2.9569000000000002E-3</c:v>
                </c:pt>
                <c:pt idx="96">
                  <c:v>2.9505E-3</c:v>
                </c:pt>
                <c:pt idx="97">
                  <c:v>2.9442000000000001E-3</c:v>
                </c:pt>
                <c:pt idx="98">
                  <c:v>2.9378999999999998E-3</c:v>
                </c:pt>
                <c:pt idx="99">
                  <c:v>2.9177999999999999E-3</c:v>
                </c:pt>
                <c:pt idx="100">
                  <c:v>2.5011E-3</c:v>
                </c:pt>
                <c:pt idx="101">
                  <c:v>2.4870000000000001E-3</c:v>
                </c:pt>
                <c:pt idx="102">
                  <c:v>2.4729000000000001E-3</c:v>
                </c:pt>
                <c:pt idx="103">
                  <c:v>2.4590000000000002E-3</c:v>
                </c:pt>
                <c:pt idx="104">
                  <c:v>2.4449000000000003E-3</c:v>
                </c:pt>
                <c:pt idx="105">
                  <c:v>2.4307999999999999E-3</c:v>
                </c:pt>
                <c:pt idx="106">
                  <c:v>2.4168000000000002E-3</c:v>
                </c:pt>
                <c:pt idx="107">
                  <c:v>2.4030000000000002E-3</c:v>
                </c:pt>
                <c:pt idx="108">
                  <c:v>2.3890999999999999E-3</c:v>
                </c:pt>
                <c:pt idx="109">
                  <c:v>2.3749999999999999E-3</c:v>
                </c:pt>
                <c:pt idx="110">
                  <c:v>2.3610999999999997E-3</c:v>
                </c:pt>
                <c:pt idx="111">
                  <c:v>2.3473000000000001E-3</c:v>
                </c:pt>
                <c:pt idx="112">
                  <c:v>2.3333999999999998E-3</c:v>
                </c:pt>
                <c:pt idx="113">
                  <c:v>2.3194000000000001E-3</c:v>
                </c:pt>
                <c:pt idx="114">
                  <c:v>2.3055999999999997E-3</c:v>
                </c:pt>
                <c:pt idx="115">
                  <c:v>2.2921E-3</c:v>
                </c:pt>
                <c:pt idx="116">
                  <c:v>2.2781999999999998E-3</c:v>
                </c:pt>
                <c:pt idx="117">
                  <c:v>2.2642000000000001E-3</c:v>
                </c:pt>
                <c:pt idx="118">
                  <c:v>2.2504999999999999E-3</c:v>
                </c:pt>
                <c:pt idx="119">
                  <c:v>2.2098999999999999E-3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09-4E47-883C-B0491BBE4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6957680"/>
        <c:axId val="636961616"/>
      </c:lineChart>
      <c:catAx>
        <c:axId val="6369576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961616"/>
        <c:crosses val="autoZero"/>
        <c:auto val="1"/>
        <c:lblAlgn val="ctr"/>
        <c:lblOffset val="100"/>
        <c:noMultiLvlLbl val="0"/>
      </c:catAx>
      <c:valAx>
        <c:axId val="63696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95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: 3ML resets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PRICER_GBP!$X$1</c:f>
              <c:strCache>
                <c:ptCount val="1"/>
                <c:pt idx="0">
                  <c:v>Reset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PRICER_GBP!$X$3:$X$122</c:f>
              <c:numCache>
                <c:formatCode>0.00000%</c:formatCode>
                <c:ptCount val="120"/>
                <c:pt idx="0">
                  <c:v>3.0199999999984081E-3</c:v>
                </c:pt>
                <c:pt idx="1">
                  <c:v>2.7569999999998034E-3</c:v>
                </c:pt>
                <c:pt idx="2">
                  <c:v>2.7849999999997369E-3</c:v>
                </c:pt>
                <c:pt idx="3">
                  <c:v>1.899008141945044E-3</c:v>
                </c:pt>
                <c:pt idx="4">
                  <c:v>1.8553751377814681E-3</c:v>
                </c:pt>
                <c:pt idx="5">
                  <c:v>1.8170538587960635E-3</c:v>
                </c:pt>
                <c:pt idx="6">
                  <c:v>1.8170446888996479E-3</c:v>
                </c:pt>
                <c:pt idx="7">
                  <c:v>1.8231750966987079E-3</c:v>
                </c:pt>
                <c:pt idx="8">
                  <c:v>2.380232077901388E-3</c:v>
                </c:pt>
                <c:pt idx="9">
                  <c:v>2.3802478123632767E-3</c:v>
                </c:pt>
                <c:pt idx="10">
                  <c:v>2.3802320779005002E-3</c:v>
                </c:pt>
                <c:pt idx="11">
                  <c:v>2.3802399451152475E-3</c:v>
                </c:pt>
                <c:pt idx="12">
                  <c:v>3.7060075682644749E-3</c:v>
                </c:pt>
                <c:pt idx="13">
                  <c:v>3.7060266380598119E-3</c:v>
                </c:pt>
                <c:pt idx="14">
                  <c:v>3.7060075682644749E-3</c:v>
                </c:pt>
                <c:pt idx="15">
                  <c:v>3.7060075682644749E-3</c:v>
                </c:pt>
                <c:pt idx="16">
                  <c:v>5.5591130022726518E-3</c:v>
                </c:pt>
                <c:pt idx="17">
                  <c:v>5.5591130022726518E-3</c:v>
                </c:pt>
                <c:pt idx="18">
                  <c:v>5.5590272000633992E-3</c:v>
                </c:pt>
                <c:pt idx="19">
                  <c:v>5.5590701009473184E-3</c:v>
                </c:pt>
                <c:pt idx="20">
                  <c:v>7.4946242317559869E-3</c:v>
                </c:pt>
                <c:pt idx="21">
                  <c:v>7.4946242317559869E-3</c:v>
                </c:pt>
                <c:pt idx="22">
                  <c:v>7.4944683073451994E-3</c:v>
                </c:pt>
                <c:pt idx="23">
                  <c:v>7.4945462690100264E-3</c:v>
                </c:pt>
                <c:pt idx="24">
                  <c:v>8.740368873285536E-3</c:v>
                </c:pt>
                <c:pt idx="25">
                  <c:v>8.7405809245815445E-3</c:v>
                </c:pt>
                <c:pt idx="26">
                  <c:v>8.7399447912653323E-3</c:v>
                </c:pt>
                <c:pt idx="27">
                  <c:v>8.7402628502084578E-3</c:v>
                </c:pt>
                <c:pt idx="28">
                  <c:v>9.6526004409305238E-3</c:v>
                </c:pt>
                <c:pt idx="29">
                  <c:v>9.6523418496696264E-3</c:v>
                </c:pt>
                <c:pt idx="30">
                  <c:v>9.6520832676434392E-3</c:v>
                </c:pt>
                <c:pt idx="31">
                  <c:v>9.652212557502645E-3</c:v>
                </c:pt>
                <c:pt idx="32">
                  <c:v>1.0472544197956483E-2</c:v>
                </c:pt>
                <c:pt idx="33">
                  <c:v>1.0472696390448588E-2</c:v>
                </c:pt>
                <c:pt idx="34">
                  <c:v>1.0472544197956483E-2</c:v>
                </c:pt>
                <c:pt idx="35">
                  <c:v>1.04723920084142E-2</c:v>
                </c:pt>
                <c:pt idx="36">
                  <c:v>1.0908868153551651E-2</c:v>
                </c:pt>
                <c:pt idx="37">
                  <c:v>1.0908868153550792E-2</c:v>
                </c:pt>
                <c:pt idx="38">
                  <c:v>1.090853790196088E-2</c:v>
                </c:pt>
                <c:pt idx="39">
                  <c:v>1.0908703026090356E-2</c:v>
                </c:pt>
                <c:pt idx="40">
                  <c:v>1.1379266421411171E-2</c:v>
                </c:pt>
                <c:pt idx="41">
                  <c:v>1.1379266421411171E-2</c:v>
                </c:pt>
                <c:pt idx="42">
                  <c:v>1.1378907089063082E-2</c:v>
                </c:pt>
                <c:pt idx="43">
                  <c:v>1.1379086753346434E-2</c:v>
                </c:pt>
                <c:pt idx="44">
                  <c:v>1.1379266421411171E-2</c:v>
                </c:pt>
                <c:pt idx="45">
                  <c:v>1.1379266421411171E-2</c:v>
                </c:pt>
                <c:pt idx="46">
                  <c:v>1.1379086753346434E-2</c:v>
                </c:pt>
                <c:pt idx="47">
                  <c:v>1.1379086753346434E-2</c:v>
                </c:pt>
                <c:pt idx="48">
                  <c:v>1.1313106853401799E-2</c:v>
                </c:pt>
                <c:pt idx="49">
                  <c:v>1.1312751692640247E-2</c:v>
                </c:pt>
                <c:pt idx="50">
                  <c:v>1.1312396546741401E-2</c:v>
                </c:pt>
                <c:pt idx="51">
                  <c:v>1.1312751692640247E-2</c:v>
                </c:pt>
                <c:pt idx="52">
                  <c:v>1.1312396546741401E-2</c:v>
                </c:pt>
                <c:pt idx="53">
                  <c:v>1.1312751692640247E-2</c:v>
                </c:pt>
                <c:pt idx="54">
                  <c:v>1.1312396546741401E-2</c:v>
                </c:pt>
                <c:pt idx="55">
                  <c:v>1.1312574117832879E-2</c:v>
                </c:pt>
                <c:pt idx="56">
                  <c:v>1.1312574117832879E-2</c:v>
                </c:pt>
                <c:pt idx="57">
                  <c:v>1.1312751692640247E-2</c:v>
                </c:pt>
                <c:pt idx="58">
                  <c:v>1.1312396546741401E-2</c:v>
                </c:pt>
                <c:pt idx="59">
                  <c:v>1.1312574117832879E-2</c:v>
                </c:pt>
                <c:pt idx="60">
                  <c:v>1.12814388578682E-2</c:v>
                </c:pt>
                <c:pt idx="61">
                  <c:v>1.12814388578682E-2</c:v>
                </c:pt>
                <c:pt idx="62">
                  <c:v>1.1281262264252585E-2</c:v>
                </c:pt>
                <c:pt idx="63">
                  <c:v>1.1281262264251714E-2</c:v>
                </c:pt>
                <c:pt idx="64">
                  <c:v>1.12814388578682E-2</c:v>
                </c:pt>
                <c:pt idx="65">
                  <c:v>1.1281438857867299E-2</c:v>
                </c:pt>
                <c:pt idx="66">
                  <c:v>1.1281085674321279E-2</c:v>
                </c:pt>
                <c:pt idx="67">
                  <c:v>1.1281262264251714E-2</c:v>
                </c:pt>
                <c:pt idx="68">
                  <c:v>1.12814388578682E-2</c:v>
                </c:pt>
                <c:pt idx="69">
                  <c:v>1.1281792056154583E-2</c:v>
                </c:pt>
                <c:pt idx="70">
                  <c:v>1.1280732505513284E-2</c:v>
                </c:pt>
                <c:pt idx="71">
                  <c:v>1.1281262264251714E-2</c:v>
                </c:pt>
                <c:pt idx="72">
                  <c:v>1.1281792056154583E-2</c:v>
                </c:pt>
                <c:pt idx="73">
                  <c:v>1.12814388578682E-2</c:v>
                </c:pt>
                <c:pt idx="74">
                  <c:v>1.1281085674321279E-2</c:v>
                </c:pt>
                <c:pt idx="75">
                  <c:v>1.12814388578682E-2</c:v>
                </c:pt>
                <c:pt idx="76">
                  <c:v>1.1281085674321279E-2</c:v>
                </c:pt>
                <c:pt idx="77">
                  <c:v>1.12814388578682E-2</c:v>
                </c:pt>
                <c:pt idx="78">
                  <c:v>1.1281262264252585E-2</c:v>
                </c:pt>
                <c:pt idx="79">
                  <c:v>1.1281085674321279E-2</c:v>
                </c:pt>
                <c:pt idx="80">
                  <c:v>1.0121368625331065E-2</c:v>
                </c:pt>
                <c:pt idx="81">
                  <c:v>1.0121368625331927E-2</c:v>
                </c:pt>
                <c:pt idx="82">
                  <c:v>1.012108431428692E-2</c:v>
                </c:pt>
                <c:pt idx="83">
                  <c:v>1.012122646847901E-2</c:v>
                </c:pt>
                <c:pt idx="84">
                  <c:v>1.0121368625331065E-2</c:v>
                </c:pt>
                <c:pt idx="85">
                  <c:v>1.0121368625331927E-2</c:v>
                </c:pt>
                <c:pt idx="86">
                  <c:v>1.01210843142878E-2</c:v>
                </c:pt>
                <c:pt idx="87">
                  <c:v>1.012122646847901E-2</c:v>
                </c:pt>
                <c:pt idx="88">
                  <c:v>1.0121368625331065E-2</c:v>
                </c:pt>
                <c:pt idx="89">
                  <c:v>1.0121368625331927E-2</c:v>
                </c:pt>
                <c:pt idx="90">
                  <c:v>1.01210843142878E-2</c:v>
                </c:pt>
                <c:pt idx="91">
                  <c:v>1.0121226468478102E-2</c:v>
                </c:pt>
                <c:pt idx="92">
                  <c:v>1.0121368625331065E-2</c:v>
                </c:pt>
                <c:pt idx="93">
                  <c:v>1.0121652947023276E-2</c:v>
                </c:pt>
                <c:pt idx="94">
                  <c:v>1.012122646847901E-2</c:v>
                </c:pt>
                <c:pt idx="95">
                  <c:v>1.0121368625331065E-2</c:v>
                </c:pt>
                <c:pt idx="96">
                  <c:v>1.01210843142878E-2</c:v>
                </c:pt>
                <c:pt idx="97">
                  <c:v>1.0121368625331065E-2</c:v>
                </c:pt>
                <c:pt idx="98">
                  <c:v>1.01210843142878E-2</c:v>
                </c:pt>
                <c:pt idx="99">
                  <c:v>1.012122646847901E-2</c:v>
                </c:pt>
                <c:pt idx="100">
                  <c:v>9.6219321216735564E-3</c:v>
                </c:pt>
                <c:pt idx="101">
                  <c:v>9.6220606042193464E-3</c:v>
                </c:pt>
                <c:pt idx="102">
                  <c:v>9.6218036414148396E-3</c:v>
                </c:pt>
                <c:pt idx="103">
                  <c:v>9.6219321216735564E-3</c:v>
                </c:pt>
                <c:pt idx="104">
                  <c:v>9.6220606042193464E-3</c:v>
                </c:pt>
                <c:pt idx="105">
                  <c:v>9.6220606042193464E-3</c:v>
                </c:pt>
                <c:pt idx="106">
                  <c:v>9.6218036414148396E-3</c:v>
                </c:pt>
                <c:pt idx="107">
                  <c:v>9.6219321216735564E-3</c:v>
                </c:pt>
                <c:pt idx="108">
                  <c:v>9.6220606042202086E-3</c:v>
                </c:pt>
                <c:pt idx="109">
                  <c:v>9.6220606042193464E-3</c:v>
                </c:pt>
                <c:pt idx="110">
                  <c:v>9.6219321216735564E-3</c:v>
                </c:pt>
                <c:pt idx="111">
                  <c:v>9.6219321216735564E-3</c:v>
                </c:pt>
                <c:pt idx="112">
                  <c:v>9.6220606042193464E-3</c:v>
                </c:pt>
                <c:pt idx="113">
                  <c:v>9.6223175761725958E-3</c:v>
                </c:pt>
                <c:pt idx="114">
                  <c:v>9.6215466877587405E-3</c:v>
                </c:pt>
                <c:pt idx="115">
                  <c:v>9.6219321216735564E-3</c:v>
                </c:pt>
                <c:pt idx="116">
                  <c:v>9.6223175761725958E-3</c:v>
                </c:pt>
                <c:pt idx="117">
                  <c:v>9.6220606042193464E-3</c:v>
                </c:pt>
                <c:pt idx="118">
                  <c:v>9.6218036414157208E-3</c:v>
                </c:pt>
                <c:pt idx="119">
                  <c:v>9.5977481675763136E-3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01-4676-B7F3-3A83167ABAA6}"/>
            </c:ext>
          </c:extLst>
        </c:ser>
        <c:ser>
          <c:idx val="1"/>
          <c:order val="1"/>
          <c:tx>
            <c:strRef>
              <c:f>PRICER_GBP!$AE$1</c:f>
              <c:strCache>
                <c:ptCount val="1"/>
                <c:pt idx="0">
                  <c:v>USD: 3ML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PRICER_GBP!$AE$3:$AE$122</c:f>
              <c:numCache>
                <c:formatCode>0.0000%</c:formatCode>
                <c:ptCount val="120"/>
                <c:pt idx="0">
                  <c:v>3.0200000000000001E-3</c:v>
                </c:pt>
                <c:pt idx="1">
                  <c:v>2.6281E-3</c:v>
                </c:pt>
                <c:pt idx="2">
                  <c:v>2.7339999999999999E-3</c:v>
                </c:pt>
                <c:pt idx="3">
                  <c:v>1.9270000000000001E-3</c:v>
                </c:pt>
                <c:pt idx="4">
                  <c:v>1.7496999999999999E-3</c:v>
                </c:pt>
                <c:pt idx="5">
                  <c:v>1.7412E-3</c:v>
                </c:pt>
                <c:pt idx="6">
                  <c:v>1.9459000000000002E-3</c:v>
                </c:pt>
                <c:pt idx="7">
                  <c:v>1.9970999999999999E-3</c:v>
                </c:pt>
                <c:pt idx="8">
                  <c:v>2.3408999999999999E-3</c:v>
                </c:pt>
                <c:pt idx="9">
                  <c:v>2.3674E-3</c:v>
                </c:pt>
                <c:pt idx="10">
                  <c:v>2.3938000000000002E-3</c:v>
                </c:pt>
                <c:pt idx="11">
                  <c:v>2.4201000000000001E-3</c:v>
                </c:pt>
                <c:pt idx="12">
                  <c:v>3.4394999999999998E-3</c:v>
                </c:pt>
                <c:pt idx="13">
                  <c:v>3.6175000000000001E-3</c:v>
                </c:pt>
                <c:pt idx="14">
                  <c:v>3.7948999999999999E-3</c:v>
                </c:pt>
                <c:pt idx="15">
                  <c:v>3.9709000000000003E-3</c:v>
                </c:pt>
                <c:pt idx="16">
                  <c:v>5.1314000000000004E-3</c:v>
                </c:pt>
                <c:pt idx="17">
                  <c:v>5.4222999999999997E-3</c:v>
                </c:pt>
                <c:pt idx="18">
                  <c:v>5.7088000000000009E-3</c:v>
                </c:pt>
                <c:pt idx="19">
                  <c:v>5.9925999999999998E-3</c:v>
                </c:pt>
                <c:pt idx="20">
                  <c:v>6.9771000000000008E-3</c:v>
                </c:pt>
                <c:pt idx="21">
                  <c:v>7.3273999999999995E-3</c:v>
                </c:pt>
                <c:pt idx="22">
                  <c:v>7.6717999999999995E-3</c:v>
                </c:pt>
                <c:pt idx="23">
                  <c:v>8.0125999999999999E-3</c:v>
                </c:pt>
                <c:pt idx="24">
                  <c:v>8.2462000000000004E-3</c:v>
                </c:pt>
                <c:pt idx="25">
                  <c:v>8.5838000000000008E-3</c:v>
                </c:pt>
                <c:pt idx="26">
                  <c:v>8.9110999999999999E-3</c:v>
                </c:pt>
                <c:pt idx="27">
                  <c:v>9.2318000000000001E-3</c:v>
                </c:pt>
                <c:pt idx="28">
                  <c:v>9.1912999999999995E-3</c:v>
                </c:pt>
                <c:pt idx="29">
                  <c:v>9.4950999999999994E-3</c:v>
                </c:pt>
                <c:pt idx="30">
                  <c:v>9.7902000000000006E-3</c:v>
                </c:pt>
                <c:pt idx="31">
                  <c:v>1.00818E-2</c:v>
                </c:pt>
                <c:pt idx="32">
                  <c:v>1.0072600000000001E-2</c:v>
                </c:pt>
                <c:pt idx="33">
                  <c:v>1.0346200000000002E-2</c:v>
                </c:pt>
                <c:pt idx="34">
                  <c:v>1.0617300000000001E-2</c:v>
                </c:pt>
                <c:pt idx="35">
                  <c:v>1.08833E-2</c:v>
                </c:pt>
                <c:pt idx="36">
                  <c:v>1.0562800000000001E-2</c:v>
                </c:pt>
                <c:pt idx="37">
                  <c:v>1.0800199999999999E-2</c:v>
                </c:pt>
                <c:pt idx="38">
                  <c:v>1.1032599999999998E-2</c:v>
                </c:pt>
                <c:pt idx="39">
                  <c:v>1.1262300000000001E-2</c:v>
                </c:pt>
                <c:pt idx="40">
                  <c:v>1.0976E-2</c:v>
                </c:pt>
                <c:pt idx="41">
                  <c:v>1.11828E-2</c:v>
                </c:pt>
                <c:pt idx="42">
                  <c:v>1.1385300000000001E-2</c:v>
                </c:pt>
                <c:pt idx="43">
                  <c:v>1.15853E-2</c:v>
                </c:pt>
                <c:pt idx="44">
                  <c:v>1.1175200000000001E-2</c:v>
                </c:pt>
                <c:pt idx="45">
                  <c:v>1.1350899999999999E-2</c:v>
                </c:pt>
                <c:pt idx="46">
                  <c:v>1.15239E-2</c:v>
                </c:pt>
                <c:pt idx="47">
                  <c:v>1.1694599999999999E-2</c:v>
                </c:pt>
                <c:pt idx="48">
                  <c:v>1.06073E-2</c:v>
                </c:pt>
                <c:pt idx="49">
                  <c:v>1.07332E-2</c:v>
                </c:pt>
                <c:pt idx="50">
                  <c:v>1.0855300000000002E-2</c:v>
                </c:pt>
                <c:pt idx="51">
                  <c:v>1.0976999999999999E-2</c:v>
                </c:pt>
                <c:pt idx="52">
                  <c:v>1.10969E-2</c:v>
                </c:pt>
                <c:pt idx="53">
                  <c:v>1.1216500000000001E-2</c:v>
                </c:pt>
                <c:pt idx="54">
                  <c:v>1.1334200000000001E-2</c:v>
                </c:pt>
                <c:pt idx="55">
                  <c:v>1.1450700000000001E-2</c:v>
                </c:pt>
                <c:pt idx="56">
                  <c:v>1.15666E-2</c:v>
                </c:pt>
                <c:pt idx="57">
                  <c:v>1.16822E-2</c:v>
                </c:pt>
                <c:pt idx="58">
                  <c:v>1.17955E-2</c:v>
                </c:pt>
                <c:pt idx="59">
                  <c:v>1.19077E-2</c:v>
                </c:pt>
                <c:pt idx="60">
                  <c:v>1.0559600000000001E-2</c:v>
                </c:pt>
                <c:pt idx="61">
                  <c:v>1.06315E-2</c:v>
                </c:pt>
                <c:pt idx="62">
                  <c:v>1.0702100000000001E-2</c:v>
                </c:pt>
                <c:pt idx="63">
                  <c:v>1.0771900000000001E-2</c:v>
                </c:pt>
                <c:pt idx="64">
                  <c:v>1.08416E-2</c:v>
                </c:pt>
                <c:pt idx="65">
                  <c:v>1.0910899999999999E-2</c:v>
                </c:pt>
                <c:pt idx="66">
                  <c:v>1.0978399999999999E-2</c:v>
                </c:pt>
                <c:pt idx="67">
                  <c:v>1.10454E-2</c:v>
                </c:pt>
                <c:pt idx="68">
                  <c:v>1.1112500000000001E-2</c:v>
                </c:pt>
                <c:pt idx="69">
                  <c:v>1.11802E-2</c:v>
                </c:pt>
                <c:pt idx="70">
                  <c:v>1.1244400000000002E-2</c:v>
                </c:pt>
                <c:pt idx="71">
                  <c:v>1.1308499999999999E-2</c:v>
                </c:pt>
                <c:pt idx="72">
                  <c:v>1.13741E-2</c:v>
                </c:pt>
                <c:pt idx="73">
                  <c:v>1.14384E-2</c:v>
                </c:pt>
                <c:pt idx="74">
                  <c:v>1.1500699999999999E-2</c:v>
                </c:pt>
                <c:pt idx="75">
                  <c:v>1.1563200000000001E-2</c:v>
                </c:pt>
                <c:pt idx="76">
                  <c:v>1.1624199999999999E-2</c:v>
                </c:pt>
                <c:pt idx="77">
                  <c:v>1.1685300000000001E-2</c:v>
                </c:pt>
                <c:pt idx="78">
                  <c:v>1.17456E-2</c:v>
                </c:pt>
                <c:pt idx="79">
                  <c:v>1.18046E-2</c:v>
                </c:pt>
                <c:pt idx="80">
                  <c:v>9.8872000000000005E-3</c:v>
                </c:pt>
                <c:pt idx="81">
                  <c:v>9.9080000000000001E-3</c:v>
                </c:pt>
                <c:pt idx="82">
                  <c:v>9.9281000000000005E-3</c:v>
                </c:pt>
                <c:pt idx="83">
                  <c:v>9.9483000000000002E-3</c:v>
                </c:pt>
                <c:pt idx="84">
                  <c:v>9.9684999999999999E-3</c:v>
                </c:pt>
                <c:pt idx="85">
                  <c:v>9.9883999999999997E-3</c:v>
                </c:pt>
                <c:pt idx="86">
                  <c:v>1.00077E-2</c:v>
                </c:pt>
                <c:pt idx="87">
                  <c:v>1.0026999999999999E-2</c:v>
                </c:pt>
                <c:pt idx="88">
                  <c:v>1.0046299999999999E-2</c:v>
                </c:pt>
                <c:pt idx="89">
                  <c:v>1.00654E-2</c:v>
                </c:pt>
                <c:pt idx="90">
                  <c:v>1.00838E-2</c:v>
                </c:pt>
                <c:pt idx="91">
                  <c:v>1.01023E-2</c:v>
                </c:pt>
                <c:pt idx="92">
                  <c:v>1.0120800000000001E-2</c:v>
                </c:pt>
                <c:pt idx="93">
                  <c:v>1.01396E-2</c:v>
                </c:pt>
                <c:pt idx="94">
                  <c:v>1.0157300000000001E-2</c:v>
                </c:pt>
                <c:pt idx="95">
                  <c:v>1.0175099999999999E-2</c:v>
                </c:pt>
                <c:pt idx="96">
                  <c:v>1.0192300000000001E-2</c:v>
                </c:pt>
                <c:pt idx="97">
                  <c:v>1.02098E-2</c:v>
                </c:pt>
                <c:pt idx="98">
                  <c:v>1.0226599999999999E-2</c:v>
                </c:pt>
                <c:pt idx="99">
                  <c:v>1.0243500000000001E-2</c:v>
                </c:pt>
                <c:pt idx="100">
                  <c:v>9.5454000000000008E-3</c:v>
                </c:pt>
                <c:pt idx="101">
                  <c:v>9.551500000000001E-3</c:v>
                </c:pt>
                <c:pt idx="102">
                  <c:v>9.5570999999999989E-3</c:v>
                </c:pt>
                <c:pt idx="103">
                  <c:v>9.5630000000000003E-3</c:v>
                </c:pt>
                <c:pt idx="104">
                  <c:v>9.5687999999999988E-3</c:v>
                </c:pt>
                <c:pt idx="105">
                  <c:v>9.5744000000000003E-3</c:v>
                </c:pt>
                <c:pt idx="106">
                  <c:v>9.5796000000000006E-3</c:v>
                </c:pt>
                <c:pt idx="107">
                  <c:v>9.5849999999999998E-3</c:v>
                </c:pt>
                <c:pt idx="108">
                  <c:v>9.5905000000000001E-3</c:v>
                </c:pt>
                <c:pt idx="109">
                  <c:v>9.5957000000000004E-3</c:v>
                </c:pt>
                <c:pt idx="110">
                  <c:v>9.6007000000000002E-3</c:v>
                </c:pt>
                <c:pt idx="111">
                  <c:v>9.6055999999999989E-3</c:v>
                </c:pt>
                <c:pt idx="112">
                  <c:v>9.6106999999999998E-3</c:v>
                </c:pt>
                <c:pt idx="113">
                  <c:v>9.6159000000000001E-3</c:v>
                </c:pt>
                <c:pt idx="114">
                  <c:v>9.6197999999999995E-3</c:v>
                </c:pt>
                <c:pt idx="115">
                  <c:v>9.6246999999999999E-3</c:v>
                </c:pt>
                <c:pt idx="116">
                  <c:v>9.6296999999999997E-3</c:v>
                </c:pt>
                <c:pt idx="117">
                  <c:v>9.6340000000000002E-3</c:v>
                </c:pt>
                <c:pt idx="118">
                  <c:v>9.6381000000000001E-3</c:v>
                </c:pt>
                <c:pt idx="119">
                  <c:v>9.6425999999999994E-3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01-4676-B7F3-3A83167ABA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6957680"/>
        <c:axId val="636961616"/>
      </c:lineChart>
      <c:catAx>
        <c:axId val="6369576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961616"/>
        <c:crosses val="autoZero"/>
        <c:auto val="1"/>
        <c:lblAlgn val="ctr"/>
        <c:lblOffset val="100"/>
        <c:noMultiLvlLbl val="0"/>
      </c:catAx>
      <c:valAx>
        <c:axId val="63696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95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GBP : Discount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PRICER_GBP!$AJ$1</c:f>
              <c:strCache>
                <c:ptCount val="1"/>
                <c:pt idx="0">
                  <c:v>Excel GBP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PRICER_GBP!$AJ$3:$AJ$122</c:f>
              <c:numCache>
                <c:formatCode>0.000%</c:formatCode>
                <c:ptCount val="120"/>
                <c:pt idx="0">
                  <c:v>-1.4358142877000102E-3</c:v>
                </c:pt>
                <c:pt idx="1">
                  <c:v>-1.8032050737469829E-3</c:v>
                </c:pt>
                <c:pt idx="2">
                  <c:v>-1.5796588105867482E-3</c:v>
                </c:pt>
                <c:pt idx="3">
                  <c:v>-1.5167794426150794E-3</c:v>
                </c:pt>
                <c:pt idx="4">
                  <c:v>-1.5065565605263398E-3</c:v>
                </c:pt>
                <c:pt idx="5">
                  <c:v>-1.6304608359208883E-3</c:v>
                </c:pt>
                <c:pt idx="6">
                  <c:v>-1.6374577249210764E-3</c:v>
                </c:pt>
                <c:pt idx="7">
                  <c:v>-1.6832590370996492E-3</c:v>
                </c:pt>
                <c:pt idx="8">
                  <c:v>-1.6890297297844636E-3</c:v>
                </c:pt>
                <c:pt idx="9">
                  <c:v>-1.6949286600845825E-3</c:v>
                </c:pt>
                <c:pt idx="10">
                  <c:v>-1.700699352769397E-3</c:v>
                </c:pt>
                <c:pt idx="11">
                  <c:v>-1.7065341642618082E-3</c:v>
                </c:pt>
                <c:pt idx="12">
                  <c:v>-1.6694750369405931E-3</c:v>
                </c:pt>
                <c:pt idx="13">
                  <c:v>-1.6320086664618483E-3</c:v>
                </c:pt>
                <c:pt idx="14">
                  <c:v>-1.5949495391405222E-3</c:v>
                </c:pt>
                <c:pt idx="15">
                  <c:v>-1.5578904118190851E-3</c:v>
                </c:pt>
                <c:pt idx="16">
                  <c:v>-1.515949192226862E-3</c:v>
                </c:pt>
                <c:pt idx="17">
                  <c:v>-1.4740079726345279E-3</c:v>
                </c:pt>
                <c:pt idx="18">
                  <c:v>-1.4329785186854016E-3</c:v>
                </c:pt>
                <c:pt idx="19">
                  <c:v>-1.3914931819147824E-3</c:v>
                </c:pt>
                <c:pt idx="20">
                  <c:v>-1.3165946976075871E-3</c:v>
                </c:pt>
                <c:pt idx="21">
                  <c:v>-1.2416962133003917E-3</c:v>
                </c:pt>
                <c:pt idx="22">
                  <c:v>-1.1684259569129107E-3</c:v>
                </c:pt>
                <c:pt idx="23">
                  <c:v>-1.0943415865656281E-3</c:v>
                </c:pt>
                <c:pt idx="24">
                  <c:v>-1.0293293092470401E-3</c:v>
                </c:pt>
                <c:pt idx="25">
                  <c:v>-9.629037215521663E-4</c:v>
                </c:pt>
                <c:pt idx="26">
                  <c:v>-9.0071806498648321E-4</c:v>
                </c:pt>
                <c:pt idx="27">
                  <c:v>-8.3641244285614924E-4</c:v>
                </c:pt>
                <c:pt idx="28">
                  <c:v>-7.7419945763501641E-4</c:v>
                </c:pt>
                <c:pt idx="29">
                  <c:v>-7.133101529502861E-4</c:v>
                </c:pt>
                <c:pt idx="30">
                  <c:v>-6.5374452880229139E-4</c:v>
                </c:pt>
                <c:pt idx="31">
                  <c:v>-5.9351706438592888E-4</c:v>
                </c:pt>
                <c:pt idx="32">
                  <c:v>-5.3458379128445976E-4</c:v>
                </c:pt>
                <c:pt idx="33">
                  <c:v>-4.7500289979707233E-4</c:v>
                </c:pt>
                <c:pt idx="34">
                  <c:v>-4.1606962669560321E-4</c:v>
                </c:pt>
                <c:pt idx="35">
                  <c:v>-3.5778397197971934E-4</c:v>
                </c:pt>
                <c:pt idx="36">
                  <c:v>-3.0609056687247449E-4</c:v>
                </c:pt>
                <c:pt idx="37">
                  <c:v>-2.5439716176534066E-4</c:v>
                </c:pt>
                <c:pt idx="38">
                  <c:v>-2.0382752633452128E-4</c:v>
                </c:pt>
                <c:pt idx="39">
                  <c:v>-1.5269600606537814E-4</c:v>
                </c:pt>
                <c:pt idx="40">
                  <c:v>-1.1971686121514669E-4</c:v>
                </c:pt>
                <c:pt idx="41">
                  <c:v>-8.6737716364693185E-5</c:v>
                </c:pt>
                <c:pt idx="42">
                  <c:v>-5.4475509445706116E-5</c:v>
                </c:pt>
                <c:pt idx="43">
                  <c:v>-2.1854833561318898E-5</c:v>
                </c:pt>
                <c:pt idx="44">
                  <c:v>1.1124311289245625E-5</c:v>
                </c:pt>
                <c:pt idx="45">
                  <c:v>4.4103456139588104E-5</c:v>
                </c:pt>
                <c:pt idx="46">
                  <c:v>7.6724132024308389E-5</c:v>
                </c:pt>
                <c:pt idx="47">
                  <c:v>1.0934480790880663E-4</c:v>
                </c:pt>
                <c:pt idx="48">
                  <c:v>1.2663956563785383E-4</c:v>
                </c:pt>
                <c:pt idx="49">
                  <c:v>1.4356634979839633E-4</c:v>
                </c:pt>
                <c:pt idx="50">
                  <c:v>1.6012516038999003E-4</c:v>
                </c:pt>
                <c:pt idx="51">
                  <c:v>1.7705194455031048E-4</c:v>
                </c:pt>
                <c:pt idx="52">
                  <c:v>1.9361075514212622E-4</c:v>
                </c:pt>
                <c:pt idx="53">
                  <c:v>2.1053753930244667E-4</c:v>
                </c:pt>
                <c:pt idx="54">
                  <c:v>2.2709634989404037E-4</c:v>
                </c:pt>
                <c:pt idx="55">
                  <c:v>2.4383914727010847E-4</c:v>
                </c:pt>
                <c:pt idx="56">
                  <c:v>2.6058194464617657E-4</c:v>
                </c:pt>
                <c:pt idx="57">
                  <c:v>2.7750872880649702E-4</c:v>
                </c:pt>
                <c:pt idx="58">
                  <c:v>2.9406753939831276E-4</c:v>
                </c:pt>
                <c:pt idx="59">
                  <c:v>3.1081033677415881E-4</c:v>
                </c:pt>
                <c:pt idx="60">
                  <c:v>3.0978147561588898E-4</c:v>
                </c:pt>
                <c:pt idx="61">
                  <c:v>3.087526144573971E-4</c:v>
                </c:pt>
                <c:pt idx="62">
                  <c:v>3.0773493657254569E-4</c:v>
                </c:pt>
                <c:pt idx="63">
                  <c:v>3.0671725868769428E-4</c:v>
                </c:pt>
                <c:pt idx="64">
                  <c:v>3.056883975292024E-4</c:v>
                </c:pt>
                <c:pt idx="65">
                  <c:v>3.0465953637093257E-4</c:v>
                </c:pt>
                <c:pt idx="66">
                  <c:v>3.0365304175949959E-4</c:v>
                </c:pt>
                <c:pt idx="67">
                  <c:v>3.0263536387442613E-4</c:v>
                </c:pt>
                <c:pt idx="68">
                  <c:v>3.016065027161563E-4</c:v>
                </c:pt>
                <c:pt idx="69">
                  <c:v>3.0055527501082757E-4</c:v>
                </c:pt>
                <c:pt idx="70">
                  <c:v>2.9957114694623144E-4</c:v>
                </c:pt>
                <c:pt idx="71">
                  <c:v>2.9855346906138003E-4</c:v>
                </c:pt>
                <c:pt idx="72">
                  <c:v>2.975022413560513E-4</c:v>
                </c:pt>
                <c:pt idx="73">
                  <c:v>2.9647338019755942E-4</c:v>
                </c:pt>
                <c:pt idx="74">
                  <c:v>2.9546688558612644E-4</c:v>
                </c:pt>
                <c:pt idx="75">
                  <c:v>2.944380244278566E-4</c:v>
                </c:pt>
                <c:pt idx="76">
                  <c:v>2.9343152981642362E-4</c:v>
                </c:pt>
                <c:pt idx="77">
                  <c:v>2.9240266865793174E-4</c:v>
                </c:pt>
                <c:pt idx="78">
                  <c:v>2.9138499077308033E-4</c:v>
                </c:pt>
                <c:pt idx="79">
                  <c:v>2.9037849616164735E-4</c:v>
                </c:pt>
                <c:pt idx="80">
                  <c:v>2.8346170388804381E-4</c:v>
                </c:pt>
                <c:pt idx="81">
                  <c:v>2.7654491161444028E-4</c:v>
                </c:pt>
                <c:pt idx="82">
                  <c:v>2.6977848439013741E-4</c:v>
                </c:pt>
                <c:pt idx="83">
                  <c:v>2.6293687464140625E-4</c:v>
                </c:pt>
                <c:pt idx="84">
                  <c:v>2.5602008236780271E-4</c:v>
                </c:pt>
                <c:pt idx="85">
                  <c:v>2.4910329009419918E-4</c:v>
                </c:pt>
                <c:pt idx="86">
                  <c:v>2.4233686286989631E-4</c:v>
                </c:pt>
                <c:pt idx="87">
                  <c:v>2.3549525312116515E-4</c:v>
                </c:pt>
                <c:pt idx="88">
                  <c:v>2.2857846084756162E-4</c:v>
                </c:pt>
                <c:pt idx="89">
                  <c:v>2.2166166857395808E-4</c:v>
                </c:pt>
                <c:pt idx="90">
                  <c:v>2.1489524134965521E-4</c:v>
                </c:pt>
                <c:pt idx="91">
                  <c:v>2.0805363160092405E-4</c:v>
                </c:pt>
                <c:pt idx="92">
                  <c:v>2.0113683932732052E-4</c:v>
                </c:pt>
                <c:pt idx="93">
                  <c:v>1.9406968200419428E-4</c:v>
                </c:pt>
                <c:pt idx="94">
                  <c:v>1.8722807225546312E-4</c:v>
                </c:pt>
                <c:pt idx="95">
                  <c:v>1.8031127998185958E-4</c:v>
                </c:pt>
                <c:pt idx="96">
                  <c:v>1.7354485275755671E-4</c:v>
                </c:pt>
                <c:pt idx="97">
                  <c:v>1.6662806048395318E-4</c:v>
                </c:pt>
                <c:pt idx="98">
                  <c:v>1.5986163325987235E-4</c:v>
                </c:pt>
                <c:pt idx="99">
                  <c:v>1.5302002351091915E-4</c:v>
                </c:pt>
                <c:pt idx="100">
                  <c:v>1.5496885918775405E-4</c:v>
                </c:pt>
                <c:pt idx="101">
                  <c:v>1.5693911064129651E-4</c:v>
                </c:pt>
                <c:pt idx="102">
                  <c:v>1.5886653054120181E-4</c:v>
                </c:pt>
                <c:pt idx="103">
                  <c:v>1.6081536621803671E-4</c:v>
                </c:pt>
                <c:pt idx="104">
                  <c:v>1.6278561767157917E-4</c:v>
                </c:pt>
                <c:pt idx="105">
                  <c:v>1.6475586912489959E-4</c:v>
                </c:pt>
                <c:pt idx="106">
                  <c:v>1.6668328902502694E-4</c:v>
                </c:pt>
                <c:pt idx="107">
                  <c:v>1.6863212470186184E-4</c:v>
                </c:pt>
                <c:pt idx="108">
                  <c:v>1.7060237615518226E-4</c:v>
                </c:pt>
                <c:pt idx="109">
                  <c:v>1.7257262760872472E-4</c:v>
                </c:pt>
                <c:pt idx="110">
                  <c:v>1.7452146328555962E-4</c:v>
                </c:pt>
                <c:pt idx="111">
                  <c:v>1.7647029896239452E-4</c:v>
                </c:pt>
                <c:pt idx="112">
                  <c:v>1.7844055041571494E-4</c:v>
                </c:pt>
                <c:pt idx="113">
                  <c:v>1.8045363342245047E-4</c:v>
                </c:pt>
                <c:pt idx="114">
                  <c:v>1.8233822176938475E-4</c:v>
                </c:pt>
                <c:pt idx="115">
                  <c:v>1.842870574459976E-4</c:v>
                </c:pt>
                <c:pt idx="116">
                  <c:v>1.8630014045273313E-4</c:v>
                </c:pt>
                <c:pt idx="117">
                  <c:v>1.8827039190627559E-4</c:v>
                </c:pt>
                <c:pt idx="118">
                  <c:v>1.9019781180640294E-4</c:v>
                </c:pt>
                <c:pt idx="119">
                  <c:v>1.921680632599454E-4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A1-4243-A7AB-F964EBF2ED83}"/>
            </c:ext>
          </c:extLst>
        </c:ser>
        <c:ser>
          <c:idx val="1"/>
          <c:order val="1"/>
          <c:tx>
            <c:strRef>
              <c:f>PRICER_GBP!$AH$1</c:f>
              <c:strCache>
                <c:ptCount val="1"/>
                <c:pt idx="0">
                  <c:v>BBG: GBP_ZC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PRICER_GBP!$AH$3:$AH$122</c:f>
              <c:numCache>
                <c:formatCode>0.000%</c:formatCode>
                <c:ptCount val="120"/>
                <c:pt idx="0">
                  <c:v>-1.4543229356916987E-3</c:v>
                </c:pt>
                <c:pt idx="1">
                  <c:v>-1.7106808277089769E-3</c:v>
                </c:pt>
                <c:pt idx="2">
                  <c:v>-1.5608596470810809E-3</c:v>
                </c:pt>
                <c:pt idx="3">
                  <c:v>-1.4890516537092724E-3</c:v>
                </c:pt>
                <c:pt idx="4">
                  <c:v>-1.5408242780795556E-3</c:v>
                </c:pt>
                <c:pt idx="5">
                  <c:v>-1.5916343919846199E-3</c:v>
                </c:pt>
                <c:pt idx="6">
                  <c:v>-1.6328534473402101E-3</c:v>
                </c:pt>
                <c:pt idx="7">
                  <c:v>-1.6754018150964001E-3</c:v>
                </c:pt>
                <c:pt idx="8">
                  <c:v>-1.6898773982902959E-3</c:v>
                </c:pt>
                <c:pt idx="9">
                  <c:v>-1.705133099312528E-3</c:v>
                </c:pt>
                <c:pt idx="10">
                  <c:v>-1.7202251915174882E-3</c:v>
                </c:pt>
                <c:pt idx="11">
                  <c:v>-1.7354247034688797E-3</c:v>
                </c:pt>
                <c:pt idx="12">
                  <c:v>-1.7148084261248142E-3</c:v>
                </c:pt>
                <c:pt idx="13">
                  <c:v>-1.6938081955044648E-3</c:v>
                </c:pt>
                <c:pt idx="14">
                  <c:v>-1.6731640435782014E-3</c:v>
                </c:pt>
                <c:pt idx="15">
                  <c:v>-1.6521289055576593E-3</c:v>
                </c:pt>
                <c:pt idx="16">
                  <c:v>-1.6046742062337804E-3</c:v>
                </c:pt>
                <c:pt idx="17">
                  <c:v>-1.5564406554926524E-3</c:v>
                </c:pt>
                <c:pt idx="18">
                  <c:v>-1.5092913237120253E-3</c:v>
                </c:pt>
                <c:pt idx="19">
                  <c:v>-1.4616836438764436E-3</c:v>
                </c:pt>
                <c:pt idx="20">
                  <c:v>-1.4087359727847915E-3</c:v>
                </c:pt>
                <c:pt idx="21">
                  <c:v>-1.3561936068468006E-3</c:v>
                </c:pt>
                <c:pt idx="22">
                  <c:v>-1.3047352482171704E-3</c:v>
                </c:pt>
                <c:pt idx="23">
                  <c:v>-1.2528588590176026E-3</c:v>
                </c:pt>
                <c:pt idx="24">
                  <c:v>-1.1966184585187056E-3</c:v>
                </c:pt>
                <c:pt idx="25">
                  <c:v>-1.1389650256988793E-3</c:v>
                </c:pt>
                <c:pt idx="26">
                  <c:v>-1.0850051093234114E-3</c:v>
                </c:pt>
                <c:pt idx="27">
                  <c:v>-1.0292175785546753E-3</c:v>
                </c:pt>
                <c:pt idx="28">
                  <c:v>-9.5014674128102161E-4</c:v>
                </c:pt>
                <c:pt idx="29">
                  <c:v>-8.7216218764962772E-4</c:v>
                </c:pt>
                <c:pt idx="30">
                  <c:v>-7.9587095419453302E-4</c:v>
                </c:pt>
                <c:pt idx="31">
                  <c:v>-7.1886954288746807E-4</c:v>
                </c:pt>
                <c:pt idx="32">
                  <c:v>-6.8103310442058085E-4</c:v>
                </c:pt>
                <c:pt idx="33">
                  <c:v>-6.4393623659642074E-4</c:v>
                </c:pt>
                <c:pt idx="34">
                  <c:v>-6.0725770983505178E-4</c:v>
                </c:pt>
                <c:pt idx="35">
                  <c:v>-5.709283252396391E-4</c:v>
                </c:pt>
                <c:pt idx="36">
                  <c:v>-5.1957784698664078E-4</c:v>
                </c:pt>
                <c:pt idx="37">
                  <c:v>-4.6825214682821859E-4</c:v>
                </c:pt>
                <c:pt idx="38">
                  <c:v>-4.1798547024984867E-4</c:v>
                </c:pt>
                <c:pt idx="39">
                  <c:v>-3.6693756009065215E-4</c:v>
                </c:pt>
                <c:pt idx="40">
                  <c:v>-3.4815425355694263E-4</c:v>
                </c:pt>
                <c:pt idx="41">
                  <c:v>-3.2568963041912369E-4</c:v>
                </c:pt>
                <c:pt idx="42">
                  <c:v>-3.0415566423880325E-4</c:v>
                </c:pt>
                <c:pt idx="43">
                  <c:v>-2.8262062370587593E-4</c:v>
                </c:pt>
                <c:pt idx="44">
                  <c:v>-2.6127450156321341E-4</c:v>
                </c:pt>
                <c:pt idx="45">
                  <c:v>-2.4026234299112659E-4</c:v>
                </c:pt>
                <c:pt idx="46">
                  <c:v>-2.1986442221633151E-4</c:v>
                </c:pt>
                <c:pt idx="47">
                  <c:v>-1.9990078359188868E-4</c:v>
                </c:pt>
                <c:pt idx="48">
                  <c:v>-1.8134688672943877E-4</c:v>
                </c:pt>
                <c:pt idx="49">
                  <c:v>-1.6464683674222158E-4</c:v>
                </c:pt>
                <c:pt idx="50">
                  <c:v>-1.4866745195951658E-4</c:v>
                </c:pt>
                <c:pt idx="51">
                  <c:v>-1.3255462434214049E-4</c:v>
                </c:pt>
                <c:pt idx="52">
                  <c:v>-1.1702557415560477E-4</c:v>
                </c:pt>
                <c:pt idx="53">
                  <c:v>-1.0150945202869188E-4</c:v>
                </c:pt>
                <c:pt idx="54">
                  <c:v>-8.6593325892780904E-5</c:v>
                </c:pt>
                <c:pt idx="55">
                  <c:v>-7.1834042463581049E-5</c:v>
                </c:pt>
                <c:pt idx="56">
                  <c:v>-5.7380883254909421E-5</c:v>
                </c:pt>
                <c:pt idx="57">
                  <c:v>-4.30060426294121E-5</c:v>
                </c:pt>
                <c:pt idx="58">
                  <c:v>-2.9330425687201789E-5</c:v>
                </c:pt>
                <c:pt idx="59">
                  <c:v>-1.5770162918427033E-5</c:v>
                </c:pt>
                <c:pt idx="60">
                  <c:v>-1.9580324948753614E-5</c:v>
                </c:pt>
                <c:pt idx="61">
                  <c:v>-2.4346860572510565E-5</c:v>
                </c:pt>
                <c:pt idx="62">
                  <c:v>-2.9340855728809956E-5</c:v>
                </c:pt>
                <c:pt idx="63">
                  <c:v>-3.4486669706068618E-5</c:v>
                </c:pt>
                <c:pt idx="64">
                  <c:v>-3.9891741474784581E-5</c:v>
                </c:pt>
                <c:pt idx="65">
                  <c:v>-4.554893986374875E-5</c:v>
                </c:pt>
                <c:pt idx="66">
                  <c:v>-5.1287212126882586E-5</c:v>
                </c:pt>
                <c:pt idx="67">
                  <c:v>-5.7312587594671172E-5</c:v>
                </c:pt>
                <c:pt idx="68">
                  <c:v>-6.3552525269572335E-5</c:v>
                </c:pt>
                <c:pt idx="69">
                  <c:v>-7.0208619280531792E-5</c:v>
                </c:pt>
                <c:pt idx="70">
                  <c:v>-7.6686328324804265E-5</c:v>
                </c:pt>
                <c:pt idx="71">
                  <c:v>-8.3553052534490746E-5</c:v>
                </c:pt>
                <c:pt idx="72">
                  <c:v>-9.0891117032421143E-5</c:v>
                </c:pt>
                <c:pt idx="73">
                  <c:v>-9.831854475306212E-5</c:v>
                </c:pt>
                <c:pt idx="74">
                  <c:v>-1.0578566558383518E-4</c:v>
                </c:pt>
                <c:pt idx="75">
                  <c:v>-1.1369765902002893E-4</c:v>
                </c:pt>
                <c:pt idx="76">
                  <c:v>-1.2163976815715571E-4</c:v>
                </c:pt>
                <c:pt idx="77">
                  <c:v>-1.2999823220605222E-4</c:v>
                </c:pt>
                <c:pt idx="78">
                  <c:v>-1.3850897373601789E-4</c:v>
                </c:pt>
                <c:pt idx="79">
                  <c:v>-1.4716958142635406E-4</c:v>
                </c:pt>
                <c:pt idx="80">
                  <c:v>-1.4388378787166811E-4</c:v>
                </c:pt>
                <c:pt idx="81">
                  <c:v>-1.4139751431685443E-4</c:v>
                </c:pt>
                <c:pt idx="82">
                  <c:v>-1.3900823928492123E-4</c:v>
                </c:pt>
                <c:pt idx="83">
                  <c:v>-1.3670400221355017E-4</c:v>
                </c:pt>
                <c:pt idx="84">
                  <c:v>-1.3439022644501364E-4</c:v>
                </c:pt>
                <c:pt idx="85">
                  <c:v>-1.3217633986506439E-4</c:v>
                </c:pt>
                <c:pt idx="86">
                  <c:v>-1.3009161703503302E-4</c:v>
                </c:pt>
                <c:pt idx="87">
                  <c:v>-1.2803765427660263E-4</c:v>
                </c:pt>
                <c:pt idx="88">
                  <c:v>-1.2601417654878322E-4</c:v>
                </c:pt>
                <c:pt idx="89">
                  <c:v>-1.2407965904615015E-4</c:v>
                </c:pt>
                <c:pt idx="90">
                  <c:v>-1.222173698439688E-4</c:v>
                </c:pt>
                <c:pt idx="91">
                  <c:v>-1.2046611369198601E-4</c:v>
                </c:pt>
                <c:pt idx="92">
                  <c:v>-1.1869613512172084E-4</c:v>
                </c:pt>
                <c:pt idx="93">
                  <c:v>-1.1697865168580623E-4</c:v>
                </c:pt>
                <c:pt idx="94">
                  <c:v>-1.1542095935201946E-4</c:v>
                </c:pt>
                <c:pt idx="95">
                  <c:v>-1.1388260784339632E-4</c:v>
                </c:pt>
                <c:pt idx="96">
                  <c:v>-1.1244208389316057E-4</c:v>
                </c:pt>
                <c:pt idx="97">
                  <c:v>-1.1104582713361566E-4</c:v>
                </c:pt>
                <c:pt idx="98">
                  <c:v>-1.0974194271029525E-4</c:v>
                </c:pt>
                <c:pt idx="99">
                  <c:v>-1.0849119175226907E-4</c:v>
                </c:pt>
                <c:pt idx="100">
                  <c:v>-1.1535993094047292E-4</c:v>
                </c:pt>
                <c:pt idx="101">
                  <c:v>-1.2261898724252873E-4</c:v>
                </c:pt>
                <c:pt idx="102">
                  <c:v>-1.2976178553114615E-4</c:v>
                </c:pt>
                <c:pt idx="103">
                  <c:v>-1.3701731682580487E-4</c:v>
                </c:pt>
                <c:pt idx="104">
                  <c:v>-1.4437992192095628E-4</c:v>
                </c:pt>
                <c:pt idx="105">
                  <c:v>-1.5178570325302676E-4</c:v>
                </c:pt>
                <c:pt idx="106">
                  <c:v>-1.5908248966844951E-4</c:v>
                </c:pt>
                <c:pt idx="107">
                  <c:v>-1.6651781026721935E-4</c:v>
                </c:pt>
                <c:pt idx="108">
                  <c:v>-1.7404941979948241E-4</c:v>
                </c:pt>
                <c:pt idx="109">
                  <c:v>-1.8161901548863213E-4</c:v>
                </c:pt>
                <c:pt idx="110">
                  <c:v>-1.8913812848508904E-4</c:v>
                </c:pt>
                <c:pt idx="111">
                  <c:v>-1.9669603011995829E-4</c:v>
                </c:pt>
                <c:pt idx="112">
                  <c:v>-2.0437578956866709E-4</c:v>
                </c:pt>
                <c:pt idx="113">
                  <c:v>-2.122887775242166E-4</c:v>
                </c:pt>
                <c:pt idx="114">
                  <c:v>-2.1970633114221094E-4</c:v>
                </c:pt>
                <c:pt idx="115">
                  <c:v>-2.2744011835607036E-4</c:v>
                </c:pt>
                <c:pt idx="116">
                  <c:v>-2.3547511322552506E-4</c:v>
                </c:pt>
                <c:pt idx="117">
                  <c:v>-2.4334580704910014E-4</c:v>
                </c:pt>
                <c:pt idx="118">
                  <c:v>-2.5112651253333951E-4</c:v>
                </c:pt>
                <c:pt idx="119">
                  <c:v>-2.590876455309532E-4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A1-4243-A7AB-F964EBF2ED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6957680"/>
        <c:axId val="636961616"/>
      </c:lineChart>
      <c:catAx>
        <c:axId val="6369576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961616"/>
        <c:crosses val="autoZero"/>
        <c:auto val="1"/>
        <c:lblAlgn val="ctr"/>
        <c:lblOffset val="100"/>
        <c:noMultiLvlLbl val="0"/>
      </c:catAx>
      <c:valAx>
        <c:axId val="63696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95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: Discount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PRICER_GBP!$AK$1</c:f>
              <c:strCache>
                <c:ptCount val="1"/>
                <c:pt idx="0">
                  <c:v>QL: USD_ZC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PRICER_GBP!$AK$3:$AK$122</c:f>
              <c:numCache>
                <c:formatCode>0.000%</c:formatCode>
                <c:ptCount val="120"/>
                <c:pt idx="0">
                  <c:v>6.201430969081656E-4</c:v>
                </c:pt>
                <c:pt idx="1">
                  <c:v>5.1006285714461086E-4</c:v>
                </c:pt>
                <c:pt idx="2">
                  <c:v>3.8293848417492171E-4</c:v>
                </c:pt>
                <c:pt idx="3">
                  <c:v>2.699994937973571E-4</c:v>
                </c:pt>
                <c:pt idx="4">
                  <c:v>1.4761571860000267E-4</c:v>
                </c:pt>
                <c:pt idx="5">
                  <c:v>6.8277711148700959E-5</c:v>
                </c:pt>
                <c:pt idx="6">
                  <c:v>1.2705032066406829E-5</c:v>
                </c:pt>
                <c:pt idx="7">
                  <c:v>-2.9995465610221927E-5</c:v>
                </c:pt>
                <c:pt idx="8">
                  <c:v>-2.0091757129359067E-5</c:v>
                </c:pt>
                <c:pt idx="9">
                  <c:v>-1.1981587117682047E-5</c:v>
                </c:pt>
                <c:pt idx="10">
                  <c:v>-5.4844566780287707E-6</c:v>
                </c:pt>
                <c:pt idx="11">
                  <c:v>0</c:v>
                </c:pt>
                <c:pt idx="12">
                  <c:v>1.0129931962143957E-4</c:v>
                </c:pt>
                <c:pt idx="13">
                  <c:v>1.8906687956299351E-4</c:v>
                </c:pt>
                <c:pt idx="14">
                  <c:v>2.6429030879637772E-4</c:v>
                </c:pt>
                <c:pt idx="15">
                  <c:v>3.3014763337280151E-4</c:v>
                </c:pt>
                <c:pt idx="16">
                  <c:v>4.9642832838103779E-4</c:v>
                </c:pt>
                <c:pt idx="17">
                  <c:v>6.4413302075849721E-4</c:v>
                </c:pt>
                <c:pt idx="18">
                  <c:v>7.7348738193361299E-4</c:v>
                </c:pt>
                <c:pt idx="19">
                  <c:v>8.9132900734467668E-4</c:v>
                </c:pt>
                <c:pt idx="20">
                  <c:v>1.0996296308332099E-3</c:v>
                </c:pt>
                <c:pt idx="21">
                  <c:v>1.2888995178421681E-3</c:v>
                </c:pt>
                <c:pt idx="22">
                  <c:v>1.4580383162574595E-3</c:v>
                </c:pt>
                <c:pt idx="23">
                  <c:v>1.614954053942963E-3</c:v>
                </c:pt>
                <c:pt idx="24">
                  <c:v>1.8084549798325078E-3</c:v>
                </c:pt>
                <c:pt idx="25">
                  <c:v>1.9907260403440041E-3</c:v>
                </c:pt>
                <c:pt idx="26">
                  <c:v>2.1487908831612224E-3</c:v>
                </c:pt>
                <c:pt idx="27">
                  <c:v>2.3008209646375732E-3</c:v>
                </c:pt>
                <c:pt idx="28">
                  <c:v>2.4781153881121565E-3</c:v>
                </c:pt>
                <c:pt idx="29">
                  <c:v>2.6398942946981308E-3</c:v>
                </c:pt>
                <c:pt idx="30">
                  <c:v>2.7880083655322796E-3</c:v>
                </c:pt>
                <c:pt idx="31">
                  <c:v>2.9285148395985505E-3</c:v>
                </c:pt>
                <c:pt idx="32">
                  <c:v>3.0892377518725311E-3</c:v>
                </c:pt>
                <c:pt idx="33">
                  <c:v>3.2421771911217423E-3</c:v>
                </c:pt>
                <c:pt idx="34">
                  <c:v>3.3848159814413581E-3</c:v>
                </c:pt>
                <c:pt idx="35">
                  <c:v>3.5181374944326382E-3</c:v>
                </c:pt>
                <c:pt idx="36">
                  <c:v>3.6570909745987645E-3</c:v>
                </c:pt>
                <c:pt idx="37">
                  <c:v>3.7886961765585259E-3</c:v>
                </c:pt>
                <c:pt idx="38">
                  <c:v>3.9108758210337768E-3</c:v>
                </c:pt>
                <c:pt idx="39">
                  <c:v>4.0283042937385716E-3</c:v>
                </c:pt>
                <c:pt idx="40">
                  <c:v>4.1506280495968717E-3</c:v>
                </c:pt>
                <c:pt idx="41">
                  <c:v>4.2670981947943165E-3</c:v>
                </c:pt>
                <c:pt idx="42">
                  <c:v>4.3757666577868282E-3</c:v>
                </c:pt>
                <c:pt idx="43">
                  <c:v>4.4807028632181112E-3</c:v>
                </c:pt>
                <c:pt idx="44">
                  <c:v>4.582077787978811E-3</c:v>
                </c:pt>
                <c:pt idx="45">
                  <c:v>4.6790221514008135E-3</c:v>
                </c:pt>
                <c:pt idx="46">
                  <c:v>4.7708328628965901E-3</c:v>
                </c:pt>
                <c:pt idx="47">
                  <c:v>4.8588390945520921E-3</c:v>
                </c:pt>
                <c:pt idx="48">
                  <c:v>4.9465356053866039E-3</c:v>
                </c:pt>
                <c:pt idx="49">
                  <c:v>5.0288791092216734E-3</c:v>
                </c:pt>
                <c:pt idx="50">
                  <c:v>5.1062919359630143E-3</c:v>
                </c:pt>
                <c:pt idx="51">
                  <c:v>5.1823994504105464E-3</c:v>
                </c:pt>
                <c:pt idx="52">
                  <c:v>5.2540586198914774E-3</c:v>
                </c:pt>
                <c:pt idx="53">
                  <c:v>5.3246126332737731E-3</c:v>
                </c:pt>
                <c:pt idx="54">
                  <c:v>5.3911365663825705E-3</c:v>
                </c:pt>
                <c:pt idx="55">
                  <c:v>5.4560232496314587E-3</c:v>
                </c:pt>
                <c:pt idx="56">
                  <c:v>5.5186450511741647E-3</c:v>
                </c:pt>
                <c:pt idx="57">
                  <c:v>5.5797715424330541E-3</c:v>
                </c:pt>
                <c:pt idx="58">
                  <c:v>5.6375523470142408E-3</c:v>
                </c:pt>
                <c:pt idx="59">
                  <c:v>5.6940480072777966E-3</c:v>
                </c:pt>
                <c:pt idx="60">
                  <c:v>5.7523101288436962E-3</c:v>
                </c:pt>
                <c:pt idx="61">
                  <c:v>5.8086820983149767E-3</c:v>
                </c:pt>
                <c:pt idx="62">
                  <c:v>5.8626706180746613E-3</c:v>
                </c:pt>
                <c:pt idx="63">
                  <c:v>5.9149805344738127E-3</c:v>
                </c:pt>
                <c:pt idx="64">
                  <c:v>5.9662375481428498E-3</c:v>
                </c:pt>
                <c:pt idx="65">
                  <c:v>6.0159324748962906E-3</c:v>
                </c:pt>
                <c:pt idx="66">
                  <c:v>6.0631031470661512E-3</c:v>
                </c:pt>
                <c:pt idx="67">
                  <c:v>6.1094097271150449E-3</c:v>
                </c:pt>
                <c:pt idx="68">
                  <c:v>6.1548675823253074E-3</c:v>
                </c:pt>
                <c:pt idx="69">
                  <c:v>6.1999647868535845E-3</c:v>
                </c:pt>
                <c:pt idx="70">
                  <c:v>6.2409999804382554E-3</c:v>
                </c:pt>
                <c:pt idx="71">
                  <c:v>6.2822803730868682E-3</c:v>
                </c:pt>
                <c:pt idx="72">
                  <c:v>6.3237403032223582E-3</c:v>
                </c:pt>
                <c:pt idx="73">
                  <c:v>6.3632032039731001E-3</c:v>
                </c:pt>
                <c:pt idx="74">
                  <c:v>6.4007839442778991E-3</c:v>
                </c:pt>
                <c:pt idx="75">
                  <c:v>6.4381940483213551E-3</c:v>
                </c:pt>
                <c:pt idx="76">
                  <c:v>6.4738449953651855E-3</c:v>
                </c:pt>
                <c:pt idx="77">
                  <c:v>6.5093584107620561E-3</c:v>
                </c:pt>
                <c:pt idx="78">
                  <c:v>6.5435960318473985E-3</c:v>
                </c:pt>
                <c:pt idx="79">
                  <c:v>6.576619516588611E-3</c:v>
                </c:pt>
                <c:pt idx="80">
                  <c:v>6.5900263288747318E-3</c:v>
                </c:pt>
                <c:pt idx="81">
                  <c:v>6.6031039162917082E-3</c:v>
                </c:pt>
                <c:pt idx="82">
                  <c:v>6.615590152320161E-3</c:v>
                </c:pt>
                <c:pt idx="83">
                  <c:v>6.6279173466519126E-3</c:v>
                </c:pt>
                <c:pt idx="84">
                  <c:v>6.6400863281386169E-3</c:v>
                </c:pt>
                <c:pt idx="85">
                  <c:v>6.6519703621485959E-3</c:v>
                </c:pt>
                <c:pt idx="86">
                  <c:v>6.6633298299514365E-3</c:v>
                </c:pt>
                <c:pt idx="87">
                  <c:v>6.6745569083617173E-3</c:v>
                </c:pt>
                <c:pt idx="88">
                  <c:v>6.6856519000593195E-3</c:v>
                </c:pt>
                <c:pt idx="89">
                  <c:v>6.6964986247013414E-3</c:v>
                </c:pt>
                <c:pt idx="90">
                  <c:v>6.7068772390928011E-3</c:v>
                </c:pt>
                <c:pt idx="91">
                  <c:v>6.7171451574576935E-3</c:v>
                </c:pt>
                <c:pt idx="92">
                  <c:v>6.7273023110872021E-3</c:v>
                </c:pt>
                <c:pt idx="93">
                  <c:v>6.7374555552555115E-3</c:v>
                </c:pt>
                <c:pt idx="94">
                  <c:v>6.7470752883411755E-3</c:v>
                </c:pt>
                <c:pt idx="95">
                  <c:v>6.7565978632995183E-3</c:v>
                </c:pt>
                <c:pt idx="96">
                  <c:v>6.7657221306016702E-3</c:v>
                </c:pt>
                <c:pt idx="97">
                  <c:v>6.7748595965062552E-3</c:v>
                </c:pt>
                <c:pt idx="98">
                  <c:v>6.7836185565257612E-3</c:v>
                </c:pt>
                <c:pt idx="99">
                  <c:v>6.792299378356903E-3</c:v>
                </c:pt>
                <c:pt idx="100">
                  <c:v>6.7977300885482261E-3</c:v>
                </c:pt>
                <c:pt idx="101">
                  <c:v>6.8031126430769806E-3</c:v>
                </c:pt>
                <c:pt idx="102">
                  <c:v>6.8082763169303728E-3</c:v>
                </c:pt>
                <c:pt idx="103">
                  <c:v>6.8133978744917556E-3</c:v>
                </c:pt>
                <c:pt idx="104">
                  <c:v>6.8184769125572142E-3</c:v>
                </c:pt>
                <c:pt idx="105">
                  <c:v>6.8234594318201669E-3</c:v>
                </c:pt>
                <c:pt idx="106">
                  <c:v>6.8282428597656875E-3</c:v>
                </c:pt>
                <c:pt idx="107">
                  <c:v>6.832990683350415E-3</c:v>
                </c:pt>
                <c:pt idx="108">
                  <c:v>6.8377024482038085E-3</c:v>
                </c:pt>
                <c:pt idx="109">
                  <c:v>6.8423279264182568E-3</c:v>
                </c:pt>
                <c:pt idx="110">
                  <c:v>6.8468205452529851E-3</c:v>
                </c:pt>
                <c:pt idx="111">
                  <c:v>6.8512332328221071E-3</c:v>
                </c:pt>
                <c:pt idx="112">
                  <c:v>6.8556153148260357E-3</c:v>
                </c:pt>
                <c:pt idx="113">
                  <c:v>6.8600127030364888E-3</c:v>
                </c:pt>
                <c:pt idx="114">
                  <c:v>6.8640580744490087E-3</c:v>
                </c:pt>
                <c:pt idx="115">
                  <c:v>6.8681706773445761E-3</c:v>
                </c:pt>
                <c:pt idx="116">
                  <c:v>6.8723453316101857E-3</c:v>
                </c:pt>
                <c:pt idx="117">
                  <c:v>6.8763606690385171E-3</c:v>
                </c:pt>
                <c:pt idx="118">
                  <c:v>6.8802229509321577E-3</c:v>
                </c:pt>
                <c:pt idx="119">
                  <c:v>6.8841055145574259E-3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9F-4C3D-8E58-9BA50E8841C9}"/>
            </c:ext>
          </c:extLst>
        </c:ser>
        <c:ser>
          <c:idx val="1"/>
          <c:order val="1"/>
          <c:tx>
            <c:strRef>
              <c:f>PRICER_GBP!$AI$1</c:f>
              <c:strCache>
                <c:ptCount val="1"/>
                <c:pt idx="0">
                  <c:v>BBG: USD_ZC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PRICER_GBP!$AI$3:$AI$122</c:f>
              <c:numCache>
                <c:formatCode>0.000%</c:formatCode>
                <c:ptCount val="120"/>
                <c:pt idx="0">
                  <c:v>6.694116079679624E-4</c:v>
                </c:pt>
                <c:pt idx="1">
                  <c:v>6.118966908739143E-4</c:v>
                </c:pt>
                <c:pt idx="2">
                  <c:v>4.3138785714957883E-4</c:v>
                </c:pt>
                <c:pt idx="3">
                  <c:v>3.2262532391191812E-4</c:v>
                </c:pt>
                <c:pt idx="4">
                  <c:v>2.2750984360175863E-4</c:v>
                </c:pt>
                <c:pt idx="5">
                  <c:v>1.3592173851906253E-4</c:v>
                </c:pt>
                <c:pt idx="6">
                  <c:v>8.2567979532877089E-5</c:v>
                </c:pt>
                <c:pt idx="7">
                  <c:v>2.848690716761304E-5</c:v>
                </c:pt>
                <c:pt idx="8">
                  <c:v>1.3997891801897921E-5</c:v>
                </c:pt>
                <c:pt idx="9">
                  <c:v>-3.9344234892269014E-7</c:v>
                </c:pt>
                <c:pt idx="10">
                  <c:v>-1.4327969003136154E-5</c:v>
                </c:pt>
                <c:pt idx="11">
                  <c:v>-2.8246561638911594E-5</c:v>
                </c:pt>
                <c:pt idx="12">
                  <c:v>3.4273795920469752E-5</c:v>
                </c:pt>
                <c:pt idx="13">
                  <c:v>1.0022614653903972E-4</c:v>
                </c:pt>
                <c:pt idx="14">
                  <c:v>1.6535034423159622E-4</c:v>
                </c:pt>
                <c:pt idx="15">
                  <c:v>2.3052448500049394E-4</c:v>
                </c:pt>
                <c:pt idx="16">
                  <c:v>3.7776456593308083E-4</c:v>
                </c:pt>
                <c:pt idx="17">
                  <c:v>5.2775343905442362E-4</c:v>
                </c:pt>
                <c:pt idx="18">
                  <c:v>6.7421979017212585E-4</c:v>
                </c:pt>
                <c:pt idx="19">
                  <c:v>8.222018282395549E-4</c:v>
                </c:pt>
                <c:pt idx="20">
                  <c:v>9.8074186952845643E-4</c:v>
                </c:pt>
                <c:pt idx="21">
                  <c:v>1.1394254394352377E-3</c:v>
                </c:pt>
                <c:pt idx="22">
                  <c:v>1.2943332181645228E-3</c:v>
                </c:pt>
                <c:pt idx="23">
                  <c:v>1.4510457296261769E-3</c:v>
                </c:pt>
                <c:pt idx="24">
                  <c:v>1.6152639385933476E-3</c:v>
                </c:pt>
                <c:pt idx="25">
                  <c:v>1.7830975204524702E-3</c:v>
                </c:pt>
                <c:pt idx="26">
                  <c:v>1.9399889412310412E-3</c:v>
                </c:pt>
                <c:pt idx="27">
                  <c:v>2.1020065040040503E-3</c:v>
                </c:pt>
                <c:pt idx="28">
                  <c:v>2.279655008173842E-3</c:v>
                </c:pt>
                <c:pt idx="29">
                  <c:v>2.4538353473690933E-3</c:v>
                </c:pt>
                <c:pt idx="30">
                  <c:v>2.6237320213551296E-3</c:v>
                </c:pt>
                <c:pt idx="31">
                  <c:v>2.79521061180521E-3</c:v>
                </c:pt>
                <c:pt idx="32">
                  <c:v>2.9269086135486067E-3</c:v>
                </c:pt>
                <c:pt idx="33">
                  <c:v>3.0584150073189598E-3</c:v>
                </c:pt>
                <c:pt idx="34">
                  <c:v>3.1880664857719676E-3</c:v>
                </c:pt>
                <c:pt idx="35">
                  <c:v>3.3160485514553972E-3</c:v>
                </c:pt>
                <c:pt idx="36">
                  <c:v>3.4450929569105337E-3</c:v>
                </c:pt>
                <c:pt idx="37">
                  <c:v>3.5737842830387834E-3</c:v>
                </c:pt>
                <c:pt idx="38">
                  <c:v>3.6993267641260985E-3</c:v>
                </c:pt>
                <c:pt idx="39">
                  <c:v>3.8258105662107855E-3</c:v>
                </c:pt>
                <c:pt idx="40">
                  <c:v>3.9197338231375944E-3</c:v>
                </c:pt>
                <c:pt idx="41">
                  <c:v>4.0121735456792873E-3</c:v>
                </c:pt>
                <c:pt idx="42">
                  <c:v>4.1024572485444111E-3</c:v>
                </c:pt>
                <c:pt idx="43">
                  <c:v>4.1933858723062212E-3</c:v>
                </c:pt>
                <c:pt idx="44">
                  <c:v>4.2850693783031968E-3</c:v>
                </c:pt>
                <c:pt idx="45">
                  <c:v>4.3764805525026151E-3</c:v>
                </c:pt>
                <c:pt idx="46">
                  <c:v>4.4665710710136697E-3</c:v>
                </c:pt>
                <c:pt idx="47">
                  <c:v>4.5563709011584574E-3</c:v>
                </c:pt>
                <c:pt idx="48">
                  <c:v>4.6269697827994172E-3</c:v>
                </c:pt>
                <c:pt idx="49">
                  <c:v>4.6946301144328295E-3</c:v>
                </c:pt>
                <c:pt idx="50">
                  <c:v>4.7606728333295933E-3</c:v>
                </c:pt>
                <c:pt idx="51">
                  <c:v>4.8279284442906967E-3</c:v>
                </c:pt>
                <c:pt idx="52">
                  <c:v>4.8934724705576027E-3</c:v>
                </c:pt>
                <c:pt idx="53">
                  <c:v>4.9602684774041617E-3</c:v>
                </c:pt>
                <c:pt idx="54">
                  <c:v>5.0254197555863467E-3</c:v>
                </c:pt>
                <c:pt idx="55">
                  <c:v>5.0910310882359422E-3</c:v>
                </c:pt>
                <c:pt idx="56">
                  <c:v>5.1564851053700345E-3</c:v>
                </c:pt>
                <c:pt idx="57">
                  <c:v>5.2223639556101542E-3</c:v>
                </c:pt>
                <c:pt idx="58">
                  <c:v>5.2865701493625128E-3</c:v>
                </c:pt>
                <c:pt idx="59">
                  <c:v>5.3512532816077929E-3</c:v>
                </c:pt>
                <c:pt idx="60">
                  <c:v>5.391657749770129E-3</c:v>
                </c:pt>
                <c:pt idx="61">
                  <c:v>5.4310032925106722E-3</c:v>
                </c:pt>
                <c:pt idx="62">
                  <c:v>5.4698143920677289E-3</c:v>
                </c:pt>
                <c:pt idx="63">
                  <c:v>5.5084756283643177E-3</c:v>
                </c:pt>
                <c:pt idx="64">
                  <c:v>5.5474656227409991E-3</c:v>
                </c:pt>
                <c:pt idx="65">
                  <c:v>5.5862433349140872E-3</c:v>
                </c:pt>
                <c:pt idx="66">
                  <c:v>5.6241291548446704E-3</c:v>
                </c:pt>
                <c:pt idx="67">
                  <c:v>5.6622374272610188E-3</c:v>
                </c:pt>
                <c:pt idx="68">
                  <c:v>5.7006806058599313E-3</c:v>
                </c:pt>
                <c:pt idx="69">
                  <c:v>5.7397938770296086E-3</c:v>
                </c:pt>
                <c:pt idx="70">
                  <c:v>5.7762777172047919E-3</c:v>
                </c:pt>
                <c:pt idx="71">
                  <c:v>5.8138278450485803E-3</c:v>
                </c:pt>
                <c:pt idx="72">
                  <c:v>5.8525003936360509E-3</c:v>
                </c:pt>
                <c:pt idx="73">
                  <c:v>5.8902586540268143E-3</c:v>
                </c:pt>
                <c:pt idx="74">
                  <c:v>5.9269841008011692E-3</c:v>
                </c:pt>
                <c:pt idx="75">
                  <c:v>5.9644391360353932E-3</c:v>
                </c:pt>
                <c:pt idx="76">
                  <c:v>6.0009156859541779E-3</c:v>
                </c:pt>
                <c:pt idx="77">
                  <c:v>6.0380525162695431E-3</c:v>
                </c:pt>
                <c:pt idx="78">
                  <c:v>6.0746648871983222E-3</c:v>
                </c:pt>
                <c:pt idx="79">
                  <c:v>6.1107279227827771E-3</c:v>
                </c:pt>
                <c:pt idx="80">
                  <c:v>6.1243391283247739E-3</c:v>
                </c:pt>
                <c:pt idx="81">
                  <c:v>6.137065123763108E-3</c:v>
                </c:pt>
                <c:pt idx="82">
                  <c:v>6.1495292838389393E-3</c:v>
                </c:pt>
                <c:pt idx="83">
                  <c:v>6.1620157872090964E-3</c:v>
                </c:pt>
                <c:pt idx="84">
                  <c:v>6.1746313707475853E-3</c:v>
                </c:pt>
                <c:pt idx="85">
                  <c:v>6.1872135549982943E-3</c:v>
                </c:pt>
                <c:pt idx="86">
                  <c:v>6.1994489230310368E-3</c:v>
                </c:pt>
                <c:pt idx="87">
                  <c:v>6.2118181647992099E-3</c:v>
                </c:pt>
                <c:pt idx="88">
                  <c:v>6.2242158650249735E-3</c:v>
                </c:pt>
                <c:pt idx="89">
                  <c:v>6.2365906339461041E-3</c:v>
                </c:pt>
                <c:pt idx="90">
                  <c:v>6.2486913141972522E-3</c:v>
                </c:pt>
                <c:pt idx="91">
                  <c:v>6.2608280991074405E-3</c:v>
                </c:pt>
                <c:pt idx="92">
                  <c:v>6.2730504723882419E-3</c:v>
                </c:pt>
                <c:pt idx="93">
                  <c:v>6.2855047425889321E-3</c:v>
                </c:pt>
                <c:pt idx="94">
                  <c:v>6.2975033827754601E-3</c:v>
                </c:pt>
                <c:pt idx="95">
                  <c:v>6.3095911667809812E-3</c:v>
                </c:pt>
                <c:pt idx="96">
                  <c:v>6.3213835011426411E-3</c:v>
                </c:pt>
                <c:pt idx="97">
                  <c:v>6.3334117100661835E-3</c:v>
                </c:pt>
                <c:pt idx="98">
                  <c:v>6.3451055220764552E-3</c:v>
                </c:pt>
                <c:pt idx="99">
                  <c:v>6.3568948907466449E-3</c:v>
                </c:pt>
                <c:pt idx="100">
                  <c:v>6.3605057403441911E-3</c:v>
                </c:pt>
                <c:pt idx="101">
                  <c:v>6.363884912162332E-3</c:v>
                </c:pt>
                <c:pt idx="102">
                  <c:v>6.3671682692876264E-3</c:v>
                </c:pt>
                <c:pt idx="103">
                  <c:v>6.3704546660228178E-3</c:v>
                </c:pt>
                <c:pt idx="104">
                  <c:v>6.3737912756056669E-3</c:v>
                </c:pt>
                <c:pt idx="105">
                  <c:v>6.3771298441406277E-3</c:v>
                </c:pt>
                <c:pt idx="106">
                  <c:v>6.3803264568609297E-3</c:v>
                </c:pt>
                <c:pt idx="107">
                  <c:v>6.383574662466529E-3</c:v>
                </c:pt>
                <c:pt idx="108">
                  <c:v>6.3868323206111022E-3</c:v>
                </c:pt>
                <c:pt idx="109">
                  <c:v>6.390093581742029E-3</c:v>
                </c:pt>
                <c:pt idx="110">
                  <c:v>6.3933069465835768E-3</c:v>
                </c:pt>
                <c:pt idx="111">
                  <c:v>6.3964807743059904E-3</c:v>
                </c:pt>
                <c:pt idx="112">
                  <c:v>6.3996683412228528E-3</c:v>
                </c:pt>
                <c:pt idx="113">
                  <c:v>6.4029244415209075E-3</c:v>
                </c:pt>
                <c:pt idx="114">
                  <c:v>6.4059522666850555E-3</c:v>
                </c:pt>
                <c:pt idx="115">
                  <c:v>6.4090593144368047E-3</c:v>
                </c:pt>
                <c:pt idx="116">
                  <c:v>6.4122506912174249E-3</c:v>
                </c:pt>
                <c:pt idx="117">
                  <c:v>6.4153825599628789E-3</c:v>
                </c:pt>
                <c:pt idx="118">
                  <c:v>6.4184113777485674E-3</c:v>
                </c:pt>
                <c:pt idx="119">
                  <c:v>6.42151452550066E-3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9F-4C3D-8E58-9BA50E8841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6957680"/>
        <c:axId val="636961616"/>
      </c:lineChart>
      <c:catAx>
        <c:axId val="6369576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961616"/>
        <c:crosses val="autoZero"/>
        <c:auto val="1"/>
        <c:lblAlgn val="ctr"/>
        <c:lblOffset val="100"/>
        <c:noMultiLvlLbl val="0"/>
      </c:catAx>
      <c:valAx>
        <c:axId val="63696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95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FX Forwards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PRICER_GBP!$AL$1</c:f>
              <c:strCache>
                <c:ptCount val="1"/>
                <c:pt idx="0">
                  <c:v>FX Excel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PRICER_GBP!$AL$2:$AL$121</c:f>
              <c:numCache>
                <c:formatCode>0.00000</c:formatCode>
                <c:ptCount val="120"/>
                <c:pt idx="0">
                  <c:v>1.2401</c:v>
                </c:pt>
                <c:pt idx="1">
                  <c:v>1.2407520000000001</c:v>
                </c:pt>
                <c:pt idx="2">
                  <c:v>1.241584</c:v>
                </c:pt>
                <c:pt idx="3">
                  <c:v>1.2419820000000001</c:v>
                </c:pt>
                <c:pt idx="4">
                  <c:v>1.2423500000000003</c:v>
                </c:pt>
                <c:pt idx="5">
                  <c:v>1.24272</c:v>
                </c:pt>
                <c:pt idx="6">
                  <c:v>1.2433309999999997</c:v>
                </c:pt>
                <c:pt idx="7">
                  <c:v>1.2437519999999997</c:v>
                </c:pt>
                <c:pt idx="8">
                  <c:v>1.2442850857833696</c:v>
                </c:pt>
                <c:pt idx="9">
                  <c:v>1.2448445507902053</c:v>
                </c:pt>
                <c:pt idx="10">
                  <c:v>1.2454204288674786</c:v>
                </c:pt>
                <c:pt idx="11">
                  <c:v>1.2459876869629138</c:v>
                </c:pt>
                <c:pt idx="12">
                  <c:v>1.2465651739040484</c:v>
                </c:pt>
                <c:pt idx="13">
                  <c:v>1.247367388527139</c:v>
                </c:pt>
                <c:pt idx="14">
                  <c:v>1.2481551376649731</c:v>
                </c:pt>
                <c:pt idx="15">
                  <c:v>1.2489112536995468</c:v>
                </c:pt>
                <c:pt idx="16">
                  <c:v>1.2496443840628633</c:v>
                </c:pt>
                <c:pt idx="17">
                  <c:v>1.2509179290581334</c:v>
                </c:pt>
                <c:pt idx="18">
                  <c:v>1.2521658982366366</c:v>
                </c:pt>
                <c:pt idx="19">
                  <c:v>1.2533619154110307</c:v>
                </c:pt>
                <c:pt idx="20">
                  <c:v>1.254546188519938</c:v>
                </c:pt>
                <c:pt idx="21">
                  <c:v>1.2561688964902975</c:v>
                </c:pt>
                <c:pt idx="22">
                  <c:v>1.257745528344685</c:v>
                </c:pt>
                <c:pt idx="23">
                  <c:v>1.2592431346126569</c:v>
                </c:pt>
                <c:pt idx="24">
                  <c:v>1.2607122194683513</c:v>
                </c:pt>
                <c:pt idx="25">
                  <c:v>1.2626103795221923</c:v>
                </c:pt>
                <c:pt idx="26">
                  <c:v>1.2645093475729814</c:v>
                </c:pt>
                <c:pt idx="27">
                  <c:v>1.266249878901814</c:v>
                </c:pt>
                <c:pt idx="28">
                  <c:v>1.2680117207965098</c:v>
                </c:pt>
                <c:pt idx="29">
                  <c:v>1.2701211815443119</c:v>
                </c:pt>
                <c:pt idx="30">
                  <c:v>1.2721491405403229</c:v>
                </c:pt>
                <c:pt idx="31">
                  <c:v>1.2740977856205917</c:v>
                </c:pt>
                <c:pt idx="32">
                  <c:v>1.2760324879776437</c:v>
                </c:pt>
                <c:pt idx="33">
                  <c:v>1.2782510672493397</c:v>
                </c:pt>
                <c:pt idx="34">
                  <c:v>1.2804591830606495</c:v>
                </c:pt>
                <c:pt idx="35">
                  <c:v>1.2826086458035386</c:v>
                </c:pt>
                <c:pt idx="36">
                  <c:v>1.2847004119966789</c:v>
                </c:pt>
                <c:pt idx="37">
                  <c:v>1.2870190235611039</c:v>
                </c:pt>
                <c:pt idx="38">
                  <c:v>1.2893077763096223</c:v>
                </c:pt>
                <c:pt idx="39">
                  <c:v>1.2915177166642757</c:v>
                </c:pt>
                <c:pt idx="40">
                  <c:v>1.2937228305861344</c:v>
                </c:pt>
                <c:pt idx="41">
                  <c:v>1.2963003804865019</c:v>
                </c:pt>
                <c:pt idx="42">
                  <c:v>1.2988611840467925</c:v>
                </c:pt>
                <c:pt idx="43">
                  <c:v>1.3013500000378135</c:v>
                </c:pt>
                <c:pt idx="44">
                  <c:v>1.3038499476358667</c:v>
                </c:pt>
                <c:pt idx="45">
                  <c:v>1.3063603639402162</c:v>
                </c:pt>
                <c:pt idx="46">
                  <c:v>1.3088535680307105</c:v>
                </c:pt>
                <c:pt idx="47">
                  <c:v>1.3113026259477543</c:v>
                </c:pt>
                <c:pt idx="48">
                  <c:v>1.3137346190226216</c:v>
                </c:pt>
                <c:pt idx="49">
                  <c:v>1.3165059757859776</c:v>
                </c:pt>
                <c:pt idx="50">
                  <c:v>1.3192124973951058</c:v>
                </c:pt>
                <c:pt idx="51">
                  <c:v>1.3218545059582998</c:v>
                </c:pt>
                <c:pt idx="52">
                  <c:v>1.3245493666642136</c:v>
                </c:pt>
                <c:pt idx="53">
                  <c:v>1.3271798559340897</c:v>
                </c:pt>
                <c:pt idx="54">
                  <c:v>1.329862827060174</c:v>
                </c:pt>
                <c:pt idx="55">
                  <c:v>1.3324815734759463</c:v>
                </c:pt>
                <c:pt idx="56">
                  <c:v>1.3351234289267546</c:v>
                </c:pt>
                <c:pt idx="57">
                  <c:v>1.3377592069628033</c:v>
                </c:pt>
                <c:pt idx="58">
                  <c:v>1.3404177141460032</c:v>
                </c:pt>
                <c:pt idx="59">
                  <c:v>1.3430123054534151</c:v>
                </c:pt>
                <c:pt idx="60">
                  <c:v>1.3456295133575233</c:v>
                </c:pt>
                <c:pt idx="61">
                  <c:v>1.348706214420097</c:v>
                </c:pt>
                <c:pt idx="62">
                  <c:v>1.3517906608325045</c:v>
                </c:pt>
                <c:pt idx="63">
                  <c:v>1.3548492207238223</c:v>
                </c:pt>
                <c:pt idx="64">
                  <c:v>1.3579153993539235</c:v>
                </c:pt>
                <c:pt idx="65">
                  <c:v>1.3610230378516266</c:v>
                </c:pt>
                <c:pt idx="66">
                  <c:v>1.3641385054459039</c:v>
                </c:pt>
                <c:pt idx="67">
                  <c:v>1.3671938415002545</c:v>
                </c:pt>
                <c:pt idx="68">
                  <c:v>1.3702907844126644</c:v>
                </c:pt>
                <c:pt idx="69">
                  <c:v>1.3734296090382285</c:v>
                </c:pt>
                <c:pt idx="70">
                  <c:v>1.3766448426354891</c:v>
                </c:pt>
                <c:pt idx="71">
                  <c:v>1.3796623560722123</c:v>
                </c:pt>
                <c:pt idx="72">
                  <c:v>1.3827903952392584</c:v>
                </c:pt>
                <c:pt idx="73">
                  <c:v>1.3860297519245071</c:v>
                </c:pt>
                <c:pt idx="74">
                  <c:v>1.3892082724059567</c:v>
                </c:pt>
                <c:pt idx="75">
                  <c:v>1.3923254559772029</c:v>
                </c:pt>
                <c:pt idx="76">
                  <c:v>1.3955198654915617</c:v>
                </c:pt>
                <c:pt idx="77">
                  <c:v>1.398652634382255</c:v>
                </c:pt>
                <c:pt idx="78">
                  <c:v>1.4018630183052705</c:v>
                </c:pt>
                <c:pt idx="79">
                  <c:v>1.4050464825787339</c:v>
                </c:pt>
                <c:pt idx="80">
                  <c:v>1.4082027866431719</c:v>
                </c:pt>
                <c:pt idx="81">
                  <c:v>1.41104563579869</c:v>
                </c:pt>
                <c:pt idx="82">
                  <c:v>1.4138992224863949</c:v>
                </c:pt>
                <c:pt idx="83">
                  <c:v>1.4167012049229497</c:v>
                </c:pt>
                <c:pt idx="84">
                  <c:v>1.4195448492617107</c:v>
                </c:pt>
                <c:pt idx="85">
                  <c:v>1.4224305461936688</c:v>
                </c:pt>
                <c:pt idx="86">
                  <c:v>1.4253271483219914</c:v>
                </c:pt>
                <c:pt idx="87">
                  <c:v>1.4281713740841142</c:v>
                </c:pt>
                <c:pt idx="88">
                  <c:v>1.4310578957995452</c:v>
                </c:pt>
                <c:pt idx="89">
                  <c:v>1.4339871104113726</c:v>
                </c:pt>
                <c:pt idx="90">
                  <c:v>1.4369274010742252</c:v>
                </c:pt>
                <c:pt idx="91">
                  <c:v>1.4398145317259801</c:v>
                </c:pt>
                <c:pt idx="92">
                  <c:v>1.4427446028682662</c:v>
                </c:pt>
                <c:pt idx="93">
                  <c:v>1.4457180178161861</c:v>
                </c:pt>
                <c:pt idx="94">
                  <c:v>1.4487676922233057</c:v>
                </c:pt>
                <c:pt idx="95">
                  <c:v>1.4517312695936562</c:v>
                </c:pt>
                <c:pt idx="96">
                  <c:v>1.4547386919520999</c:v>
                </c:pt>
                <c:pt idx="97">
                  <c:v>1.457691751209691</c:v>
                </c:pt>
                <c:pt idx="98">
                  <c:v>1.4607217386777316</c:v>
                </c:pt>
                <c:pt idx="99">
                  <c:v>1.4636969589294362</c:v>
                </c:pt>
                <c:pt idx="100">
                  <c:v>1.46671644470206</c:v>
                </c:pt>
                <c:pt idx="101">
                  <c:v>1.469301215440314</c:v>
                </c:pt>
                <c:pt idx="102">
                  <c:v>1.4719175469237089</c:v>
                </c:pt>
                <c:pt idx="103">
                  <c:v>1.4744800731758894</c:v>
                </c:pt>
                <c:pt idx="104">
                  <c:v>1.4770741609067306</c:v>
                </c:pt>
                <c:pt idx="105">
                  <c:v>1.4796999128726527</c:v>
                </c:pt>
                <c:pt idx="106">
                  <c:v>1.4823288402262818</c:v>
                </c:pt>
                <c:pt idx="107">
                  <c:v>1.4849036899123444</c:v>
                </c:pt>
                <c:pt idx="108">
                  <c:v>1.4875102393646462</c:v>
                </c:pt>
                <c:pt idx="109">
                  <c:v>1.4901485913497796</c:v>
                </c:pt>
                <c:pt idx="110">
                  <c:v>1.4927901200503138</c:v>
                </c:pt>
                <c:pt idx="111">
                  <c:v>1.4954060618973186</c:v>
                </c:pt>
                <c:pt idx="112">
                  <c:v>1.498025112375168</c:v>
                </c:pt>
                <c:pt idx="113">
                  <c:v>1.5006761039778631</c:v>
                </c:pt>
                <c:pt idx="114">
                  <c:v>1.5033880081174713</c:v>
                </c:pt>
                <c:pt idx="115">
                  <c:v>1.5059298189482904</c:v>
                </c:pt>
                <c:pt idx="116">
                  <c:v>1.5085613408858594</c:v>
                </c:pt>
                <c:pt idx="117">
                  <c:v>1.511282881747638</c:v>
                </c:pt>
                <c:pt idx="118">
                  <c:v>1.5139497309890146</c:v>
                </c:pt>
                <c:pt idx="119">
                  <c:v>1.5165616815193947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2F-4B0C-8ED3-681CC1BA40B8}"/>
            </c:ext>
          </c:extLst>
        </c:ser>
        <c:ser>
          <c:idx val="1"/>
          <c:order val="1"/>
          <c:tx>
            <c:strRef>
              <c:f>PRICER_GBP!$AM$1</c:f>
              <c:strCache>
                <c:ptCount val="1"/>
                <c:pt idx="0">
                  <c:v>FX BBG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PRICER_GBP!$AM$2:$AM$121</c:f>
              <c:numCache>
                <c:formatCode>0.00000</c:formatCode>
                <c:ptCount val="120"/>
                <c:pt idx="0" formatCode="#,##0.00000_ ;[Red]\-#,##0.00000\ ">
                  <c:v>1.2401</c:v>
                </c:pt>
                <c:pt idx="1">
                  <c:v>1.2407591949999999</c:v>
                </c:pt>
                <c:pt idx="2">
                  <c:v>1.241542865</c:v>
                </c:pt>
                <c:pt idx="3">
                  <c:v>1.24198853</c:v>
                </c:pt>
                <c:pt idx="4">
                  <c:v>1.2423740939999999</c:v>
                </c:pt>
                <c:pt idx="5">
                  <c:v>1.2428796150000001</c:v>
                </c:pt>
                <c:pt idx="6">
                  <c:v>1.243358969</c:v>
                </c:pt>
                <c:pt idx="7">
                  <c:v>1.2438738650000001</c:v>
                </c:pt>
                <c:pt idx="8">
                  <c:v>1.2443863420000001</c:v>
                </c:pt>
                <c:pt idx="9">
                  <c:v>1.2449200789999999</c:v>
                </c:pt>
                <c:pt idx="10">
                  <c:v>1.2454602480000001</c:v>
                </c:pt>
                <c:pt idx="11">
                  <c:v>1.2460016759999999</c:v>
                </c:pt>
                <c:pt idx="12">
                  <c:v>1.2465443599999999</c:v>
                </c:pt>
                <c:pt idx="13">
                  <c:v>1.247246656</c:v>
                </c:pt>
                <c:pt idx="14">
                  <c:v>1.2479938210000001</c:v>
                </c:pt>
                <c:pt idx="15">
                  <c:v>1.248760651</c:v>
                </c:pt>
                <c:pt idx="16">
                  <c:v>1.2495821460000001</c:v>
                </c:pt>
                <c:pt idx="17">
                  <c:v>1.2507317279999999</c:v>
                </c:pt>
                <c:pt idx="18">
                  <c:v>1.2519319259999999</c:v>
                </c:pt>
                <c:pt idx="19">
                  <c:v>1.253196065</c:v>
                </c:pt>
                <c:pt idx="20">
                  <c:v>1.254524097</c:v>
                </c:pt>
                <c:pt idx="21">
                  <c:v>1.2559587650000001</c:v>
                </c:pt>
                <c:pt idx="22">
                  <c:v>1.2574514699999999</c:v>
                </c:pt>
                <c:pt idx="23">
                  <c:v>1.2590108390000001</c:v>
                </c:pt>
                <c:pt idx="24">
                  <c:v>1.2606367470000002</c:v>
                </c:pt>
                <c:pt idx="25">
                  <c:v>1.2623692419999999</c:v>
                </c:pt>
                <c:pt idx="26">
                  <c:v>1.2641517499999999</c:v>
                </c:pt>
                <c:pt idx="27">
                  <c:v>1.2660021289999999</c:v>
                </c:pt>
                <c:pt idx="28">
                  <c:v>1.2679202189999998</c:v>
                </c:pt>
                <c:pt idx="29">
                  <c:v>1.269832179</c:v>
                </c:pt>
                <c:pt idx="30">
                  <c:v>1.2717820689999999</c:v>
                </c:pt>
                <c:pt idx="31">
                  <c:v>1.273792144</c:v>
                </c:pt>
                <c:pt idx="32">
                  <c:v>1.2758621649999999</c:v>
                </c:pt>
                <c:pt idx="33">
                  <c:v>1.277991906</c:v>
                </c:pt>
                <c:pt idx="34">
                  <c:v>1.2801810869999999</c:v>
                </c:pt>
                <c:pt idx="35">
                  <c:v>1.2824044100000001</c:v>
                </c:pt>
                <c:pt idx="36">
                  <c:v>1.284736675</c:v>
                </c:pt>
                <c:pt idx="37">
                  <c:v>1.2869510199999998</c:v>
                </c:pt>
                <c:pt idx="38">
                  <c:v>1.2891817000000001</c:v>
                </c:pt>
                <c:pt idx="39">
                  <c:v>1.2914599330000001</c:v>
                </c:pt>
                <c:pt idx="40">
                  <c:v>1.2937853580000001</c:v>
                </c:pt>
                <c:pt idx="41">
                  <c:v>1.296228983</c:v>
                </c:pt>
                <c:pt idx="42">
                  <c:v>1.298577986</c:v>
                </c:pt>
                <c:pt idx="43">
                  <c:v>1.3009775619999999</c:v>
                </c:pt>
                <c:pt idx="44">
                  <c:v>1.303428099</c:v>
                </c:pt>
                <c:pt idx="45">
                  <c:v>1.3059577760000001</c:v>
                </c:pt>
                <c:pt idx="46">
                  <c:v>1.30851202</c:v>
                </c:pt>
                <c:pt idx="47">
                  <c:v>1.311147402</c:v>
                </c:pt>
                <c:pt idx="48">
                  <c:v>1.3138070749999999</c:v>
                </c:pt>
                <c:pt idx="49">
                  <c:v>1.316235609</c:v>
                </c:pt>
                <c:pt idx="50">
                  <c:v>1.3186699289999999</c:v>
                </c:pt>
                <c:pt idx="51">
                  <c:v>1.3211432599999999</c:v>
                </c:pt>
                <c:pt idx="52">
                  <c:v>1.323655901</c:v>
                </c:pt>
                <c:pt idx="53">
                  <c:v>1.3262081589999999</c:v>
                </c:pt>
                <c:pt idx="54">
                  <c:v>1.3288003480000001</c:v>
                </c:pt>
                <c:pt idx="55">
                  <c:v>1.331432792</c:v>
                </c:pt>
                <c:pt idx="56">
                  <c:v>1.3341058180000001</c:v>
                </c:pt>
                <c:pt idx="57">
                  <c:v>1.3368197660000001</c:v>
                </c:pt>
                <c:pt idx="58">
                  <c:v>1.339574979</c:v>
                </c:pt>
                <c:pt idx="59">
                  <c:v>1.342371811</c:v>
                </c:pt>
                <c:pt idx="60">
                  <c:v>1.345210625</c:v>
                </c:pt>
                <c:pt idx="61">
                  <c:v>1.3479725359999999</c:v>
                </c:pt>
                <c:pt idx="62">
                  <c:v>1.350734557</c:v>
                </c:pt>
                <c:pt idx="63">
                  <c:v>1.3536263820000001</c:v>
                </c:pt>
                <c:pt idx="64">
                  <c:v>1.3564637500000001</c:v>
                </c:pt>
                <c:pt idx="65">
                  <c:v>1.359370465</c:v>
                </c:pt>
                <c:pt idx="66">
                  <c:v>1.3622836679999999</c:v>
                </c:pt>
                <c:pt idx="67">
                  <c:v>1.365235081</c:v>
                </c:pt>
                <c:pt idx="68">
                  <c:v>1.368225045</c:v>
                </c:pt>
                <c:pt idx="69">
                  <c:v>1.3712874079999999</c:v>
                </c:pt>
                <c:pt idx="70">
                  <c:v>1.3743559570000001</c:v>
                </c:pt>
                <c:pt idx="71">
                  <c:v>1.3774641249999999</c:v>
                </c:pt>
                <c:pt idx="72">
                  <c:v>1.380612282</c:v>
                </c:pt>
                <c:pt idx="73">
                  <c:v>1.383836069</c:v>
                </c:pt>
                <c:pt idx="74">
                  <c:v>1.387065792</c:v>
                </c:pt>
                <c:pt idx="75">
                  <c:v>1.390336663</c:v>
                </c:pt>
                <c:pt idx="76">
                  <c:v>1.393649081</c:v>
                </c:pt>
                <c:pt idx="77">
                  <c:v>1.397003456</c:v>
                </c:pt>
                <c:pt idx="78">
                  <c:v>1.400400203</c:v>
                </c:pt>
                <c:pt idx="79">
                  <c:v>1.403801718</c:v>
                </c:pt>
                <c:pt idx="80">
                  <c:v>1.407322526</c:v>
                </c:pt>
                <c:pt idx="81">
                  <c:v>1.409906678</c:v>
                </c:pt>
                <c:pt idx="82">
                  <c:v>1.412431625</c:v>
                </c:pt>
                <c:pt idx="83">
                  <c:v>1.414968885</c:v>
                </c:pt>
                <c:pt idx="84">
                  <c:v>1.417518533</c:v>
                </c:pt>
                <c:pt idx="85">
                  <c:v>1.4201653240000001</c:v>
                </c:pt>
                <c:pt idx="86">
                  <c:v>1.42274039</c:v>
                </c:pt>
                <c:pt idx="87">
                  <c:v>1.425328076</c:v>
                </c:pt>
                <c:pt idx="88">
                  <c:v>1.427928458</c:v>
                </c:pt>
                <c:pt idx="89">
                  <c:v>1.4305704019999999</c:v>
                </c:pt>
                <c:pt idx="90">
                  <c:v>1.433196554</c:v>
                </c:pt>
                <c:pt idx="91">
                  <c:v>1.4358356400000001</c:v>
                </c:pt>
                <c:pt idx="92">
                  <c:v>1.43848774</c:v>
                </c:pt>
                <c:pt idx="93">
                  <c:v>1.441182296</c:v>
                </c:pt>
                <c:pt idx="94">
                  <c:v>1.443860814</c:v>
                </c:pt>
                <c:pt idx="95">
                  <c:v>1.4465822460000002</c:v>
                </c:pt>
                <c:pt idx="96">
                  <c:v>1.449287515</c:v>
                </c:pt>
                <c:pt idx="97">
                  <c:v>1.452006213</c:v>
                </c:pt>
                <c:pt idx="98">
                  <c:v>1.454738426</c:v>
                </c:pt>
                <c:pt idx="99">
                  <c:v>1.4574842369999998</c:v>
                </c:pt>
                <c:pt idx="100">
                  <c:v>1.4602437349999999</c:v>
                </c:pt>
                <c:pt idx="101">
                  <c:v>1.4630170060000001</c:v>
                </c:pt>
                <c:pt idx="102">
                  <c:v>1.465804138</c:v>
                </c:pt>
                <c:pt idx="103">
                  <c:v>1.468605221</c:v>
                </c:pt>
                <c:pt idx="104">
                  <c:v>1.471420344</c:v>
                </c:pt>
                <c:pt idx="105">
                  <c:v>1.474280767</c:v>
                </c:pt>
                <c:pt idx="106">
                  <c:v>1.4771243999999999</c:v>
                </c:pt>
                <c:pt idx="107">
                  <c:v>1.4799823480000001</c:v>
                </c:pt>
                <c:pt idx="108">
                  <c:v>1.482854704</c:v>
                </c:pt>
                <c:pt idx="109">
                  <c:v>1.485836983</c:v>
                </c:pt>
                <c:pt idx="110">
                  <c:v>1.4887389230000001</c:v>
                </c:pt>
                <c:pt idx="111">
                  <c:v>1.491687693</c:v>
                </c:pt>
                <c:pt idx="112">
                  <c:v>1.4946192869999999</c:v>
                </c:pt>
                <c:pt idx="113">
                  <c:v>1.497598236</c:v>
                </c:pt>
                <c:pt idx="114">
                  <c:v>1.500559878</c:v>
                </c:pt>
                <c:pt idx="115">
                  <c:v>1.5035366130000001</c:v>
                </c:pt>
                <c:pt idx="116">
                  <c:v>1.5065285400000001</c:v>
                </c:pt>
                <c:pt idx="117">
                  <c:v>1.509568893</c:v>
                </c:pt>
                <c:pt idx="118">
                  <c:v>1.5125916800000001</c:v>
                </c:pt>
                <c:pt idx="119">
                  <c:v>1.5156299689999999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2F-4B0C-8ED3-681CC1BA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6957680"/>
        <c:axId val="636961616"/>
      </c:lineChart>
      <c:catAx>
        <c:axId val="6369576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961616"/>
        <c:crosses val="autoZero"/>
        <c:auto val="1"/>
        <c:lblAlgn val="ctr"/>
        <c:lblOffset val="100"/>
        <c:noMultiLvlLbl val="0"/>
      </c:catAx>
      <c:valAx>
        <c:axId val="63696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95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FX Forward Ratio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PRICER_GBP!$AN$1</c:f>
              <c:strCache>
                <c:ptCount val="1"/>
                <c:pt idx="0">
                  <c:v>FX Ratio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PRICER_GBP!$AN$2:$AN$121</c:f>
              <c:numCache>
                <c:formatCode>0.0000%</c:formatCode>
                <c:ptCount val="120"/>
                <c:pt idx="0">
                  <c:v>1</c:v>
                </c:pt>
                <c:pt idx="1">
                  <c:v>1.0000057989026008</c:v>
                </c:pt>
                <c:pt idx="2">
                  <c:v>0.99996686893516662</c:v>
                </c:pt>
                <c:pt idx="3">
                  <c:v>1.0000052577251521</c:v>
                </c:pt>
                <c:pt idx="4">
                  <c:v>1.0000193938906101</c:v>
                </c:pt>
                <c:pt idx="5">
                  <c:v>1.0001284400347625</c:v>
                </c:pt>
                <c:pt idx="6">
                  <c:v>1.0000224952164791</c:v>
                </c:pt>
                <c:pt idx="7">
                  <c:v>1.0000979817519895</c:v>
                </c:pt>
                <c:pt idx="8">
                  <c:v>1.0000813770234711</c:v>
                </c:pt>
                <c:pt idx="9">
                  <c:v>1.0000606728042845</c:v>
                </c:pt>
                <c:pt idx="10">
                  <c:v>1.0000319724420754</c:v>
                </c:pt>
                <c:pt idx="11">
                  <c:v>1.0000112272675183</c:v>
                </c:pt>
                <c:pt idx="12">
                  <c:v>0.99998330299571636</c:v>
                </c:pt>
                <c:pt idx="13">
                  <c:v>0.99990321013019134</c:v>
                </c:pt>
                <c:pt idx="14">
                  <c:v>0.99987075591799046</c:v>
                </c:pt>
                <c:pt idx="15">
                  <c:v>0.99987941280927628</c:v>
                </c:pt>
                <c:pt idx="16">
                  <c:v>0.99995019538065633</c:v>
                </c:pt>
                <c:pt idx="17">
                  <c:v>0.99985114846161516</c:v>
                </c:pt>
                <c:pt idx="18">
                  <c:v>0.99981314597613125</c:v>
                </c:pt>
                <c:pt idx="19">
                  <c:v>0.99986767556202927</c:v>
                </c:pt>
                <c:pt idx="20">
                  <c:v>0.99998239082774298</c:v>
                </c:pt>
                <c:pt idx="21">
                  <c:v>0.99983272035242676</c:v>
                </c:pt>
                <c:pt idx="22">
                  <c:v>0.99976620203526212</c:v>
                </c:pt>
                <c:pt idx="23">
                  <c:v>0.99981552759251036</c:v>
                </c:pt>
                <c:pt idx="24">
                  <c:v>0.99994013505446711</c:v>
                </c:pt>
                <c:pt idx="25">
                  <c:v>0.99980901667996447</c:v>
                </c:pt>
                <c:pt idx="26">
                  <c:v>0.99971720448435764</c:v>
                </c:pt>
                <c:pt idx="27">
                  <c:v>0.99980434359288628</c:v>
                </c:pt>
                <c:pt idx="28">
                  <c:v>0.99992783836694155</c:v>
                </c:pt>
                <c:pt idx="29">
                  <c:v>0.99977246065295877</c:v>
                </c:pt>
                <c:pt idx="30">
                  <c:v>0.99971145557653163</c:v>
                </c:pt>
                <c:pt idx="31">
                  <c:v>0.99976011133208043</c:v>
                </c:pt>
                <c:pt idx="32">
                  <c:v>0.99986652144106947</c:v>
                </c:pt>
                <c:pt idx="33">
                  <c:v>0.99979725325017932</c:v>
                </c:pt>
                <c:pt idx="34">
                  <c:v>0.99978281536473113</c:v>
                </c:pt>
                <c:pt idx="35">
                  <c:v>0.99984076529952703</c:v>
                </c:pt>
                <c:pt idx="36">
                  <c:v>1.0000282268169158</c:v>
                </c:pt>
                <c:pt idx="37">
                  <c:v>0.99994716196119937</c:v>
                </c:pt>
                <c:pt idx="38">
                  <c:v>0.99990221395392254</c:v>
                </c:pt>
                <c:pt idx="39">
                  <c:v>0.99995525910056815</c:v>
                </c:pt>
                <c:pt idx="40">
                  <c:v>1.0000483313831892</c:v>
                </c:pt>
                <c:pt idx="41">
                  <c:v>0.99994492211251607</c:v>
                </c:pt>
                <c:pt idx="42">
                  <c:v>0.99978196434671318</c:v>
                </c:pt>
                <c:pt idx="43">
                  <c:v>0.99971380640273344</c:v>
                </c:pt>
                <c:pt idx="44">
                  <c:v>0.99967645921478032</c:v>
                </c:pt>
                <c:pt idx="45">
                  <c:v>0.99969182474351737</c:v>
                </c:pt>
                <c:pt idx="46">
                  <c:v>0.99973904794313673</c:v>
                </c:pt>
                <c:pt idx="47">
                  <c:v>0.99988162614435239</c:v>
                </c:pt>
                <c:pt idx="48">
                  <c:v>1.0000551526741621</c:v>
                </c:pt>
                <c:pt idx="49">
                  <c:v>0.99979463307349126</c:v>
                </c:pt>
                <c:pt idx="50">
                  <c:v>0.99958871796910864</c:v>
                </c:pt>
                <c:pt idx="51">
                  <c:v>0.99946193324976851</c:v>
                </c:pt>
                <c:pt idx="52">
                  <c:v>0.9993254568786184</c:v>
                </c:pt>
                <c:pt idx="53">
                  <c:v>0.99926784834041504</c:v>
                </c:pt>
                <c:pt idx="54">
                  <c:v>0.99920106116318586</c:v>
                </c:pt>
                <c:pt idx="55">
                  <c:v>0.99921291108498378</c:v>
                </c:pt>
                <c:pt idx="56">
                  <c:v>0.99923781509281684</c:v>
                </c:pt>
                <c:pt idx="57">
                  <c:v>0.99929775032912238</c:v>
                </c:pt>
                <c:pt idx="58">
                  <c:v>0.99937128916075235</c:v>
                </c:pt>
                <c:pt idx="59">
                  <c:v>0.99952309115053206</c:v>
                </c:pt>
                <c:pt idx="60">
                  <c:v>0.99968870454061443</c:v>
                </c:pt>
                <c:pt idx="61">
                  <c:v>0.99945601316858135</c:v>
                </c:pt>
                <c:pt idx="62">
                  <c:v>0.99921873714391984</c:v>
                </c:pt>
                <c:pt idx="63">
                  <c:v>0.99909743556322161</c:v>
                </c:pt>
                <c:pt idx="64">
                  <c:v>0.99893097216909532</c:v>
                </c:pt>
                <c:pt idx="65">
                  <c:v>0.99878578627571568</c:v>
                </c:pt>
                <c:pt idx="66">
                  <c:v>0.99864028657024262</c:v>
                </c:pt>
                <c:pt idx="67">
                  <c:v>0.99856731325083714</c:v>
                </c:pt>
                <c:pt idx="68">
                  <c:v>0.99849248098566912</c:v>
                </c:pt>
                <c:pt idx="69">
                  <c:v>0.99844025421897764</c:v>
                </c:pt>
                <c:pt idx="70">
                  <c:v>0.99833734485133641</c:v>
                </c:pt>
                <c:pt idx="71">
                  <c:v>0.99840668909857733</c:v>
                </c:pt>
                <c:pt idx="72">
                  <c:v>0.99842484208253302</c:v>
                </c:pt>
                <c:pt idx="73">
                  <c:v>0.99841729016172909</c:v>
                </c:pt>
                <c:pt idx="74">
                  <c:v>0.99845776875324377</c:v>
                </c:pt>
                <c:pt idx="75">
                  <c:v>0.99857160337860296</c:v>
                </c:pt>
                <c:pt idx="76">
                  <c:v>0.99865943542774094</c:v>
                </c:pt>
                <c:pt idx="77">
                  <c:v>0.99882088065205454</c:v>
                </c:pt>
                <c:pt idx="78">
                  <c:v>0.99895652051151262</c:v>
                </c:pt>
                <c:pt idx="79">
                  <c:v>0.99911407587281431</c:v>
                </c:pt>
                <c:pt idx="80">
                  <c:v>0.99937490491318348</c:v>
                </c:pt>
                <c:pt idx="81">
                  <c:v>0.99919282709942592</c:v>
                </c:pt>
                <c:pt idx="82">
                  <c:v>0.99896202115182287</c:v>
                </c:pt>
                <c:pt idx="83">
                  <c:v>0.99877721574815492</c:v>
                </c:pt>
                <c:pt idx="84">
                  <c:v>0.998572559181371</c:v>
                </c:pt>
                <c:pt idx="85">
                  <c:v>0.99840749891112057</c:v>
                </c:pt>
                <c:pt idx="86">
                  <c:v>0.99818514765186594</c:v>
                </c:pt>
                <c:pt idx="87">
                  <c:v>0.99800913382265655</c:v>
                </c:pt>
                <c:pt idx="88">
                  <c:v>0.99781319972537041</c:v>
                </c:pt>
                <c:pt idx="89">
                  <c:v>0.99761733673436392</c:v>
                </c:pt>
                <c:pt idx="90">
                  <c:v>0.99740359389664635</c:v>
                </c:pt>
                <c:pt idx="91">
                  <c:v>0.99723652481739422</c:v>
                </c:pt>
                <c:pt idx="92">
                  <c:v>0.99704946886662871</c:v>
                </c:pt>
                <c:pt idx="93">
                  <c:v>0.99686265111156491</c:v>
                </c:pt>
                <c:pt idx="94">
                  <c:v>0.99661306760935875</c:v>
                </c:pt>
                <c:pt idx="95">
                  <c:v>0.99645318406959904</c:v>
                </c:pt>
                <c:pt idx="96">
                  <c:v>0.99625281366182328</c:v>
                </c:pt>
                <c:pt idx="97">
                  <c:v>0.996099629290642</c:v>
                </c:pt>
                <c:pt idx="98">
                  <c:v>0.99590386552119925</c:v>
                </c:pt>
                <c:pt idx="99">
                  <c:v>0.99575545887997174</c:v>
                </c:pt>
                <c:pt idx="100">
                  <c:v>0.99558693861690839</c:v>
                </c:pt>
                <c:pt idx="101">
                  <c:v>0.99572299445867485</c:v>
                </c:pt>
                <c:pt idx="102">
                  <c:v>0.99584663628986159</c:v>
                </c:pt>
                <c:pt idx="103">
                  <c:v>0.99601564491594963</c:v>
                </c:pt>
                <c:pt idx="104">
                  <c:v>0.9961722863642406</c:v>
                </c:pt>
                <c:pt idx="105">
                  <c:v>0.99633767237160131</c:v>
                </c:pt>
                <c:pt idx="106">
                  <c:v>0.99648901101763132</c:v>
                </c:pt>
                <c:pt idx="107">
                  <c:v>0.99668575009559379</c:v>
                </c:pt>
                <c:pt idx="108">
                  <c:v>0.99687024987025652</c:v>
                </c:pt>
                <c:pt idx="109">
                  <c:v>0.99710659166823479</c:v>
                </c:pt>
                <c:pt idx="110">
                  <c:v>0.99728615764808448</c:v>
                </c:pt>
                <c:pt idx="111">
                  <c:v>0.99751347209827357</c:v>
                </c:pt>
                <c:pt idx="112">
                  <c:v>0.99772645642116908</c:v>
                </c:pt>
                <c:pt idx="113">
                  <c:v>0.99794901246864354</c:v>
                </c:pt>
                <c:pt idx="114">
                  <c:v>0.99811882887039083</c:v>
                </c:pt>
                <c:pt idx="115">
                  <c:v>0.99841081176680491</c:v>
                </c:pt>
                <c:pt idx="116">
                  <c:v>0.99865249040210358</c:v>
                </c:pt>
                <c:pt idx="117">
                  <c:v>0.99886587165888097</c:v>
                </c:pt>
                <c:pt idx="118">
                  <c:v>0.9991029748470398</c:v>
                </c:pt>
                <c:pt idx="119">
                  <c:v>0.99938564152665299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64-45B2-8692-41046D1E63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6957680"/>
        <c:axId val="636961616"/>
      </c:lineChart>
      <c:catAx>
        <c:axId val="6369576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961616"/>
        <c:crosses val="autoZero"/>
        <c:auto val="1"/>
        <c:lblAlgn val="ctr"/>
        <c:lblOffset val="100"/>
        <c:noMultiLvlLbl val="0"/>
      </c:catAx>
      <c:valAx>
        <c:axId val="63696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95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PRICER_EUR!$CA$1</c:f>
              <c:strCache>
                <c:ptCount val="1"/>
                <c:pt idx="0">
                  <c:v>Spot Node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PRICER_EUR!$BY$3:$BY$35</c:f>
              <c:numCache>
                <c:formatCode>0.000</c:formatCode>
                <c:ptCount val="33"/>
                <c:pt idx="0">
                  <c:v>1.9444444444444445E-2</c:v>
                </c:pt>
                <c:pt idx="1">
                  <c:v>3.888888888888889E-2</c:v>
                </c:pt>
                <c:pt idx="2">
                  <c:v>5.8333333333333334E-2</c:v>
                </c:pt>
                <c:pt idx="3">
                  <c:v>8.8888888888888892E-2</c:v>
                </c:pt>
                <c:pt idx="4">
                  <c:v>0.17222222222222222</c:v>
                </c:pt>
                <c:pt idx="5">
                  <c:v>0.25555555555555554</c:v>
                </c:pt>
                <c:pt idx="6">
                  <c:v>0.34166666666666667</c:v>
                </c:pt>
                <c:pt idx="7">
                  <c:v>0.42499999999999999</c:v>
                </c:pt>
                <c:pt idx="8">
                  <c:v>0.51666666666666672</c:v>
                </c:pt>
                <c:pt idx="9">
                  <c:v>0.59722222222222221</c:v>
                </c:pt>
                <c:pt idx="10">
                  <c:v>0.67500000000000004</c:v>
                </c:pt>
                <c:pt idx="11">
                  <c:v>0.77222222222222225</c:v>
                </c:pt>
                <c:pt idx="12">
                  <c:v>0.85</c:v>
                </c:pt>
                <c:pt idx="13">
                  <c:v>0.93055555555555558</c:v>
                </c:pt>
                <c:pt idx="14">
                  <c:v>1.0138888888888888</c:v>
                </c:pt>
                <c:pt idx="15">
                  <c:v>1.2749999999999999</c:v>
                </c:pt>
                <c:pt idx="16">
                  <c:v>1.5305555555555554</c:v>
                </c:pt>
                <c:pt idx="17">
                  <c:v>1.7805555555555554</c:v>
                </c:pt>
                <c:pt idx="18">
                  <c:v>2.036111111111111</c:v>
                </c:pt>
                <c:pt idx="19">
                  <c:v>3.0444444444444443</c:v>
                </c:pt>
                <c:pt idx="20">
                  <c:v>4.0583333333333336</c:v>
                </c:pt>
                <c:pt idx="21">
                  <c:v>5.072222222222222</c:v>
                </c:pt>
                <c:pt idx="22">
                  <c:v>6.0861111111111112</c:v>
                </c:pt>
                <c:pt idx="23">
                  <c:v>7.1</c:v>
                </c:pt>
                <c:pt idx="24">
                  <c:v>8.1194444444444436</c:v>
                </c:pt>
                <c:pt idx="25">
                  <c:v>9.1305555555555564</c:v>
                </c:pt>
                <c:pt idx="26">
                  <c:v>10.144444444444444</c:v>
                </c:pt>
                <c:pt idx="27">
                  <c:v>12.175000000000001</c:v>
                </c:pt>
                <c:pt idx="28">
                  <c:v>15.216666666666667</c:v>
                </c:pt>
                <c:pt idx="29">
                  <c:v>20.291666666666668</c:v>
                </c:pt>
                <c:pt idx="30">
                  <c:v>30.444444444444443</c:v>
                </c:pt>
                <c:pt idx="31">
                  <c:v>40.583333333333336</c:v>
                </c:pt>
                <c:pt idx="32">
                  <c:v>50.727777777777774</c:v>
                </c:pt>
              </c:numCache>
            </c:numRef>
          </c:xVal>
          <c:yVal>
            <c:numRef>
              <c:f>PRICER_EUR!$CA$3:$CA$35</c:f>
              <c:numCache>
                <c:formatCode>0.000000</c:formatCode>
                <c:ptCount val="33"/>
                <c:pt idx="0">
                  <c:v>-6.5774598071751678E-3</c:v>
                </c:pt>
                <c:pt idx="1">
                  <c:v>-6.7133331894667636E-3</c:v>
                </c:pt>
                <c:pt idx="2">
                  <c:v>-6.8510682924477484E-3</c:v>
                </c:pt>
                <c:pt idx="3">
                  <c:v>-7.0573772076061303E-3</c:v>
                </c:pt>
                <c:pt idx="4">
                  <c:v>-7.1191449591744282E-3</c:v>
                </c:pt>
                <c:pt idx="5">
                  <c:v>-7.3353604886845503E-3</c:v>
                </c:pt>
                <c:pt idx="6">
                  <c:v>-7.3672523675970547E-3</c:v>
                </c:pt>
                <c:pt idx="7">
                  <c:v>-7.3886687646197435E-3</c:v>
                </c:pt>
                <c:pt idx="8">
                  <c:v>-8.1956618775956835E-3</c:v>
                </c:pt>
                <c:pt idx="9">
                  <c:v>-8.1524386637245039E-3</c:v>
                </c:pt>
                <c:pt idx="10">
                  <c:v>-8.1103760656997537E-3</c:v>
                </c:pt>
                <c:pt idx="11">
                  <c:v>-8.114805174971651E-3</c:v>
                </c:pt>
                <c:pt idx="12">
                  <c:v>-8.0743486203982417E-3</c:v>
                </c:pt>
                <c:pt idx="13">
                  <c:v>-8.0916275499700596E-3</c:v>
                </c:pt>
                <c:pt idx="14">
                  <c:v>-8.1268823676341473E-3</c:v>
                </c:pt>
                <c:pt idx="15">
                  <c:v>-8.2381158952025135E-3</c:v>
                </c:pt>
                <c:pt idx="16">
                  <c:v>-8.3612070424138318E-3</c:v>
                </c:pt>
                <c:pt idx="17">
                  <c:v>-8.4700983536315499E-3</c:v>
                </c:pt>
                <c:pt idx="18">
                  <c:v>-8.5162606370191071E-3</c:v>
                </c:pt>
                <c:pt idx="19">
                  <c:v>-8.6590799738038085E-3</c:v>
                </c:pt>
                <c:pt idx="20">
                  <c:v>-8.6730254647166376E-3</c:v>
                </c:pt>
                <c:pt idx="21">
                  <c:v>-8.5817146998316864E-3</c:v>
                </c:pt>
                <c:pt idx="22">
                  <c:v>-8.3708420406917224E-3</c:v>
                </c:pt>
                <c:pt idx="23">
                  <c:v>-8.1049442040824621E-3</c:v>
                </c:pt>
                <c:pt idx="24">
                  <c:v>-7.769393287065959E-3</c:v>
                </c:pt>
                <c:pt idx="25">
                  <c:v>-7.3725592740608459E-3</c:v>
                </c:pt>
                <c:pt idx="26">
                  <c:v>-6.9474523800047809E-3</c:v>
                </c:pt>
                <c:pt idx="27">
                  <c:v>-6.1135600507717042E-3</c:v>
                </c:pt>
                <c:pt idx="28">
                  <c:v>-4.9325517421033279E-3</c:v>
                </c:pt>
                <c:pt idx="29">
                  <c:v>-3.7185159617401805E-3</c:v>
                </c:pt>
                <c:pt idx="30">
                  <c:v>-3.2043586069662533E-3</c:v>
                </c:pt>
                <c:pt idx="31">
                  <c:v>-3.1109102993995999E-3</c:v>
                </c:pt>
                <c:pt idx="32">
                  <c:v>-2.3620343269082104E-3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F6-48B3-8C51-C5FDC5807D81}"/>
            </c:ext>
          </c:extLst>
        </c:ser>
        <c:ser>
          <c:idx val="1"/>
          <c:order val="1"/>
          <c:tx>
            <c:strRef>
              <c:f>PRICER_EUR!$CC$1</c:f>
              <c:strCache>
                <c:ptCount val="1"/>
                <c:pt idx="0">
                  <c:v>OIS Node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PRICER_EUR!$BY$3:$BY$35</c:f>
              <c:numCache>
                <c:formatCode>0.000</c:formatCode>
                <c:ptCount val="33"/>
                <c:pt idx="0">
                  <c:v>1.9444444444444445E-2</c:v>
                </c:pt>
                <c:pt idx="1">
                  <c:v>3.888888888888889E-2</c:v>
                </c:pt>
                <c:pt idx="2">
                  <c:v>5.8333333333333334E-2</c:v>
                </c:pt>
                <c:pt idx="3">
                  <c:v>8.8888888888888892E-2</c:v>
                </c:pt>
                <c:pt idx="4">
                  <c:v>0.17222222222222222</c:v>
                </c:pt>
                <c:pt idx="5">
                  <c:v>0.25555555555555554</c:v>
                </c:pt>
                <c:pt idx="6">
                  <c:v>0.34166666666666667</c:v>
                </c:pt>
                <c:pt idx="7">
                  <c:v>0.42499999999999999</c:v>
                </c:pt>
                <c:pt idx="8">
                  <c:v>0.51666666666666672</c:v>
                </c:pt>
                <c:pt idx="9">
                  <c:v>0.59722222222222221</c:v>
                </c:pt>
                <c:pt idx="10">
                  <c:v>0.67500000000000004</c:v>
                </c:pt>
                <c:pt idx="11">
                  <c:v>0.77222222222222225</c:v>
                </c:pt>
                <c:pt idx="12">
                  <c:v>0.85</c:v>
                </c:pt>
                <c:pt idx="13">
                  <c:v>0.93055555555555558</c:v>
                </c:pt>
                <c:pt idx="14">
                  <c:v>1.0138888888888888</c:v>
                </c:pt>
                <c:pt idx="15">
                  <c:v>1.2749999999999999</c:v>
                </c:pt>
                <c:pt idx="16">
                  <c:v>1.5305555555555554</c:v>
                </c:pt>
                <c:pt idx="17">
                  <c:v>1.7805555555555554</c:v>
                </c:pt>
                <c:pt idx="18">
                  <c:v>2.036111111111111</c:v>
                </c:pt>
                <c:pt idx="19">
                  <c:v>3.0444444444444443</c:v>
                </c:pt>
                <c:pt idx="20">
                  <c:v>4.0583333333333336</c:v>
                </c:pt>
                <c:pt idx="21">
                  <c:v>5.072222222222222</c:v>
                </c:pt>
                <c:pt idx="22">
                  <c:v>6.0861111111111112</c:v>
                </c:pt>
                <c:pt idx="23">
                  <c:v>7.1</c:v>
                </c:pt>
                <c:pt idx="24">
                  <c:v>8.1194444444444436</c:v>
                </c:pt>
                <c:pt idx="25">
                  <c:v>9.1305555555555564</c:v>
                </c:pt>
                <c:pt idx="26">
                  <c:v>10.144444444444444</c:v>
                </c:pt>
                <c:pt idx="27">
                  <c:v>12.175000000000001</c:v>
                </c:pt>
                <c:pt idx="28">
                  <c:v>15.216666666666667</c:v>
                </c:pt>
                <c:pt idx="29">
                  <c:v>20.291666666666668</c:v>
                </c:pt>
                <c:pt idx="30">
                  <c:v>30.444444444444443</c:v>
                </c:pt>
                <c:pt idx="31">
                  <c:v>40.583333333333336</c:v>
                </c:pt>
                <c:pt idx="32">
                  <c:v>50.727777777777774</c:v>
                </c:pt>
              </c:numCache>
            </c:numRef>
          </c:xVal>
          <c:yVal>
            <c:numRef>
              <c:f>PRICER_EUR!$CC$3:$CC$35</c:f>
              <c:numCache>
                <c:formatCode>0.000000</c:formatCode>
                <c:ptCount val="33"/>
                <c:pt idx="0">
                  <c:v>-4.5995959389977248E-3</c:v>
                </c:pt>
                <c:pt idx="1">
                  <c:v>-4.5998016435601086E-3</c:v>
                </c:pt>
                <c:pt idx="2">
                  <c:v>-4.6119172730169078E-3</c:v>
                </c:pt>
                <c:pt idx="3">
                  <c:v>-4.6202466828192401E-3</c:v>
                </c:pt>
                <c:pt idx="4">
                  <c:v>-4.6530135967937092E-3</c:v>
                </c:pt>
                <c:pt idx="5">
                  <c:v>-4.699755924384541E-3</c:v>
                </c:pt>
                <c:pt idx="6">
                  <c:v>-4.7525456207143657E-3</c:v>
                </c:pt>
                <c:pt idx="7">
                  <c:v>-4.7933775902654352E-3</c:v>
                </c:pt>
                <c:pt idx="8">
                  <c:v>-4.8243618797246812E-3</c:v>
                </c:pt>
                <c:pt idx="9">
                  <c:v>-4.8752025260269116E-3</c:v>
                </c:pt>
                <c:pt idx="10">
                  <c:v>-4.9060801867970572E-3</c:v>
                </c:pt>
                <c:pt idx="11">
                  <c:v>-4.9571956248996019E-3</c:v>
                </c:pt>
                <c:pt idx="12">
                  <c:v>-4.9799651102787612E-3</c:v>
                </c:pt>
                <c:pt idx="13">
                  <c:v>-5.0291202252793488E-3</c:v>
                </c:pt>
                <c:pt idx="14">
                  <c:v>-5.060178111795266E-3</c:v>
                </c:pt>
                <c:pt idx="15">
                  <c:v>-5.1661267078247919E-3</c:v>
                </c:pt>
                <c:pt idx="16">
                  <c:v>-5.2348111425004618E-3</c:v>
                </c:pt>
                <c:pt idx="17">
                  <c:v>-5.2829218973656777E-3</c:v>
                </c:pt>
                <c:pt idx="18">
                  <c:v>-5.3196197934223255E-3</c:v>
                </c:pt>
                <c:pt idx="19">
                  <c:v>-5.3396345138808643E-3</c:v>
                </c:pt>
                <c:pt idx="20">
                  <c:v>-5.2306486832220944E-3</c:v>
                </c:pt>
                <c:pt idx="21">
                  <c:v>-5.0226570381556312E-3</c:v>
                </c:pt>
                <c:pt idx="22">
                  <c:v>-4.7058870743581505E-3</c:v>
                </c:pt>
                <c:pt idx="23">
                  <c:v>-4.3592951887887477E-3</c:v>
                </c:pt>
                <c:pt idx="24">
                  <c:v>-4.0025478330193431E-3</c:v>
                </c:pt>
                <c:pt idx="25">
                  <c:v>-3.605864912001211E-3</c:v>
                </c:pt>
                <c:pt idx="26">
                  <c:v>-3.1787819148809682E-3</c:v>
                </c:pt>
                <c:pt idx="27">
                  <c:v>-2.3614463905514693E-3</c:v>
                </c:pt>
                <c:pt idx="28">
                  <c:v>-1.2827032986238995E-3</c:v>
                </c:pt>
                <c:pt idx="29">
                  <c:v>-3.7130932485385237E-4</c:v>
                </c:pt>
                <c:pt idx="30">
                  <c:v>-7.2006987542116985E-4</c:v>
                </c:pt>
                <c:pt idx="31">
                  <c:v>-1.2168791762277031E-3</c:v>
                </c:pt>
                <c:pt idx="32">
                  <c:v>-1.5271284859610379E-3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F6-48B3-8C51-C5FDC5807D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852944"/>
        <c:axId val="450853928"/>
      </c:scatterChart>
      <c:valAx>
        <c:axId val="450852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853928"/>
        <c:crosses val="autoZero"/>
        <c:crossBetween val="midCat"/>
      </c:valAx>
      <c:valAx>
        <c:axId val="45085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85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EUR : 3ML resets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PRICER_EUR!$R$1</c:f>
              <c:strCache>
                <c:ptCount val="1"/>
                <c:pt idx="0">
                  <c:v>Reset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PRICER_EUR!$R$3:$R$122</c:f>
              <c:numCache>
                <c:formatCode>0.00000%</c:formatCode>
                <c:ptCount val="120"/>
                <c:pt idx="0">
                  <c:v>-4.2200000000032307E-3</c:v>
                </c:pt>
                <c:pt idx="1">
                  <c:v>-4.5400000000000596E-3</c:v>
                </c:pt>
                <c:pt idx="2">
                  <c:v>-4.630000000000422E-3</c:v>
                </c:pt>
                <c:pt idx="3">
                  <c:v>-4.7968249747579444E-3</c:v>
                </c:pt>
                <c:pt idx="4">
                  <c:v>-4.8495714878711103E-3</c:v>
                </c:pt>
                <c:pt idx="5">
                  <c:v>-4.8688732106135215E-3</c:v>
                </c:pt>
                <c:pt idx="6">
                  <c:v>-4.8689390883320796E-3</c:v>
                </c:pt>
                <c:pt idx="7">
                  <c:v>-4.8662798188334874E-3</c:v>
                </c:pt>
                <c:pt idx="8">
                  <c:v>-4.6303335408786001E-3</c:v>
                </c:pt>
                <c:pt idx="9">
                  <c:v>-4.6302739628719305E-3</c:v>
                </c:pt>
                <c:pt idx="10">
                  <c:v>-4.6303335408776798E-3</c:v>
                </c:pt>
                <c:pt idx="11">
                  <c:v>-4.6303037517473411E-3</c:v>
                </c:pt>
                <c:pt idx="12">
                  <c:v>-3.9015849832677854E-3</c:v>
                </c:pt>
                <c:pt idx="13">
                  <c:v>-3.9015638342168204E-3</c:v>
                </c:pt>
                <c:pt idx="14">
                  <c:v>-3.9015849832682247E-3</c:v>
                </c:pt>
                <c:pt idx="15">
                  <c:v>-3.9015849832677854E-3</c:v>
                </c:pt>
                <c:pt idx="16">
                  <c:v>-3.1155650552419749E-3</c:v>
                </c:pt>
                <c:pt idx="17">
                  <c:v>-3.1155650552428431E-3</c:v>
                </c:pt>
                <c:pt idx="18">
                  <c:v>-3.1155920257388559E-3</c:v>
                </c:pt>
                <c:pt idx="19">
                  <c:v>-3.1155785404515931E-3</c:v>
                </c:pt>
                <c:pt idx="20">
                  <c:v>-2.2724904306213041E-3</c:v>
                </c:pt>
                <c:pt idx="21">
                  <c:v>-2.2724904306213041E-3</c:v>
                </c:pt>
                <c:pt idx="22">
                  <c:v>-2.2725047784950521E-3</c:v>
                </c:pt>
                <c:pt idx="23">
                  <c:v>-2.2724976045424153E-3</c:v>
                </c:pt>
                <c:pt idx="24">
                  <c:v>-1.4059975717692701E-3</c:v>
                </c:pt>
                <c:pt idx="25">
                  <c:v>-1.4059920799337554E-3</c:v>
                </c:pt>
                <c:pt idx="26">
                  <c:v>-1.4060085555259391E-3</c:v>
                </c:pt>
                <c:pt idx="27">
                  <c:v>-1.4060003176976006E-3</c:v>
                </c:pt>
                <c:pt idx="28">
                  <c:v>-2.2598253203741809E-4</c:v>
                </c:pt>
                <c:pt idx="29">
                  <c:v>-2.2598267389590404E-4</c:v>
                </c:pt>
                <c:pt idx="30">
                  <c:v>-2.2598281575492122E-4</c:v>
                </c:pt>
                <c:pt idx="31">
                  <c:v>-2.2598274482512457E-4</c:v>
                </c:pt>
                <c:pt idx="32">
                  <c:v>7.3082781369407076E-4</c:v>
                </c:pt>
                <c:pt idx="33">
                  <c:v>7.3082855546693221E-4</c:v>
                </c:pt>
                <c:pt idx="34">
                  <c:v>7.3082781369407076E-4</c:v>
                </c:pt>
                <c:pt idx="35">
                  <c:v>7.30827071921956E-4</c:v>
                </c:pt>
                <c:pt idx="36">
                  <c:v>1.8248810849154902E-3</c:v>
                </c:pt>
                <c:pt idx="37">
                  <c:v>1.8248810849163589E-3</c:v>
                </c:pt>
                <c:pt idx="38">
                  <c:v>1.824871835854224E-3</c:v>
                </c:pt>
                <c:pt idx="39">
                  <c:v>1.8248764603777158E-3</c:v>
                </c:pt>
                <c:pt idx="40">
                  <c:v>3.015824551450622E-3</c:v>
                </c:pt>
                <c:pt idx="41">
                  <c:v>3.0158245514497538E-3</c:v>
                </c:pt>
                <c:pt idx="42">
                  <c:v>3.0157992936405962E-3</c:v>
                </c:pt>
                <c:pt idx="43">
                  <c:v>3.015811922510991E-3</c:v>
                </c:pt>
                <c:pt idx="44">
                  <c:v>3.0158245514497538E-3</c:v>
                </c:pt>
                <c:pt idx="45">
                  <c:v>3.0158245514497538E-3</c:v>
                </c:pt>
                <c:pt idx="46">
                  <c:v>3.015811922510991E-3</c:v>
                </c:pt>
                <c:pt idx="47">
                  <c:v>3.0158119225101123E-3</c:v>
                </c:pt>
                <c:pt idx="48">
                  <c:v>4.0135512726060122E-3</c:v>
                </c:pt>
                <c:pt idx="49">
                  <c:v>4.013506542467191E-3</c:v>
                </c:pt>
                <c:pt idx="50">
                  <c:v>4.0134618129936397E-3</c:v>
                </c:pt>
                <c:pt idx="51">
                  <c:v>4.0135065424663306E-3</c:v>
                </c:pt>
                <c:pt idx="52">
                  <c:v>4.0134618129936397E-3</c:v>
                </c:pt>
                <c:pt idx="53">
                  <c:v>4.013506542467191E-3</c:v>
                </c:pt>
                <c:pt idx="54">
                  <c:v>4.0134618129936397E-3</c:v>
                </c:pt>
                <c:pt idx="55">
                  <c:v>4.0134841776468403E-3</c:v>
                </c:pt>
                <c:pt idx="56">
                  <c:v>4.0134841776468403E-3</c:v>
                </c:pt>
                <c:pt idx="57">
                  <c:v>4.013506542467191E-3</c:v>
                </c:pt>
                <c:pt idx="58">
                  <c:v>4.0134618129927602E-3</c:v>
                </c:pt>
                <c:pt idx="59">
                  <c:v>4.0134841776477102E-3</c:v>
                </c:pt>
                <c:pt idx="60">
                  <c:v>3.0441908899218094E-3</c:v>
                </c:pt>
                <c:pt idx="61">
                  <c:v>3.0441908899209403E-3</c:v>
                </c:pt>
                <c:pt idx="62">
                  <c:v>3.0441780223237742E-3</c:v>
                </c:pt>
                <c:pt idx="63">
                  <c:v>3.0441780223237742E-3</c:v>
                </c:pt>
                <c:pt idx="64">
                  <c:v>3.0441908899209403E-3</c:v>
                </c:pt>
                <c:pt idx="65">
                  <c:v>3.0441908899218094E-3</c:v>
                </c:pt>
                <c:pt idx="66">
                  <c:v>3.0441651548001043E-3</c:v>
                </c:pt>
                <c:pt idx="67">
                  <c:v>3.0441780223237742E-3</c:v>
                </c:pt>
                <c:pt idx="68">
                  <c:v>3.0441908899218094E-3</c:v>
                </c:pt>
                <c:pt idx="69">
                  <c:v>3.0442166253323156E-3</c:v>
                </c:pt>
                <c:pt idx="70">
                  <c:v>3.0441394199687277E-3</c:v>
                </c:pt>
                <c:pt idx="71">
                  <c:v>3.0441780223237742E-3</c:v>
                </c:pt>
                <c:pt idx="72">
                  <c:v>3.0442166253331696E-3</c:v>
                </c:pt>
                <c:pt idx="73">
                  <c:v>3.0441908899209403E-3</c:v>
                </c:pt>
                <c:pt idx="74">
                  <c:v>3.0441651547992161E-3</c:v>
                </c:pt>
                <c:pt idx="75">
                  <c:v>3.0441908899218094E-3</c:v>
                </c:pt>
                <c:pt idx="76">
                  <c:v>3.0441651548001043E-3</c:v>
                </c:pt>
                <c:pt idx="77">
                  <c:v>3.0441908899209403E-3</c:v>
                </c:pt>
                <c:pt idx="78">
                  <c:v>3.0441780223237742E-3</c:v>
                </c:pt>
                <c:pt idx="79">
                  <c:v>3.0441651548001043E-3</c:v>
                </c:pt>
                <c:pt idx="80">
                  <c:v>5.5210400421271827E-4</c:v>
                </c:pt>
                <c:pt idx="81">
                  <c:v>5.5210400421271827E-4</c:v>
                </c:pt>
                <c:pt idx="82">
                  <c:v>5.5210315753484397E-4</c:v>
                </c:pt>
                <c:pt idx="83">
                  <c:v>5.5210358087331426E-4</c:v>
                </c:pt>
                <c:pt idx="84">
                  <c:v>5.5210400421271827E-4</c:v>
                </c:pt>
                <c:pt idx="85">
                  <c:v>5.5210400421271827E-4</c:v>
                </c:pt>
                <c:pt idx="86">
                  <c:v>5.5210315753484397E-4</c:v>
                </c:pt>
                <c:pt idx="87">
                  <c:v>5.5210358087331426E-4</c:v>
                </c:pt>
                <c:pt idx="88">
                  <c:v>5.5210400421271827E-4</c:v>
                </c:pt>
                <c:pt idx="89">
                  <c:v>5.5210400421271827E-4</c:v>
                </c:pt>
                <c:pt idx="90">
                  <c:v>5.5210315753395601E-4</c:v>
                </c:pt>
                <c:pt idx="91">
                  <c:v>5.5210358087331426E-4</c:v>
                </c:pt>
                <c:pt idx="92">
                  <c:v>5.5210400421271827E-4</c:v>
                </c:pt>
                <c:pt idx="93">
                  <c:v>5.5210485089250379E-4</c:v>
                </c:pt>
                <c:pt idx="94">
                  <c:v>5.5210358087331426E-4</c:v>
                </c:pt>
                <c:pt idx="95">
                  <c:v>5.5210400421271827E-4</c:v>
                </c:pt>
                <c:pt idx="96">
                  <c:v>5.5210315753395601E-4</c:v>
                </c:pt>
                <c:pt idx="97">
                  <c:v>5.5210400421271827E-4</c:v>
                </c:pt>
                <c:pt idx="98">
                  <c:v>5.5210315753395601E-4</c:v>
                </c:pt>
                <c:pt idx="99">
                  <c:v>5.5210358087331426E-4</c:v>
                </c:pt>
                <c:pt idx="100">
                  <c:v>-1.105119979947E-3</c:v>
                </c:pt>
                <c:pt idx="101">
                  <c:v>-1.105118283554194E-3</c:v>
                </c:pt>
                <c:pt idx="102">
                  <c:v>-1.1051216763435759E-3</c:v>
                </c:pt>
                <c:pt idx="103">
                  <c:v>-1.105119979947E-3</c:v>
                </c:pt>
                <c:pt idx="104">
                  <c:v>-1.105118283554194E-3</c:v>
                </c:pt>
                <c:pt idx="105">
                  <c:v>-1.1051182835546283E-3</c:v>
                </c:pt>
                <c:pt idx="106">
                  <c:v>-1.105121676343132E-3</c:v>
                </c:pt>
                <c:pt idx="107">
                  <c:v>-1.105119979947E-3</c:v>
                </c:pt>
                <c:pt idx="108">
                  <c:v>-1.105118283554194E-3</c:v>
                </c:pt>
                <c:pt idx="109">
                  <c:v>-1.1051182835546283E-3</c:v>
                </c:pt>
                <c:pt idx="110">
                  <c:v>-1.1051199799465609E-3</c:v>
                </c:pt>
                <c:pt idx="111">
                  <c:v>-1.105119979947E-3</c:v>
                </c:pt>
                <c:pt idx="112">
                  <c:v>-1.105118283554194E-3</c:v>
                </c:pt>
                <c:pt idx="113">
                  <c:v>-1.1051148907798355E-3</c:v>
                </c:pt>
                <c:pt idx="114">
                  <c:v>-1.1051250691458273E-3</c:v>
                </c:pt>
                <c:pt idx="115">
                  <c:v>-1.105119979947E-3</c:v>
                </c:pt>
                <c:pt idx="116">
                  <c:v>-1.1051148907798355E-3</c:v>
                </c:pt>
                <c:pt idx="117">
                  <c:v>-1.105118283554194E-3</c:v>
                </c:pt>
                <c:pt idx="118">
                  <c:v>-1.105121676343132E-3</c:v>
                </c:pt>
                <c:pt idx="119">
                  <c:v>-1.1122168373971864E-3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12-4A0F-AE39-C2D79ADB3F22}"/>
            </c:ext>
          </c:extLst>
        </c:ser>
        <c:ser>
          <c:idx val="1"/>
          <c:order val="1"/>
          <c:tx>
            <c:strRef>
              <c:f>PRICER_EUR!$AD$1</c:f>
              <c:strCache>
                <c:ptCount val="1"/>
                <c:pt idx="0">
                  <c:v>EUR: 3ML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PRICER_EUR!$AD$3:$AD$122</c:f>
              <c:numCache>
                <c:formatCode>0.0000%</c:formatCode>
                <c:ptCount val="120"/>
                <c:pt idx="0">
                  <c:v>-4.2199999999999998E-3</c:v>
                </c:pt>
                <c:pt idx="1">
                  <c:v>-4.6874999999999998E-3</c:v>
                </c:pt>
                <c:pt idx="2">
                  <c:v>-4.5608000000000003E-3</c:v>
                </c:pt>
                <c:pt idx="3">
                  <c:v>-4.8374999999999998E-3</c:v>
                </c:pt>
                <c:pt idx="4">
                  <c:v>-4.9633999999999998E-3</c:v>
                </c:pt>
                <c:pt idx="5">
                  <c:v>-4.9581E-3</c:v>
                </c:pt>
                <c:pt idx="6">
                  <c:v>-4.9129999999999998E-3</c:v>
                </c:pt>
                <c:pt idx="7">
                  <c:v>-4.8678999999999997E-3</c:v>
                </c:pt>
                <c:pt idx="8">
                  <c:v>-4.7951000000000001E-3</c:v>
                </c:pt>
                <c:pt idx="9">
                  <c:v>-4.5031999999999997E-3</c:v>
                </c:pt>
                <c:pt idx="10">
                  <c:v>-4.4524000000000005E-3</c:v>
                </c:pt>
                <c:pt idx="11">
                  <c:v>-4.4016999999999997E-3</c:v>
                </c:pt>
                <c:pt idx="12">
                  <c:v>-4.0490999999999999E-3</c:v>
                </c:pt>
                <c:pt idx="13">
                  <c:v>-3.9503000000000003E-3</c:v>
                </c:pt>
                <c:pt idx="14">
                  <c:v>-3.8512000000000004E-3</c:v>
                </c:pt>
                <c:pt idx="15">
                  <c:v>-3.7524000000000004E-3</c:v>
                </c:pt>
                <c:pt idx="16">
                  <c:v>-3.3237000000000002E-3</c:v>
                </c:pt>
                <c:pt idx="17">
                  <c:v>-3.1836E-3</c:v>
                </c:pt>
                <c:pt idx="18">
                  <c:v>-3.0447E-3</c:v>
                </c:pt>
                <c:pt idx="19">
                  <c:v>-2.9061999999999998E-3</c:v>
                </c:pt>
                <c:pt idx="20">
                  <c:v>-2.5180000000000003E-3</c:v>
                </c:pt>
                <c:pt idx="21">
                  <c:v>-2.3525E-3</c:v>
                </c:pt>
                <c:pt idx="22">
                  <c:v>-2.1884999999999999E-3</c:v>
                </c:pt>
                <c:pt idx="23">
                  <c:v>-2.0251000000000002E-3</c:v>
                </c:pt>
                <c:pt idx="24">
                  <c:v>-1.6725000000000002E-3</c:v>
                </c:pt>
                <c:pt idx="25">
                  <c:v>-1.4886999999999999E-3</c:v>
                </c:pt>
                <c:pt idx="26">
                  <c:v>-1.3086E-3</c:v>
                </c:pt>
                <c:pt idx="27">
                  <c:v>-1.1313E-3</c:v>
                </c:pt>
                <c:pt idx="28">
                  <c:v>-5.4230000000000001E-4</c:v>
                </c:pt>
                <c:pt idx="29">
                  <c:v>-3.2910000000000003E-4</c:v>
                </c:pt>
                <c:pt idx="30">
                  <c:v>-1.205E-4</c:v>
                </c:pt>
                <c:pt idx="31">
                  <c:v>8.7100000000000003E-5</c:v>
                </c:pt>
                <c:pt idx="32">
                  <c:v>4.0860000000000001E-4</c:v>
                </c:pt>
                <c:pt idx="33">
                  <c:v>6.2520000000000002E-4</c:v>
                </c:pt>
                <c:pt idx="34">
                  <c:v>8.4169999999999991E-4</c:v>
                </c:pt>
                <c:pt idx="35">
                  <c:v>1.0556999999999999E-3</c:v>
                </c:pt>
                <c:pt idx="36">
                  <c:v>1.4857000000000002E-3</c:v>
                </c:pt>
                <c:pt idx="37">
                  <c:v>1.7144E-3</c:v>
                </c:pt>
                <c:pt idx="38">
                  <c:v>1.9403999999999999E-3</c:v>
                </c:pt>
                <c:pt idx="39">
                  <c:v>2.1648000000000001E-3</c:v>
                </c:pt>
                <c:pt idx="40">
                  <c:v>2.5009999999999998E-3</c:v>
                </c:pt>
                <c:pt idx="41">
                  <c:v>2.7336000000000001E-3</c:v>
                </c:pt>
                <c:pt idx="42">
                  <c:v>2.9631999999999996E-3</c:v>
                </c:pt>
                <c:pt idx="43">
                  <c:v>3.1911000000000001E-3</c:v>
                </c:pt>
                <c:pt idx="44">
                  <c:v>2.8788000000000004E-3</c:v>
                </c:pt>
                <c:pt idx="45">
                  <c:v>3.0858999999999999E-3</c:v>
                </c:pt>
                <c:pt idx="46">
                  <c:v>3.2915000000000002E-3</c:v>
                </c:pt>
                <c:pt idx="47">
                  <c:v>3.4954000000000001E-3</c:v>
                </c:pt>
                <c:pt idx="48">
                  <c:v>3.0480000000000004E-3</c:v>
                </c:pt>
                <c:pt idx="49">
                  <c:v>3.2293000000000001E-3</c:v>
                </c:pt>
                <c:pt idx="50">
                  <c:v>3.4061999999999999E-3</c:v>
                </c:pt>
                <c:pt idx="51">
                  <c:v>3.5826999999999999E-3</c:v>
                </c:pt>
                <c:pt idx="52">
                  <c:v>3.7586999999999998E-3</c:v>
                </c:pt>
                <c:pt idx="53">
                  <c:v>3.9342999999999999E-3</c:v>
                </c:pt>
                <c:pt idx="54">
                  <c:v>4.1092000000000004E-3</c:v>
                </c:pt>
                <c:pt idx="55">
                  <c:v>4.2827999999999998E-3</c:v>
                </c:pt>
                <c:pt idx="56">
                  <c:v>4.4567000000000001E-3</c:v>
                </c:pt>
                <c:pt idx="57">
                  <c:v>4.6309999999999997E-3</c:v>
                </c:pt>
                <c:pt idx="58">
                  <c:v>4.8035999999999999E-3</c:v>
                </c:pt>
                <c:pt idx="59">
                  <c:v>4.9747999999999997E-3</c:v>
                </c:pt>
                <c:pt idx="60">
                  <c:v>2.2694E-3</c:v>
                </c:pt>
                <c:pt idx="61">
                  <c:v>2.3525999999999998E-3</c:v>
                </c:pt>
                <c:pt idx="62">
                  <c:v>2.4351999999999998E-3</c:v>
                </c:pt>
                <c:pt idx="63">
                  <c:v>2.5171999999999998E-3</c:v>
                </c:pt>
                <c:pt idx="64">
                  <c:v>2.5995000000000002E-3</c:v>
                </c:pt>
                <c:pt idx="65">
                  <c:v>2.6821000000000002E-3</c:v>
                </c:pt>
                <c:pt idx="66">
                  <c:v>2.7635999999999997E-3</c:v>
                </c:pt>
                <c:pt idx="67">
                  <c:v>2.8446000000000001E-3</c:v>
                </c:pt>
                <c:pt idx="68">
                  <c:v>2.9261999999999999E-3</c:v>
                </c:pt>
                <c:pt idx="69">
                  <c:v>3.009E-3</c:v>
                </c:pt>
                <c:pt idx="70">
                  <c:v>3.0897000000000003E-3</c:v>
                </c:pt>
                <c:pt idx="71">
                  <c:v>3.1691000000000002E-3</c:v>
                </c:pt>
                <c:pt idx="72">
                  <c:v>3.2508999999999997E-3</c:v>
                </c:pt>
                <c:pt idx="73">
                  <c:v>3.3328000000000003E-3</c:v>
                </c:pt>
                <c:pt idx="74">
                  <c:v>3.4127999999999997E-3</c:v>
                </c:pt>
                <c:pt idx="75">
                  <c:v>3.4927000000000001E-3</c:v>
                </c:pt>
                <c:pt idx="76">
                  <c:v>3.5721999999999998E-3</c:v>
                </c:pt>
                <c:pt idx="77">
                  <c:v>3.6515999999999996E-3</c:v>
                </c:pt>
                <c:pt idx="78">
                  <c:v>3.7312000000000001E-3</c:v>
                </c:pt>
                <c:pt idx="79">
                  <c:v>3.8096999999999996E-3</c:v>
                </c:pt>
                <c:pt idx="80">
                  <c:v>5.5049999999999999E-4</c:v>
                </c:pt>
                <c:pt idx="81">
                  <c:v>5.5059999999999994E-4</c:v>
                </c:pt>
                <c:pt idx="82">
                  <c:v>5.5079999999999994E-4</c:v>
                </c:pt>
                <c:pt idx="83">
                  <c:v>5.5100000000000006E-4</c:v>
                </c:pt>
                <c:pt idx="84">
                  <c:v>5.5110000000000001E-4</c:v>
                </c:pt>
                <c:pt idx="85">
                  <c:v>5.5130000000000001E-4</c:v>
                </c:pt>
                <c:pt idx="86">
                  <c:v>5.5150000000000002E-4</c:v>
                </c:pt>
                <c:pt idx="87">
                  <c:v>5.5159999999999996E-4</c:v>
                </c:pt>
                <c:pt idx="88">
                  <c:v>5.5179999999999997E-4</c:v>
                </c:pt>
                <c:pt idx="89">
                  <c:v>5.5199999999999997E-4</c:v>
                </c:pt>
                <c:pt idx="90">
                  <c:v>5.5210000000000003E-4</c:v>
                </c:pt>
                <c:pt idx="91">
                  <c:v>5.5230000000000003E-4</c:v>
                </c:pt>
                <c:pt idx="92">
                  <c:v>5.5250000000000004E-4</c:v>
                </c:pt>
                <c:pt idx="93">
                  <c:v>5.5270000000000004E-4</c:v>
                </c:pt>
                <c:pt idx="94">
                  <c:v>5.5279999999999999E-4</c:v>
                </c:pt>
                <c:pt idx="95">
                  <c:v>5.53E-4</c:v>
                </c:pt>
                <c:pt idx="96">
                  <c:v>5.532E-4</c:v>
                </c:pt>
                <c:pt idx="97">
                  <c:v>5.5329999999999995E-4</c:v>
                </c:pt>
                <c:pt idx="98">
                  <c:v>5.5350000000000006E-4</c:v>
                </c:pt>
                <c:pt idx="99">
                  <c:v>5.5370000000000007E-4</c:v>
                </c:pt>
                <c:pt idx="100">
                  <c:v>-8.4390000000000008E-4</c:v>
                </c:pt>
                <c:pt idx="101">
                  <c:v>-8.7160000000000004E-4</c:v>
                </c:pt>
                <c:pt idx="102">
                  <c:v>-8.9910000000000001E-4</c:v>
                </c:pt>
                <c:pt idx="103">
                  <c:v>-9.2649999999999991E-4</c:v>
                </c:pt>
                <c:pt idx="104">
                  <c:v>-9.5430000000000005E-4</c:v>
                </c:pt>
                <c:pt idx="105">
                  <c:v>-9.8219999999999991E-4</c:v>
                </c:pt>
                <c:pt idx="106">
                  <c:v>-1.0097999999999999E-3</c:v>
                </c:pt>
                <c:pt idx="107">
                  <c:v>-1.0373000000000001E-3</c:v>
                </c:pt>
                <c:pt idx="108">
                  <c:v>-1.0651E-3</c:v>
                </c:pt>
                <c:pt idx="109">
                  <c:v>-1.0931000000000001E-3</c:v>
                </c:pt>
                <c:pt idx="110">
                  <c:v>-1.1209E-3</c:v>
                </c:pt>
                <c:pt idx="111">
                  <c:v>-1.1486999999999999E-3</c:v>
                </c:pt>
                <c:pt idx="112">
                  <c:v>-1.1766000000000001E-3</c:v>
                </c:pt>
                <c:pt idx="113">
                  <c:v>-1.2049999999999999E-3</c:v>
                </c:pt>
                <c:pt idx="114">
                  <c:v>-1.2328E-3</c:v>
                </c:pt>
                <c:pt idx="115">
                  <c:v>-1.2601000000000001E-3</c:v>
                </c:pt>
                <c:pt idx="116">
                  <c:v>-1.2884000000000001E-3</c:v>
                </c:pt>
                <c:pt idx="117">
                  <c:v>-1.3169E-3</c:v>
                </c:pt>
                <c:pt idx="118">
                  <c:v>-1.3449E-3</c:v>
                </c:pt>
                <c:pt idx="119">
                  <c:v>-1.3711999999999999E-3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12-4A0F-AE39-C2D79ADB3F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6957680"/>
        <c:axId val="636961616"/>
      </c:lineChart>
      <c:catAx>
        <c:axId val="6369576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961616"/>
        <c:crosses val="autoZero"/>
        <c:auto val="1"/>
        <c:lblAlgn val="ctr"/>
        <c:lblOffset val="100"/>
        <c:noMultiLvlLbl val="0"/>
      </c:catAx>
      <c:valAx>
        <c:axId val="63696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95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: 3ML resets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PRICER_EUR!$X$1</c:f>
              <c:strCache>
                <c:ptCount val="1"/>
                <c:pt idx="0">
                  <c:v>Reset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PRICER_EUR!$X$3:$X$122</c:f>
              <c:numCache>
                <c:formatCode>0.00000%</c:formatCode>
                <c:ptCount val="120"/>
                <c:pt idx="0">
                  <c:v>3.0199999999984081E-3</c:v>
                </c:pt>
                <c:pt idx="1">
                  <c:v>2.7569999999998034E-3</c:v>
                </c:pt>
                <c:pt idx="2">
                  <c:v>2.7849999999997369E-3</c:v>
                </c:pt>
                <c:pt idx="3">
                  <c:v>1.899008141945044E-3</c:v>
                </c:pt>
                <c:pt idx="4">
                  <c:v>1.8553751377814681E-3</c:v>
                </c:pt>
                <c:pt idx="5">
                  <c:v>1.8170538587960635E-3</c:v>
                </c:pt>
                <c:pt idx="6">
                  <c:v>1.8170446888996479E-3</c:v>
                </c:pt>
                <c:pt idx="7">
                  <c:v>1.8231750966987079E-3</c:v>
                </c:pt>
                <c:pt idx="8">
                  <c:v>2.380232077901388E-3</c:v>
                </c:pt>
                <c:pt idx="9">
                  <c:v>2.3802478123632767E-3</c:v>
                </c:pt>
                <c:pt idx="10">
                  <c:v>2.3802320779005002E-3</c:v>
                </c:pt>
                <c:pt idx="11">
                  <c:v>2.3802399451152475E-3</c:v>
                </c:pt>
                <c:pt idx="12">
                  <c:v>3.7060075682644749E-3</c:v>
                </c:pt>
                <c:pt idx="13">
                  <c:v>3.7060266380598119E-3</c:v>
                </c:pt>
                <c:pt idx="14">
                  <c:v>3.7060075682644749E-3</c:v>
                </c:pt>
                <c:pt idx="15">
                  <c:v>3.7060075682644749E-3</c:v>
                </c:pt>
                <c:pt idx="16">
                  <c:v>5.5591130022726518E-3</c:v>
                </c:pt>
                <c:pt idx="17">
                  <c:v>5.5591130022726518E-3</c:v>
                </c:pt>
                <c:pt idx="18">
                  <c:v>5.5590272000633992E-3</c:v>
                </c:pt>
                <c:pt idx="19">
                  <c:v>5.5590701009473184E-3</c:v>
                </c:pt>
                <c:pt idx="20">
                  <c:v>7.4946242317559869E-3</c:v>
                </c:pt>
                <c:pt idx="21">
                  <c:v>7.4946242317559869E-3</c:v>
                </c:pt>
                <c:pt idx="22">
                  <c:v>7.4944683073451994E-3</c:v>
                </c:pt>
                <c:pt idx="23">
                  <c:v>7.4945462690100264E-3</c:v>
                </c:pt>
                <c:pt idx="24">
                  <c:v>8.740368873285536E-3</c:v>
                </c:pt>
                <c:pt idx="25">
                  <c:v>8.7405809245815445E-3</c:v>
                </c:pt>
                <c:pt idx="26">
                  <c:v>8.7399447912653323E-3</c:v>
                </c:pt>
                <c:pt idx="27">
                  <c:v>8.7402628502084578E-3</c:v>
                </c:pt>
                <c:pt idx="28">
                  <c:v>9.6526004409305238E-3</c:v>
                </c:pt>
                <c:pt idx="29">
                  <c:v>9.6523418496696264E-3</c:v>
                </c:pt>
                <c:pt idx="30">
                  <c:v>9.6520832676434392E-3</c:v>
                </c:pt>
                <c:pt idx="31">
                  <c:v>9.652212557502645E-3</c:v>
                </c:pt>
                <c:pt idx="32">
                  <c:v>1.0472544197956483E-2</c:v>
                </c:pt>
                <c:pt idx="33">
                  <c:v>1.0472696390448588E-2</c:v>
                </c:pt>
                <c:pt idx="34">
                  <c:v>1.0472544197956483E-2</c:v>
                </c:pt>
                <c:pt idx="35">
                  <c:v>1.04723920084142E-2</c:v>
                </c:pt>
                <c:pt idx="36">
                  <c:v>1.0908868153551651E-2</c:v>
                </c:pt>
                <c:pt idx="37">
                  <c:v>1.0908868153550792E-2</c:v>
                </c:pt>
                <c:pt idx="38">
                  <c:v>1.090853790196088E-2</c:v>
                </c:pt>
                <c:pt idx="39">
                  <c:v>1.0908703026090356E-2</c:v>
                </c:pt>
                <c:pt idx="40">
                  <c:v>1.1379266421411171E-2</c:v>
                </c:pt>
                <c:pt idx="41">
                  <c:v>1.1379266421411171E-2</c:v>
                </c:pt>
                <c:pt idx="42">
                  <c:v>1.1378907089063082E-2</c:v>
                </c:pt>
                <c:pt idx="43">
                  <c:v>1.1379086753346434E-2</c:v>
                </c:pt>
                <c:pt idx="44">
                  <c:v>1.1379266421411171E-2</c:v>
                </c:pt>
                <c:pt idx="45">
                  <c:v>1.1379266421411171E-2</c:v>
                </c:pt>
                <c:pt idx="46">
                  <c:v>1.1379086753346434E-2</c:v>
                </c:pt>
                <c:pt idx="47">
                  <c:v>1.1379086753346434E-2</c:v>
                </c:pt>
                <c:pt idx="48">
                  <c:v>1.1313106853401799E-2</c:v>
                </c:pt>
                <c:pt idx="49">
                  <c:v>1.1312751692640247E-2</c:v>
                </c:pt>
                <c:pt idx="50">
                  <c:v>1.1312396546741401E-2</c:v>
                </c:pt>
                <c:pt idx="51">
                  <c:v>1.1312751692640247E-2</c:v>
                </c:pt>
                <c:pt idx="52">
                  <c:v>1.1312396546741401E-2</c:v>
                </c:pt>
                <c:pt idx="53">
                  <c:v>1.1312751692640247E-2</c:v>
                </c:pt>
                <c:pt idx="54">
                  <c:v>1.1312396546741401E-2</c:v>
                </c:pt>
                <c:pt idx="55">
                  <c:v>1.1312574117832879E-2</c:v>
                </c:pt>
                <c:pt idx="56">
                  <c:v>1.1312574117832879E-2</c:v>
                </c:pt>
                <c:pt idx="57">
                  <c:v>1.1312751692640247E-2</c:v>
                </c:pt>
                <c:pt idx="58">
                  <c:v>1.1312396546741401E-2</c:v>
                </c:pt>
                <c:pt idx="59">
                  <c:v>1.1312574117832879E-2</c:v>
                </c:pt>
                <c:pt idx="60">
                  <c:v>1.12814388578682E-2</c:v>
                </c:pt>
                <c:pt idx="61">
                  <c:v>1.12814388578682E-2</c:v>
                </c:pt>
                <c:pt idx="62">
                  <c:v>1.1281262264252585E-2</c:v>
                </c:pt>
                <c:pt idx="63">
                  <c:v>1.1281262264251714E-2</c:v>
                </c:pt>
                <c:pt idx="64">
                  <c:v>1.12814388578682E-2</c:v>
                </c:pt>
                <c:pt idx="65">
                  <c:v>1.1281438857867299E-2</c:v>
                </c:pt>
                <c:pt idx="66">
                  <c:v>1.1281085674321279E-2</c:v>
                </c:pt>
                <c:pt idx="67">
                  <c:v>1.1281262264251714E-2</c:v>
                </c:pt>
                <c:pt idx="68">
                  <c:v>1.12814388578682E-2</c:v>
                </c:pt>
                <c:pt idx="69">
                  <c:v>1.1281792056154583E-2</c:v>
                </c:pt>
                <c:pt idx="70">
                  <c:v>1.1280732505513284E-2</c:v>
                </c:pt>
                <c:pt idx="71">
                  <c:v>1.1281262264251714E-2</c:v>
                </c:pt>
                <c:pt idx="72">
                  <c:v>1.1281792056154583E-2</c:v>
                </c:pt>
                <c:pt idx="73">
                  <c:v>1.12814388578682E-2</c:v>
                </c:pt>
                <c:pt idx="74">
                  <c:v>1.1281085674321279E-2</c:v>
                </c:pt>
                <c:pt idx="75">
                  <c:v>1.12814388578682E-2</c:v>
                </c:pt>
                <c:pt idx="76">
                  <c:v>1.1281085674321279E-2</c:v>
                </c:pt>
                <c:pt idx="77">
                  <c:v>1.12814388578682E-2</c:v>
                </c:pt>
                <c:pt idx="78">
                  <c:v>1.1281262264252585E-2</c:v>
                </c:pt>
                <c:pt idx="79">
                  <c:v>1.1281085674321279E-2</c:v>
                </c:pt>
                <c:pt idx="80">
                  <c:v>1.0121368625331065E-2</c:v>
                </c:pt>
                <c:pt idx="81">
                  <c:v>1.0121368625331927E-2</c:v>
                </c:pt>
                <c:pt idx="82">
                  <c:v>1.012108431428692E-2</c:v>
                </c:pt>
                <c:pt idx="83">
                  <c:v>1.012122646847901E-2</c:v>
                </c:pt>
                <c:pt idx="84">
                  <c:v>1.0121368625331065E-2</c:v>
                </c:pt>
                <c:pt idx="85">
                  <c:v>1.0121368625331927E-2</c:v>
                </c:pt>
                <c:pt idx="86">
                  <c:v>1.01210843142878E-2</c:v>
                </c:pt>
                <c:pt idx="87">
                  <c:v>1.012122646847901E-2</c:v>
                </c:pt>
                <c:pt idx="88">
                  <c:v>1.0121368625331065E-2</c:v>
                </c:pt>
                <c:pt idx="89">
                  <c:v>1.0121368625331927E-2</c:v>
                </c:pt>
                <c:pt idx="90">
                  <c:v>1.01210843142878E-2</c:v>
                </c:pt>
                <c:pt idx="91">
                  <c:v>1.0121226468478102E-2</c:v>
                </c:pt>
                <c:pt idx="92">
                  <c:v>1.0121368625331065E-2</c:v>
                </c:pt>
                <c:pt idx="93">
                  <c:v>1.0121652947023276E-2</c:v>
                </c:pt>
                <c:pt idx="94">
                  <c:v>1.012122646847901E-2</c:v>
                </c:pt>
                <c:pt idx="95">
                  <c:v>1.0121368625331065E-2</c:v>
                </c:pt>
                <c:pt idx="96">
                  <c:v>1.01210843142878E-2</c:v>
                </c:pt>
                <c:pt idx="97">
                  <c:v>1.0121368625331065E-2</c:v>
                </c:pt>
                <c:pt idx="98">
                  <c:v>1.01210843142878E-2</c:v>
                </c:pt>
                <c:pt idx="99">
                  <c:v>1.012122646847901E-2</c:v>
                </c:pt>
                <c:pt idx="100">
                  <c:v>9.6219321216735564E-3</c:v>
                </c:pt>
                <c:pt idx="101">
                  <c:v>9.6220606042193464E-3</c:v>
                </c:pt>
                <c:pt idx="102">
                  <c:v>9.6218036414148396E-3</c:v>
                </c:pt>
                <c:pt idx="103">
                  <c:v>9.6219321216735564E-3</c:v>
                </c:pt>
                <c:pt idx="104">
                  <c:v>9.6220606042193464E-3</c:v>
                </c:pt>
                <c:pt idx="105">
                  <c:v>9.6220606042193464E-3</c:v>
                </c:pt>
                <c:pt idx="106">
                  <c:v>9.6218036414148396E-3</c:v>
                </c:pt>
                <c:pt idx="107">
                  <c:v>9.6219321216735564E-3</c:v>
                </c:pt>
                <c:pt idx="108">
                  <c:v>9.6220606042202086E-3</c:v>
                </c:pt>
                <c:pt idx="109">
                  <c:v>9.6220606042193464E-3</c:v>
                </c:pt>
                <c:pt idx="110">
                  <c:v>9.6219321216735564E-3</c:v>
                </c:pt>
                <c:pt idx="111">
                  <c:v>9.6219321216735564E-3</c:v>
                </c:pt>
                <c:pt idx="112">
                  <c:v>9.6220606042193464E-3</c:v>
                </c:pt>
                <c:pt idx="113">
                  <c:v>9.6223175761725958E-3</c:v>
                </c:pt>
                <c:pt idx="114">
                  <c:v>9.6215466877587405E-3</c:v>
                </c:pt>
                <c:pt idx="115">
                  <c:v>9.6219321216735564E-3</c:v>
                </c:pt>
                <c:pt idx="116">
                  <c:v>9.6223175761725958E-3</c:v>
                </c:pt>
                <c:pt idx="117">
                  <c:v>9.6220606042193464E-3</c:v>
                </c:pt>
                <c:pt idx="118">
                  <c:v>9.6218036414157208E-3</c:v>
                </c:pt>
                <c:pt idx="119">
                  <c:v>9.5977481675763136E-3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EA-4594-B329-0E2B93ACC2EF}"/>
            </c:ext>
          </c:extLst>
        </c:ser>
        <c:ser>
          <c:idx val="1"/>
          <c:order val="1"/>
          <c:tx>
            <c:strRef>
              <c:f>PRICER_EUR!$AE$1</c:f>
              <c:strCache>
                <c:ptCount val="1"/>
                <c:pt idx="0">
                  <c:v>USD: 3ML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PRICER_EUR!$AE$3:$AE$122</c:f>
              <c:numCache>
                <c:formatCode>0.0000%</c:formatCode>
                <c:ptCount val="120"/>
                <c:pt idx="0">
                  <c:v>3.0200000000000001E-3</c:v>
                </c:pt>
                <c:pt idx="1">
                  <c:v>2.6281E-3</c:v>
                </c:pt>
                <c:pt idx="2">
                  <c:v>2.7339999999999999E-3</c:v>
                </c:pt>
                <c:pt idx="3">
                  <c:v>1.9270000000000001E-3</c:v>
                </c:pt>
                <c:pt idx="4">
                  <c:v>1.7496999999999999E-3</c:v>
                </c:pt>
                <c:pt idx="5">
                  <c:v>1.7412E-3</c:v>
                </c:pt>
                <c:pt idx="6">
                  <c:v>1.9459000000000002E-3</c:v>
                </c:pt>
                <c:pt idx="7">
                  <c:v>1.9970999999999999E-3</c:v>
                </c:pt>
                <c:pt idx="8">
                  <c:v>2.3408999999999999E-3</c:v>
                </c:pt>
                <c:pt idx="9">
                  <c:v>2.3674E-3</c:v>
                </c:pt>
                <c:pt idx="10">
                  <c:v>2.3938000000000002E-3</c:v>
                </c:pt>
                <c:pt idx="11">
                  <c:v>2.4201000000000001E-3</c:v>
                </c:pt>
                <c:pt idx="12">
                  <c:v>3.4394999999999998E-3</c:v>
                </c:pt>
                <c:pt idx="13">
                  <c:v>3.6175000000000001E-3</c:v>
                </c:pt>
                <c:pt idx="14">
                  <c:v>3.7948999999999999E-3</c:v>
                </c:pt>
                <c:pt idx="15">
                  <c:v>3.9709000000000003E-3</c:v>
                </c:pt>
                <c:pt idx="16">
                  <c:v>5.1314000000000004E-3</c:v>
                </c:pt>
                <c:pt idx="17">
                  <c:v>5.4222999999999997E-3</c:v>
                </c:pt>
                <c:pt idx="18">
                  <c:v>5.7088000000000009E-3</c:v>
                </c:pt>
                <c:pt idx="19">
                  <c:v>5.9925999999999998E-3</c:v>
                </c:pt>
                <c:pt idx="20">
                  <c:v>6.9771000000000008E-3</c:v>
                </c:pt>
                <c:pt idx="21">
                  <c:v>7.3273999999999995E-3</c:v>
                </c:pt>
                <c:pt idx="22">
                  <c:v>7.6717999999999995E-3</c:v>
                </c:pt>
                <c:pt idx="23">
                  <c:v>8.0125999999999999E-3</c:v>
                </c:pt>
                <c:pt idx="24">
                  <c:v>8.2462000000000004E-3</c:v>
                </c:pt>
                <c:pt idx="25">
                  <c:v>8.5838000000000008E-3</c:v>
                </c:pt>
                <c:pt idx="26">
                  <c:v>8.9110999999999999E-3</c:v>
                </c:pt>
                <c:pt idx="27">
                  <c:v>9.2318000000000001E-3</c:v>
                </c:pt>
                <c:pt idx="28">
                  <c:v>9.1912999999999995E-3</c:v>
                </c:pt>
                <c:pt idx="29">
                  <c:v>9.4950999999999994E-3</c:v>
                </c:pt>
                <c:pt idx="30">
                  <c:v>9.7902000000000006E-3</c:v>
                </c:pt>
                <c:pt idx="31">
                  <c:v>1.00818E-2</c:v>
                </c:pt>
                <c:pt idx="32">
                  <c:v>1.0072600000000001E-2</c:v>
                </c:pt>
                <c:pt idx="33">
                  <c:v>1.0346200000000002E-2</c:v>
                </c:pt>
                <c:pt idx="34">
                  <c:v>1.0617300000000001E-2</c:v>
                </c:pt>
                <c:pt idx="35">
                  <c:v>1.08833E-2</c:v>
                </c:pt>
                <c:pt idx="36">
                  <c:v>1.0562800000000001E-2</c:v>
                </c:pt>
                <c:pt idx="37">
                  <c:v>1.0800199999999999E-2</c:v>
                </c:pt>
                <c:pt idx="38">
                  <c:v>1.1032599999999998E-2</c:v>
                </c:pt>
                <c:pt idx="39">
                  <c:v>1.1262300000000001E-2</c:v>
                </c:pt>
                <c:pt idx="40">
                  <c:v>1.0976E-2</c:v>
                </c:pt>
                <c:pt idx="41">
                  <c:v>1.11828E-2</c:v>
                </c:pt>
                <c:pt idx="42">
                  <c:v>1.1385300000000001E-2</c:v>
                </c:pt>
                <c:pt idx="43">
                  <c:v>1.15853E-2</c:v>
                </c:pt>
                <c:pt idx="44">
                  <c:v>1.1175200000000001E-2</c:v>
                </c:pt>
                <c:pt idx="45">
                  <c:v>1.1350899999999999E-2</c:v>
                </c:pt>
                <c:pt idx="46">
                  <c:v>1.15239E-2</c:v>
                </c:pt>
                <c:pt idx="47">
                  <c:v>1.1694599999999999E-2</c:v>
                </c:pt>
                <c:pt idx="48">
                  <c:v>1.06073E-2</c:v>
                </c:pt>
                <c:pt idx="49">
                  <c:v>1.07332E-2</c:v>
                </c:pt>
                <c:pt idx="50">
                  <c:v>1.0855300000000002E-2</c:v>
                </c:pt>
                <c:pt idx="51">
                  <c:v>1.0976999999999999E-2</c:v>
                </c:pt>
                <c:pt idx="52">
                  <c:v>1.10969E-2</c:v>
                </c:pt>
                <c:pt idx="53">
                  <c:v>1.1216500000000001E-2</c:v>
                </c:pt>
                <c:pt idx="54">
                  <c:v>1.1334200000000001E-2</c:v>
                </c:pt>
                <c:pt idx="55">
                  <c:v>1.1450700000000001E-2</c:v>
                </c:pt>
                <c:pt idx="56">
                  <c:v>1.15666E-2</c:v>
                </c:pt>
                <c:pt idx="57">
                  <c:v>1.16822E-2</c:v>
                </c:pt>
                <c:pt idx="58">
                  <c:v>1.17955E-2</c:v>
                </c:pt>
                <c:pt idx="59">
                  <c:v>1.19077E-2</c:v>
                </c:pt>
                <c:pt idx="60">
                  <c:v>1.0559600000000001E-2</c:v>
                </c:pt>
                <c:pt idx="61">
                  <c:v>1.06315E-2</c:v>
                </c:pt>
                <c:pt idx="62">
                  <c:v>1.0702100000000001E-2</c:v>
                </c:pt>
                <c:pt idx="63">
                  <c:v>1.0771900000000001E-2</c:v>
                </c:pt>
                <c:pt idx="64">
                  <c:v>1.08416E-2</c:v>
                </c:pt>
                <c:pt idx="65">
                  <c:v>1.0910899999999999E-2</c:v>
                </c:pt>
                <c:pt idx="66">
                  <c:v>1.0978399999999999E-2</c:v>
                </c:pt>
                <c:pt idx="67">
                  <c:v>1.10454E-2</c:v>
                </c:pt>
                <c:pt idx="68">
                  <c:v>1.1112500000000001E-2</c:v>
                </c:pt>
                <c:pt idx="69">
                  <c:v>1.11802E-2</c:v>
                </c:pt>
                <c:pt idx="70">
                  <c:v>1.1244400000000002E-2</c:v>
                </c:pt>
                <c:pt idx="71">
                  <c:v>1.1308499999999999E-2</c:v>
                </c:pt>
                <c:pt idx="72">
                  <c:v>1.13741E-2</c:v>
                </c:pt>
                <c:pt idx="73">
                  <c:v>1.14384E-2</c:v>
                </c:pt>
                <c:pt idx="74">
                  <c:v>1.1500699999999999E-2</c:v>
                </c:pt>
                <c:pt idx="75">
                  <c:v>1.1563200000000001E-2</c:v>
                </c:pt>
                <c:pt idx="76">
                  <c:v>1.1624199999999999E-2</c:v>
                </c:pt>
                <c:pt idx="77">
                  <c:v>1.1685300000000001E-2</c:v>
                </c:pt>
                <c:pt idx="78">
                  <c:v>1.17456E-2</c:v>
                </c:pt>
                <c:pt idx="79">
                  <c:v>1.18046E-2</c:v>
                </c:pt>
                <c:pt idx="80">
                  <c:v>9.8872000000000005E-3</c:v>
                </c:pt>
                <c:pt idx="81">
                  <c:v>9.9080000000000001E-3</c:v>
                </c:pt>
                <c:pt idx="82">
                  <c:v>9.9281000000000005E-3</c:v>
                </c:pt>
                <c:pt idx="83">
                  <c:v>9.9483000000000002E-3</c:v>
                </c:pt>
                <c:pt idx="84">
                  <c:v>9.9684999999999999E-3</c:v>
                </c:pt>
                <c:pt idx="85">
                  <c:v>9.9883999999999997E-3</c:v>
                </c:pt>
                <c:pt idx="86">
                  <c:v>1.00077E-2</c:v>
                </c:pt>
                <c:pt idx="87">
                  <c:v>1.0026999999999999E-2</c:v>
                </c:pt>
                <c:pt idx="88">
                  <c:v>1.0046299999999999E-2</c:v>
                </c:pt>
                <c:pt idx="89">
                  <c:v>1.00654E-2</c:v>
                </c:pt>
                <c:pt idx="90">
                  <c:v>1.00838E-2</c:v>
                </c:pt>
                <c:pt idx="91">
                  <c:v>1.01023E-2</c:v>
                </c:pt>
                <c:pt idx="92">
                  <c:v>1.0120800000000001E-2</c:v>
                </c:pt>
                <c:pt idx="93">
                  <c:v>1.01396E-2</c:v>
                </c:pt>
                <c:pt idx="94">
                  <c:v>1.0157300000000001E-2</c:v>
                </c:pt>
                <c:pt idx="95">
                  <c:v>1.0175099999999999E-2</c:v>
                </c:pt>
                <c:pt idx="96">
                  <c:v>1.0192300000000001E-2</c:v>
                </c:pt>
                <c:pt idx="97">
                  <c:v>1.02098E-2</c:v>
                </c:pt>
                <c:pt idx="98">
                  <c:v>1.0226599999999999E-2</c:v>
                </c:pt>
                <c:pt idx="99">
                  <c:v>1.0243500000000001E-2</c:v>
                </c:pt>
                <c:pt idx="100">
                  <c:v>9.5454000000000008E-3</c:v>
                </c:pt>
                <c:pt idx="101">
                  <c:v>9.551500000000001E-3</c:v>
                </c:pt>
                <c:pt idx="102">
                  <c:v>9.5570999999999989E-3</c:v>
                </c:pt>
                <c:pt idx="103">
                  <c:v>9.5630000000000003E-3</c:v>
                </c:pt>
                <c:pt idx="104">
                  <c:v>9.5687999999999988E-3</c:v>
                </c:pt>
                <c:pt idx="105">
                  <c:v>9.5744000000000003E-3</c:v>
                </c:pt>
                <c:pt idx="106">
                  <c:v>9.5796000000000006E-3</c:v>
                </c:pt>
                <c:pt idx="107">
                  <c:v>9.5849999999999998E-3</c:v>
                </c:pt>
                <c:pt idx="108">
                  <c:v>9.5905000000000001E-3</c:v>
                </c:pt>
                <c:pt idx="109">
                  <c:v>9.5957000000000004E-3</c:v>
                </c:pt>
                <c:pt idx="110">
                  <c:v>9.6007000000000002E-3</c:v>
                </c:pt>
                <c:pt idx="111">
                  <c:v>9.6055999999999989E-3</c:v>
                </c:pt>
                <c:pt idx="112">
                  <c:v>9.6106999999999998E-3</c:v>
                </c:pt>
                <c:pt idx="113">
                  <c:v>9.6159000000000001E-3</c:v>
                </c:pt>
                <c:pt idx="114">
                  <c:v>9.6197999999999995E-3</c:v>
                </c:pt>
                <c:pt idx="115">
                  <c:v>9.6246999999999999E-3</c:v>
                </c:pt>
                <c:pt idx="116">
                  <c:v>9.6296999999999997E-3</c:v>
                </c:pt>
                <c:pt idx="117">
                  <c:v>9.6340000000000002E-3</c:v>
                </c:pt>
                <c:pt idx="118">
                  <c:v>9.6381000000000001E-3</c:v>
                </c:pt>
                <c:pt idx="119">
                  <c:v>9.6425999999999994E-3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EA-4594-B329-0E2B93AC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6957680"/>
        <c:axId val="636961616"/>
      </c:lineChart>
      <c:catAx>
        <c:axId val="6369576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961616"/>
        <c:crosses val="autoZero"/>
        <c:auto val="1"/>
        <c:lblAlgn val="ctr"/>
        <c:lblOffset val="100"/>
        <c:noMultiLvlLbl val="0"/>
      </c:catAx>
      <c:valAx>
        <c:axId val="63696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95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EUR : Discount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PRICER_EUR!$AJ$1</c:f>
              <c:strCache>
                <c:ptCount val="1"/>
                <c:pt idx="0">
                  <c:v>Excel EUR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PRICER_EUR!$AJ$3:$AJ$122</c:f>
              <c:numCache>
                <c:formatCode>0.000%</c:formatCode>
                <c:ptCount val="120"/>
                <c:pt idx="0">
                  <c:v>-7.3353604886845503E-3</c:v>
                </c:pt>
                <c:pt idx="1">
                  <c:v>-8.1956618775956835E-3</c:v>
                </c:pt>
                <c:pt idx="2">
                  <c:v>-8.114805174971873E-3</c:v>
                </c:pt>
                <c:pt idx="3">
                  <c:v>-8.1268823676341473E-3</c:v>
                </c:pt>
                <c:pt idx="4">
                  <c:v>-8.2381158952025135E-3</c:v>
                </c:pt>
                <c:pt idx="5">
                  <c:v>-8.3612070424138318E-3</c:v>
                </c:pt>
                <c:pt idx="6">
                  <c:v>-8.4700983536315499E-3</c:v>
                </c:pt>
                <c:pt idx="7">
                  <c:v>-8.5162606370190463E-3</c:v>
                </c:pt>
                <c:pt idx="8">
                  <c:v>-8.5516703899409796E-3</c:v>
                </c:pt>
                <c:pt idx="9">
                  <c:v>-8.5878670262610202E-3</c:v>
                </c:pt>
                <c:pt idx="10">
                  <c:v>-8.6232767791828424E-3</c:v>
                </c:pt>
                <c:pt idx="11">
                  <c:v>-8.6590799738037738E-3</c:v>
                </c:pt>
                <c:pt idx="12">
                  <c:v>-8.6625567948259707E-3</c:v>
                </c:pt>
                <c:pt idx="13">
                  <c:v>-8.6660718226724276E-3</c:v>
                </c:pt>
                <c:pt idx="14">
                  <c:v>-8.6695486436945135E-3</c:v>
                </c:pt>
                <c:pt idx="15">
                  <c:v>-8.6730254647165994E-3</c:v>
                </c:pt>
                <c:pt idx="16">
                  <c:v>-8.6500101486360892E-3</c:v>
                </c:pt>
                <c:pt idx="17">
                  <c:v>-8.6269948325553569E-3</c:v>
                </c:pt>
                <c:pt idx="18">
                  <c:v>-8.6044798494331332E-3</c:v>
                </c:pt>
                <c:pt idx="19">
                  <c:v>-8.5817146998315996E-3</c:v>
                </c:pt>
                <c:pt idx="20">
                  <c:v>-8.5285632350620144E-3</c:v>
                </c:pt>
                <c:pt idx="21">
                  <c:v>-8.4754117702926512E-3</c:v>
                </c:pt>
                <c:pt idx="22">
                  <c:v>-8.423415772148557E-3</c:v>
                </c:pt>
                <c:pt idx="23">
                  <c:v>-8.3708420406917172E-3</c:v>
                </c:pt>
                <c:pt idx="24">
                  <c:v>-8.3038212161217206E-3</c:v>
                </c:pt>
                <c:pt idx="25">
                  <c:v>-8.2353434171045237E-3</c:v>
                </c:pt>
                <c:pt idx="26">
                  <c:v>-8.1712365414289279E-3</c:v>
                </c:pt>
                <c:pt idx="27">
                  <c:v>-8.104944204082587E-3</c:v>
                </c:pt>
                <c:pt idx="28">
                  <c:v>-8.0189992825578926E-3</c:v>
                </c:pt>
                <c:pt idx="29">
                  <c:v>-7.9348829763846718E-3</c:v>
                </c:pt>
                <c:pt idx="30">
                  <c:v>-7.8525952855631465E-3</c:v>
                </c:pt>
                <c:pt idx="31">
                  <c:v>-7.7693932870658289E-3</c:v>
                </c:pt>
                <c:pt idx="32">
                  <c:v>-7.6701847838146486E-3</c:v>
                </c:pt>
                <c:pt idx="33">
                  <c:v>-7.5698860772310805E-3</c:v>
                </c:pt>
                <c:pt idx="34">
                  <c:v>-7.4706775739797893E-3</c:v>
                </c:pt>
                <c:pt idx="35">
                  <c:v>-7.3725592740607748E-3</c:v>
                </c:pt>
                <c:pt idx="36">
                  <c:v>-7.2654090432302532E-3</c:v>
                </c:pt>
                <c:pt idx="37">
                  <c:v>-7.1582588123996205E-3</c:v>
                </c:pt>
                <c:pt idx="38">
                  <c:v>-7.0534379344131537E-3</c:v>
                </c:pt>
                <c:pt idx="39">
                  <c:v>-6.947452380004826E-3</c:v>
                </c:pt>
                <c:pt idx="40">
                  <c:v>-6.8425028666130316E-3</c:v>
                </c:pt>
                <c:pt idx="41">
                  <c:v>-6.7375533532210152E-3</c:v>
                </c:pt>
                <c:pt idx="42">
                  <c:v>-6.6348853509898831E-3</c:v>
                </c:pt>
                <c:pt idx="43">
                  <c:v>-6.5310765931783088E-3</c:v>
                </c:pt>
                <c:pt idx="44">
                  <c:v>-6.4261270797865144E-3</c:v>
                </c:pt>
                <c:pt idx="45">
                  <c:v>-6.3211775663947201E-3</c:v>
                </c:pt>
                <c:pt idx="46">
                  <c:v>-6.2173688085832568E-3</c:v>
                </c:pt>
                <c:pt idx="47">
                  <c:v>-6.1135600507716825E-3</c:v>
                </c:pt>
                <c:pt idx="48">
                  <c:v>-6.0121766891143569E-3</c:v>
                </c:pt>
                <c:pt idx="49">
                  <c:v>-5.9129504202581895E-3</c:v>
                </c:pt>
                <c:pt idx="50">
                  <c:v>-5.8158812442032914E-3</c:v>
                </c:pt>
                <c:pt idx="51">
                  <c:v>-5.7166549753470131E-3</c:v>
                </c:pt>
                <c:pt idx="52">
                  <c:v>-5.619585799292115E-3</c:v>
                </c:pt>
                <c:pt idx="53">
                  <c:v>-5.5203595304358366E-3</c:v>
                </c:pt>
                <c:pt idx="54">
                  <c:v>-5.4232903543811606E-3</c:v>
                </c:pt>
                <c:pt idx="55">
                  <c:v>-5.3251426319255168E-3</c:v>
                </c:pt>
                <c:pt idx="56">
                  <c:v>-5.2269949094700952E-3</c:v>
                </c:pt>
                <c:pt idx="57">
                  <c:v>-5.1277686406139278E-3</c:v>
                </c:pt>
                <c:pt idx="58">
                  <c:v>-5.0306994645589187E-3</c:v>
                </c:pt>
                <c:pt idx="59">
                  <c:v>-4.9325517421031639E-3</c:v>
                </c:pt>
                <c:pt idx="60">
                  <c:v>-4.8714180301199228E-3</c:v>
                </c:pt>
                <c:pt idx="61">
                  <c:v>-4.8102843181366817E-3</c:v>
                </c:pt>
                <c:pt idx="62">
                  <c:v>-4.7498151030229696E-3</c:v>
                </c:pt>
                <c:pt idx="63">
                  <c:v>-4.6893458879089245E-3</c:v>
                </c:pt>
                <c:pt idx="64">
                  <c:v>-4.6282121759256833E-3</c:v>
                </c:pt>
                <c:pt idx="65">
                  <c:v>-4.5670784639425532E-3</c:v>
                </c:pt>
                <c:pt idx="66">
                  <c:v>-4.5072737456980372E-3</c:v>
                </c:pt>
                <c:pt idx="67">
                  <c:v>-4.4468045305841031E-3</c:v>
                </c:pt>
                <c:pt idx="68">
                  <c:v>-4.385670818601084E-3</c:v>
                </c:pt>
                <c:pt idx="69">
                  <c:v>-4.3232081128788957E-3</c:v>
                </c:pt>
                <c:pt idx="70">
                  <c:v>-4.2647323883733268E-3</c:v>
                </c:pt>
                <c:pt idx="71">
                  <c:v>-4.2042631732592817E-3</c:v>
                </c:pt>
                <c:pt idx="72">
                  <c:v>-4.1418004675373155E-3</c:v>
                </c:pt>
                <c:pt idx="73">
                  <c:v>-4.0806667555540743E-3</c:v>
                </c:pt>
                <c:pt idx="74">
                  <c:v>-4.0208620373095583E-3</c:v>
                </c:pt>
                <c:pt idx="75">
                  <c:v>-3.9597283253264282E-3</c:v>
                </c:pt>
                <c:pt idx="76">
                  <c:v>-3.8999236070819121E-3</c:v>
                </c:pt>
                <c:pt idx="77">
                  <c:v>-3.8387898950985599E-3</c:v>
                </c:pt>
                <c:pt idx="78">
                  <c:v>-3.7783206799846258E-3</c:v>
                </c:pt>
                <c:pt idx="79">
                  <c:v>-3.7185159617402208E-3</c:v>
                </c:pt>
                <c:pt idx="80">
                  <c:v>-3.7055741076664761E-3</c:v>
                </c:pt>
                <c:pt idx="81">
                  <c:v>-3.6926322535928424E-3</c:v>
                </c:pt>
                <c:pt idx="82">
                  <c:v>-3.6799717441731161E-3</c:v>
                </c:pt>
                <c:pt idx="83">
                  <c:v>-3.6671705624263806E-3</c:v>
                </c:pt>
                <c:pt idx="84">
                  <c:v>-3.6542287083524139E-3</c:v>
                </c:pt>
                <c:pt idx="85">
                  <c:v>-3.6412868542788912E-3</c:v>
                </c:pt>
                <c:pt idx="86">
                  <c:v>-3.6286263448589429E-3</c:v>
                </c:pt>
                <c:pt idx="87">
                  <c:v>-3.6158251631123184E-3</c:v>
                </c:pt>
                <c:pt idx="88">
                  <c:v>-3.6028833090386847E-3</c:v>
                </c:pt>
                <c:pt idx="89">
                  <c:v>-3.58994145496494E-3</c:v>
                </c:pt>
                <c:pt idx="90">
                  <c:v>-3.5772809455449917E-3</c:v>
                </c:pt>
                <c:pt idx="91">
                  <c:v>-3.5644797637984782E-3</c:v>
                </c:pt>
                <c:pt idx="92">
                  <c:v>-3.5515379097247335E-3</c:v>
                </c:pt>
                <c:pt idx="93">
                  <c:v>-3.5383147109974145E-3</c:v>
                </c:pt>
                <c:pt idx="94">
                  <c:v>-3.5255135292505679E-3</c:v>
                </c:pt>
                <c:pt idx="95">
                  <c:v>-3.5125716751769342E-3</c:v>
                </c:pt>
                <c:pt idx="96">
                  <c:v>-3.4999111657570969E-3</c:v>
                </c:pt>
                <c:pt idx="97">
                  <c:v>-3.4869693116833522E-3</c:v>
                </c:pt>
                <c:pt idx="98">
                  <c:v>-3.4743088022635149E-3</c:v>
                </c:pt>
                <c:pt idx="99">
                  <c:v>-3.4615076205167794E-3</c:v>
                </c:pt>
                <c:pt idx="100">
                  <c:v>-3.4487064387699329E-3</c:v>
                </c:pt>
                <c:pt idx="101">
                  <c:v>-3.4357645846960772E-3</c:v>
                </c:pt>
                <c:pt idx="102">
                  <c:v>-3.4231040752764619E-3</c:v>
                </c:pt>
                <c:pt idx="103">
                  <c:v>-3.4103028935295043E-3</c:v>
                </c:pt>
                <c:pt idx="104">
                  <c:v>-3.3973610394558706E-3</c:v>
                </c:pt>
                <c:pt idx="105">
                  <c:v>-3.384419185382459E-3</c:v>
                </c:pt>
                <c:pt idx="106">
                  <c:v>-3.3717586759623996E-3</c:v>
                </c:pt>
                <c:pt idx="107">
                  <c:v>-3.3589574942156641E-3</c:v>
                </c:pt>
                <c:pt idx="108">
                  <c:v>-3.3460156401419194E-3</c:v>
                </c:pt>
                <c:pt idx="109">
                  <c:v>-3.3330737860683968E-3</c:v>
                </c:pt>
                <c:pt idx="110">
                  <c:v>-3.3202726043216613E-3</c:v>
                </c:pt>
                <c:pt idx="111">
                  <c:v>-3.3074714225748147E-3</c:v>
                </c:pt>
                <c:pt idx="112">
                  <c:v>-3.29452956850107E-3</c:v>
                </c:pt>
                <c:pt idx="113">
                  <c:v>-3.28130636977364E-3</c:v>
                </c:pt>
                <c:pt idx="114">
                  <c:v>-3.268927205007488E-3</c:v>
                </c:pt>
                <c:pt idx="115">
                  <c:v>-3.2561260232608635E-3</c:v>
                </c:pt>
                <c:pt idx="116">
                  <c:v>-3.2429028245333225E-3</c:v>
                </c:pt>
                <c:pt idx="117">
                  <c:v>-3.2299609704597998E-3</c:v>
                </c:pt>
                <c:pt idx="118">
                  <c:v>-3.2173004610397404E-3</c:v>
                </c:pt>
                <c:pt idx="119">
                  <c:v>-3.2043586069661067E-3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59-4196-B6A4-841141A0DBF2}"/>
            </c:ext>
          </c:extLst>
        </c:ser>
        <c:ser>
          <c:idx val="1"/>
          <c:order val="1"/>
          <c:tx>
            <c:strRef>
              <c:f>PRICER_EUR!$AH$1</c:f>
              <c:strCache>
                <c:ptCount val="1"/>
                <c:pt idx="0">
                  <c:v>BBG: EUR_ZC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PRICER_EUR!$AH$3:$AH$122</c:f>
              <c:numCache>
                <c:formatCode>0.000%</c:formatCode>
                <c:ptCount val="120"/>
                <c:pt idx="0">
                  <c:v>-7.462236188968463E-3</c:v>
                </c:pt>
                <c:pt idx="1">
                  <c:v>-8.1633099246924967E-3</c:v>
                </c:pt>
                <c:pt idx="2">
                  <c:v>-8.0945956964156851E-3</c:v>
                </c:pt>
                <c:pt idx="3">
                  <c:v>-8.1513903012004896E-3</c:v>
                </c:pt>
                <c:pt idx="4">
                  <c:v>-8.2520328289399369E-3</c:v>
                </c:pt>
                <c:pt idx="5">
                  <c:v>-8.3541567160818619E-3</c:v>
                </c:pt>
                <c:pt idx="6">
                  <c:v>-8.4465166567516681E-3</c:v>
                </c:pt>
                <c:pt idx="7">
                  <c:v>-8.5426636013186119E-3</c:v>
                </c:pt>
                <c:pt idx="8">
                  <c:v>-8.5864715194526875E-3</c:v>
                </c:pt>
                <c:pt idx="9">
                  <c:v>-8.6318213258050891E-3</c:v>
                </c:pt>
                <c:pt idx="10">
                  <c:v>-8.6768748606301793E-3</c:v>
                </c:pt>
                <c:pt idx="11">
                  <c:v>-8.7223318376044023E-3</c:v>
                </c:pt>
                <c:pt idx="12">
                  <c:v>-8.7436932835760484E-3</c:v>
                </c:pt>
                <c:pt idx="13">
                  <c:v>-8.765095137794332E-3</c:v>
                </c:pt>
                <c:pt idx="14">
                  <c:v>-8.786340776554824E-3</c:v>
                </c:pt>
                <c:pt idx="15">
                  <c:v>-8.8078838322627195E-3</c:v>
                </c:pt>
                <c:pt idx="16">
                  <c:v>-8.7808612106375916E-3</c:v>
                </c:pt>
                <c:pt idx="17">
                  <c:v>-8.7533655815960065E-3</c:v>
                </c:pt>
                <c:pt idx="18">
                  <c:v>-8.7264353760837521E-3</c:v>
                </c:pt>
                <c:pt idx="19">
                  <c:v>-8.6990130119640741E-3</c:v>
                </c:pt>
                <c:pt idx="20">
                  <c:v>-8.6664040669979236E-3</c:v>
                </c:pt>
                <c:pt idx="21">
                  <c:v>-8.634168323645941E-3</c:v>
                </c:pt>
                <c:pt idx="22">
                  <c:v>-8.6025095320042544E-3</c:v>
                </c:pt>
                <c:pt idx="23">
                  <c:v>-8.5701540011474675E-3</c:v>
                </c:pt>
                <c:pt idx="24">
                  <c:v>-8.5121970520636303E-3</c:v>
                </c:pt>
                <c:pt idx="25">
                  <c:v>-8.4525587440179573E-3</c:v>
                </c:pt>
                <c:pt idx="26">
                  <c:v>-8.3964092656518829E-3</c:v>
                </c:pt>
                <c:pt idx="27">
                  <c:v>-8.3381897716483522E-3</c:v>
                </c:pt>
                <c:pt idx="28">
                  <c:v>-8.2301247240368358E-3</c:v>
                </c:pt>
                <c:pt idx="29">
                  <c:v>-8.1234836478866201E-3</c:v>
                </c:pt>
                <c:pt idx="30">
                  <c:v>-8.01889222858998E-3</c:v>
                </c:pt>
                <c:pt idx="31">
                  <c:v>-7.9129304553646751E-3</c:v>
                </c:pt>
                <c:pt idx="32">
                  <c:v>-7.8335022068766191E-3</c:v>
                </c:pt>
                <c:pt idx="33">
                  <c:v>-7.7542019072482926E-3</c:v>
                </c:pt>
                <c:pt idx="34">
                  <c:v>-7.6751871784356274E-3</c:v>
                </c:pt>
                <c:pt idx="35">
                  <c:v>-7.5967914906173162E-3</c:v>
                </c:pt>
                <c:pt idx="36">
                  <c:v>-7.4904917067433185E-3</c:v>
                </c:pt>
                <c:pt idx="37">
                  <c:v>-7.3836864726436469E-3</c:v>
                </c:pt>
                <c:pt idx="38">
                  <c:v>-7.2789143181664073E-3</c:v>
                </c:pt>
                <c:pt idx="39">
                  <c:v>-7.1724529403353054E-3</c:v>
                </c:pt>
                <c:pt idx="40">
                  <c:v>-7.0834088556673835E-3</c:v>
                </c:pt>
                <c:pt idx="41">
                  <c:v>-6.9907691329925692E-3</c:v>
                </c:pt>
                <c:pt idx="42">
                  <c:v>-6.9004150185441038E-3</c:v>
                </c:pt>
                <c:pt idx="43">
                  <c:v>-6.8093918082918758E-3</c:v>
                </c:pt>
                <c:pt idx="44">
                  <c:v>-6.7175743640688346E-3</c:v>
                </c:pt>
                <c:pt idx="45">
                  <c:v>-6.6260277011364055E-3</c:v>
                </c:pt>
                <c:pt idx="46">
                  <c:v>-6.535796200068611E-3</c:v>
                </c:pt>
                <c:pt idx="47">
                  <c:v>-6.4458805006958331E-3</c:v>
                </c:pt>
                <c:pt idx="48">
                  <c:v>-6.3453034966333144E-3</c:v>
                </c:pt>
                <c:pt idx="49">
                  <c:v>-6.2481672593562854E-3</c:v>
                </c:pt>
                <c:pt idx="50">
                  <c:v>-6.1532963257696638E-3</c:v>
                </c:pt>
                <c:pt idx="51">
                  <c:v>-6.0564018208639769E-3</c:v>
                </c:pt>
                <c:pt idx="52">
                  <c:v>-5.9617418428152824E-3</c:v>
                </c:pt>
                <c:pt idx="53">
                  <c:v>-5.8650727823004178E-3</c:v>
                </c:pt>
                <c:pt idx="54">
                  <c:v>-5.7706741147197649E-3</c:v>
                </c:pt>
                <c:pt idx="55">
                  <c:v>-5.6753179580355528E-3</c:v>
                </c:pt>
                <c:pt idx="56">
                  <c:v>-5.5801151247544256E-3</c:v>
                </c:pt>
                <c:pt idx="57">
                  <c:v>-5.4840251357053393E-3</c:v>
                </c:pt>
                <c:pt idx="58">
                  <c:v>-5.3901382486870597E-3</c:v>
                </c:pt>
                <c:pt idx="59">
                  <c:v>-5.2953488683120664E-3</c:v>
                </c:pt>
                <c:pt idx="60">
                  <c:v>-5.2381143924552509E-3</c:v>
                </c:pt>
                <c:pt idx="61">
                  <c:v>-5.1817320714535597E-3</c:v>
                </c:pt>
                <c:pt idx="62">
                  <c:v>-5.1260762135336702E-3</c:v>
                </c:pt>
                <c:pt idx="63">
                  <c:v>-5.0705033290635582E-3</c:v>
                </c:pt>
                <c:pt idx="64">
                  <c:v>-5.0143908226746303E-3</c:v>
                </c:pt>
                <c:pt idx="65">
                  <c:v>-4.958394311280423E-3</c:v>
                </c:pt>
                <c:pt idx="66">
                  <c:v>-4.90367787589574E-3</c:v>
                </c:pt>
                <c:pt idx="67">
                  <c:v>-4.8483807251041844E-3</c:v>
                </c:pt>
                <c:pt idx="68">
                  <c:v>-4.7926075600925877E-3</c:v>
                </c:pt>
                <c:pt idx="69">
                  <c:v>-4.7357185096611465E-3</c:v>
                </c:pt>
                <c:pt idx="70">
                  <c:v>-4.6825582687820555E-3</c:v>
                </c:pt>
                <c:pt idx="71">
                  <c:v>-4.6276569829559744E-3</c:v>
                </c:pt>
                <c:pt idx="72">
                  <c:v>-4.5710120902056062E-3</c:v>
                </c:pt>
                <c:pt idx="73">
                  <c:v>-4.5156638209649103E-3</c:v>
                </c:pt>
                <c:pt idx="74">
                  <c:v>-4.4616082404108637E-3</c:v>
                </c:pt>
                <c:pt idx="75">
                  <c:v>-4.4064511602881495E-3</c:v>
                </c:pt>
                <c:pt idx="76">
                  <c:v>-4.3525647410660451E-3</c:v>
                </c:pt>
                <c:pt idx="77">
                  <c:v>-4.2975851862430137E-3</c:v>
                </c:pt>
                <c:pt idx="78">
                  <c:v>-4.2432684530823161E-3</c:v>
                </c:pt>
                <c:pt idx="79">
                  <c:v>-4.1896575726813046E-3</c:v>
                </c:pt>
                <c:pt idx="80">
                  <c:v>-4.1715601233979216E-3</c:v>
                </c:pt>
                <c:pt idx="81">
                  <c:v>-4.154278689699753E-3</c:v>
                </c:pt>
                <c:pt idx="82">
                  <c:v>-4.1373985878552233E-3</c:v>
                </c:pt>
                <c:pt idx="83">
                  <c:v>-4.1203563898941642E-3</c:v>
                </c:pt>
                <c:pt idx="84">
                  <c:v>-4.103206666110748E-3</c:v>
                </c:pt>
                <c:pt idx="85">
                  <c:v>-4.086061365859095E-3</c:v>
                </c:pt>
                <c:pt idx="86">
                  <c:v>-4.0693246869683009E-3</c:v>
                </c:pt>
                <c:pt idx="87">
                  <c:v>-4.0524403259277753E-3</c:v>
                </c:pt>
                <c:pt idx="88">
                  <c:v>-4.0353792149876444E-3</c:v>
                </c:pt>
                <c:pt idx="89">
                  <c:v>-4.0184027413410206E-3</c:v>
                </c:pt>
                <c:pt idx="90">
                  <c:v>-4.0018011383734509E-3</c:v>
                </c:pt>
                <c:pt idx="91">
                  <c:v>-3.9850650348248751E-3</c:v>
                </c:pt>
                <c:pt idx="92">
                  <c:v>-3.9681662274996254E-3</c:v>
                </c:pt>
                <c:pt idx="93">
                  <c:v>-3.9509226585857649E-3</c:v>
                </c:pt>
                <c:pt idx="94">
                  <c:v>-3.9342662320011046E-3</c:v>
                </c:pt>
                <c:pt idx="95">
                  <c:v>-3.9174947615365774E-3</c:v>
                </c:pt>
                <c:pt idx="96">
                  <c:v>-3.9010902206800813E-3</c:v>
                </c:pt>
                <c:pt idx="97">
                  <c:v>-3.8843902920731033E-3</c:v>
                </c:pt>
                <c:pt idx="98">
                  <c:v>-3.8680427983652788E-3</c:v>
                </c:pt>
                <c:pt idx="99">
                  <c:v>-3.8515839563514342E-3</c:v>
                </c:pt>
                <c:pt idx="100">
                  <c:v>-3.8431536389027521E-3</c:v>
                </c:pt>
                <c:pt idx="101">
                  <c:v>-3.8349080703048433E-3</c:v>
                </c:pt>
                <c:pt idx="102">
                  <c:v>-3.8268544447201958E-3</c:v>
                </c:pt>
                <c:pt idx="103">
                  <c:v>-3.8187356880604595E-3</c:v>
                </c:pt>
                <c:pt idx="104">
                  <c:v>-3.8104881894207576E-3</c:v>
                </c:pt>
                <c:pt idx="105">
                  <c:v>-3.8022758409482771E-3</c:v>
                </c:pt>
                <c:pt idx="106">
                  <c:v>-3.7942440389312493E-3</c:v>
                </c:pt>
                <c:pt idx="107">
                  <c:v>-3.7861198969588727E-3</c:v>
                </c:pt>
                <c:pt idx="108">
                  <c:v>-3.7779080620655714E-3</c:v>
                </c:pt>
                <c:pt idx="109">
                  <c:v>-3.7696984360763297E-3</c:v>
                </c:pt>
                <c:pt idx="110">
                  <c:v>-3.7616071020371011E-3</c:v>
                </c:pt>
                <c:pt idx="111">
                  <c:v>-3.7534836487113088E-3</c:v>
                </c:pt>
                <c:pt idx="112">
                  <c:v>-3.7453103488749306E-3</c:v>
                </c:pt>
                <c:pt idx="113">
                  <c:v>-3.7369177302676304E-3</c:v>
                </c:pt>
                <c:pt idx="114">
                  <c:v>-3.7290987033745671E-3</c:v>
                </c:pt>
                <c:pt idx="115">
                  <c:v>-3.721009150277288E-3</c:v>
                </c:pt>
                <c:pt idx="116">
                  <c:v>-3.712631354698237E-3</c:v>
                </c:pt>
                <c:pt idx="117">
                  <c:v>-3.704442967044641E-3</c:v>
                </c:pt>
                <c:pt idx="118">
                  <c:v>-3.6964655050720774E-3</c:v>
                </c:pt>
                <c:pt idx="119">
                  <c:v>-3.6882826891367904E-3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59-4196-B6A4-841141A0D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6957680"/>
        <c:axId val="636961616"/>
      </c:lineChart>
      <c:catAx>
        <c:axId val="6369576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961616"/>
        <c:crosses val="autoZero"/>
        <c:auto val="1"/>
        <c:lblAlgn val="ctr"/>
        <c:lblOffset val="100"/>
        <c:noMultiLvlLbl val="0"/>
      </c:catAx>
      <c:valAx>
        <c:axId val="63696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95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: Discount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PRICER_EUR!$AK$1</c:f>
              <c:strCache>
                <c:ptCount val="1"/>
                <c:pt idx="0">
                  <c:v>QL: USD_ZC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PRICER_EUR!$AK$3:$AK$122</c:f>
              <c:numCache>
                <c:formatCode>0.000%</c:formatCode>
                <c:ptCount val="120"/>
                <c:pt idx="0">
                  <c:v>6.201430969081656E-4</c:v>
                </c:pt>
                <c:pt idx="1">
                  <c:v>5.1006285714461086E-4</c:v>
                </c:pt>
                <c:pt idx="2">
                  <c:v>3.8293848417492171E-4</c:v>
                </c:pt>
                <c:pt idx="3">
                  <c:v>2.699994937973571E-4</c:v>
                </c:pt>
                <c:pt idx="4">
                  <c:v>1.4761571860000267E-4</c:v>
                </c:pt>
                <c:pt idx="5">
                  <c:v>6.8277711148700959E-5</c:v>
                </c:pt>
                <c:pt idx="6">
                  <c:v>1.2705032066406829E-5</c:v>
                </c:pt>
                <c:pt idx="7">
                  <c:v>-2.9995465610221927E-5</c:v>
                </c:pt>
                <c:pt idx="8">
                  <c:v>-2.0091757129359067E-5</c:v>
                </c:pt>
                <c:pt idx="9">
                  <c:v>-1.1981587117682047E-5</c:v>
                </c:pt>
                <c:pt idx="10">
                  <c:v>-5.4844566780287707E-6</c:v>
                </c:pt>
                <c:pt idx="11">
                  <c:v>0</c:v>
                </c:pt>
                <c:pt idx="12">
                  <c:v>1.0129931962143957E-4</c:v>
                </c:pt>
                <c:pt idx="13">
                  <c:v>1.8906687956299351E-4</c:v>
                </c:pt>
                <c:pt idx="14">
                  <c:v>2.6429030879637772E-4</c:v>
                </c:pt>
                <c:pt idx="15">
                  <c:v>3.3014763337280151E-4</c:v>
                </c:pt>
                <c:pt idx="16">
                  <c:v>4.9642832838103779E-4</c:v>
                </c:pt>
                <c:pt idx="17">
                  <c:v>6.4413302075849721E-4</c:v>
                </c:pt>
                <c:pt idx="18">
                  <c:v>7.7348738193361299E-4</c:v>
                </c:pt>
                <c:pt idx="19">
                  <c:v>8.9132900734467668E-4</c:v>
                </c:pt>
                <c:pt idx="20">
                  <c:v>1.0996296308332099E-3</c:v>
                </c:pt>
                <c:pt idx="21">
                  <c:v>1.2888995178421681E-3</c:v>
                </c:pt>
                <c:pt idx="22">
                  <c:v>1.4580383162574595E-3</c:v>
                </c:pt>
                <c:pt idx="23">
                  <c:v>1.614954053942963E-3</c:v>
                </c:pt>
                <c:pt idx="24">
                  <c:v>1.8084549798325078E-3</c:v>
                </c:pt>
                <c:pt idx="25">
                  <c:v>1.9907260403440041E-3</c:v>
                </c:pt>
                <c:pt idx="26">
                  <c:v>2.1487908831612224E-3</c:v>
                </c:pt>
                <c:pt idx="27">
                  <c:v>2.3008209646375732E-3</c:v>
                </c:pt>
                <c:pt idx="28">
                  <c:v>2.4781153881121565E-3</c:v>
                </c:pt>
                <c:pt idx="29">
                  <c:v>2.6398942946981308E-3</c:v>
                </c:pt>
                <c:pt idx="30">
                  <c:v>2.7880083655322796E-3</c:v>
                </c:pt>
                <c:pt idx="31">
                  <c:v>2.9285148395985505E-3</c:v>
                </c:pt>
                <c:pt idx="32">
                  <c:v>3.0892377518725311E-3</c:v>
                </c:pt>
                <c:pt idx="33">
                  <c:v>3.2421771911217423E-3</c:v>
                </c:pt>
                <c:pt idx="34">
                  <c:v>3.3848159814413581E-3</c:v>
                </c:pt>
                <c:pt idx="35">
                  <c:v>3.5181374944326382E-3</c:v>
                </c:pt>
                <c:pt idx="36">
                  <c:v>3.6570909745987645E-3</c:v>
                </c:pt>
                <c:pt idx="37">
                  <c:v>3.7886961765585259E-3</c:v>
                </c:pt>
                <c:pt idx="38">
                  <c:v>3.9108758210337768E-3</c:v>
                </c:pt>
                <c:pt idx="39">
                  <c:v>4.0283042937385716E-3</c:v>
                </c:pt>
                <c:pt idx="40">
                  <c:v>4.1506280495968717E-3</c:v>
                </c:pt>
                <c:pt idx="41">
                  <c:v>4.2670981947943165E-3</c:v>
                </c:pt>
                <c:pt idx="42">
                  <c:v>4.3757666577868282E-3</c:v>
                </c:pt>
                <c:pt idx="43">
                  <c:v>4.4807028632181112E-3</c:v>
                </c:pt>
                <c:pt idx="44">
                  <c:v>4.582077787978811E-3</c:v>
                </c:pt>
                <c:pt idx="45">
                  <c:v>4.6790221514008135E-3</c:v>
                </c:pt>
                <c:pt idx="46">
                  <c:v>4.7708328628965901E-3</c:v>
                </c:pt>
                <c:pt idx="47">
                  <c:v>4.8588390945520921E-3</c:v>
                </c:pt>
                <c:pt idx="48">
                  <c:v>4.9465356053866039E-3</c:v>
                </c:pt>
                <c:pt idx="49">
                  <c:v>5.0288791092216734E-3</c:v>
                </c:pt>
                <c:pt idx="50">
                  <c:v>5.1062919359630143E-3</c:v>
                </c:pt>
                <c:pt idx="51">
                  <c:v>5.1823994504105464E-3</c:v>
                </c:pt>
                <c:pt idx="52">
                  <c:v>5.2540586198914774E-3</c:v>
                </c:pt>
                <c:pt idx="53">
                  <c:v>5.3246126332737731E-3</c:v>
                </c:pt>
                <c:pt idx="54">
                  <c:v>5.3911365663825705E-3</c:v>
                </c:pt>
                <c:pt idx="55">
                  <c:v>5.4560232496314587E-3</c:v>
                </c:pt>
                <c:pt idx="56">
                  <c:v>5.5186450511741647E-3</c:v>
                </c:pt>
                <c:pt idx="57">
                  <c:v>5.5797715424330541E-3</c:v>
                </c:pt>
                <c:pt idx="58">
                  <c:v>5.6375523470142408E-3</c:v>
                </c:pt>
                <c:pt idx="59">
                  <c:v>5.6940480072777966E-3</c:v>
                </c:pt>
                <c:pt idx="60">
                  <c:v>5.7523101288436962E-3</c:v>
                </c:pt>
                <c:pt idx="61">
                  <c:v>5.8086820983149767E-3</c:v>
                </c:pt>
                <c:pt idx="62">
                  <c:v>5.8626706180746613E-3</c:v>
                </c:pt>
                <c:pt idx="63">
                  <c:v>5.9149805344738127E-3</c:v>
                </c:pt>
                <c:pt idx="64">
                  <c:v>5.9662375481428498E-3</c:v>
                </c:pt>
                <c:pt idx="65">
                  <c:v>6.0159324748962906E-3</c:v>
                </c:pt>
                <c:pt idx="66">
                  <c:v>6.0631031470661512E-3</c:v>
                </c:pt>
                <c:pt idx="67">
                  <c:v>6.1094097271150449E-3</c:v>
                </c:pt>
                <c:pt idx="68">
                  <c:v>6.1548675823253074E-3</c:v>
                </c:pt>
                <c:pt idx="69">
                  <c:v>6.1999647868535845E-3</c:v>
                </c:pt>
                <c:pt idx="70">
                  <c:v>6.2409999804382554E-3</c:v>
                </c:pt>
                <c:pt idx="71">
                  <c:v>6.2822803730868682E-3</c:v>
                </c:pt>
                <c:pt idx="72">
                  <c:v>6.3237403032223582E-3</c:v>
                </c:pt>
                <c:pt idx="73">
                  <c:v>6.3632032039731001E-3</c:v>
                </c:pt>
                <c:pt idx="74">
                  <c:v>6.4007839442778991E-3</c:v>
                </c:pt>
                <c:pt idx="75">
                  <c:v>6.4381940483213551E-3</c:v>
                </c:pt>
                <c:pt idx="76">
                  <c:v>6.4738449953651855E-3</c:v>
                </c:pt>
                <c:pt idx="77">
                  <c:v>6.5093584107620561E-3</c:v>
                </c:pt>
                <c:pt idx="78">
                  <c:v>6.5435960318473985E-3</c:v>
                </c:pt>
                <c:pt idx="79">
                  <c:v>6.576619516588611E-3</c:v>
                </c:pt>
                <c:pt idx="80">
                  <c:v>6.5900263288747318E-3</c:v>
                </c:pt>
                <c:pt idx="81">
                  <c:v>6.6031039162917082E-3</c:v>
                </c:pt>
                <c:pt idx="82">
                  <c:v>6.615590152320161E-3</c:v>
                </c:pt>
                <c:pt idx="83">
                  <c:v>6.6279173466519126E-3</c:v>
                </c:pt>
                <c:pt idx="84">
                  <c:v>6.6400863281386169E-3</c:v>
                </c:pt>
                <c:pt idx="85">
                  <c:v>6.6519703621485959E-3</c:v>
                </c:pt>
                <c:pt idx="86">
                  <c:v>6.6633298299514365E-3</c:v>
                </c:pt>
                <c:pt idx="87">
                  <c:v>6.6745569083617173E-3</c:v>
                </c:pt>
                <c:pt idx="88">
                  <c:v>6.6856519000593195E-3</c:v>
                </c:pt>
                <c:pt idx="89">
                  <c:v>6.6964986247013414E-3</c:v>
                </c:pt>
                <c:pt idx="90">
                  <c:v>6.7068772390928011E-3</c:v>
                </c:pt>
                <c:pt idx="91">
                  <c:v>6.7171451574576935E-3</c:v>
                </c:pt>
                <c:pt idx="92">
                  <c:v>6.7273023110872021E-3</c:v>
                </c:pt>
                <c:pt idx="93">
                  <c:v>6.7374555552555115E-3</c:v>
                </c:pt>
                <c:pt idx="94">
                  <c:v>6.7470752883411755E-3</c:v>
                </c:pt>
                <c:pt idx="95">
                  <c:v>6.7565978632995183E-3</c:v>
                </c:pt>
                <c:pt idx="96">
                  <c:v>6.7657221306016702E-3</c:v>
                </c:pt>
                <c:pt idx="97">
                  <c:v>6.7748595965062552E-3</c:v>
                </c:pt>
                <c:pt idx="98">
                  <c:v>6.7836185565257612E-3</c:v>
                </c:pt>
                <c:pt idx="99">
                  <c:v>6.792299378356903E-3</c:v>
                </c:pt>
                <c:pt idx="100">
                  <c:v>6.7977300885482261E-3</c:v>
                </c:pt>
                <c:pt idx="101">
                  <c:v>6.8031126430769806E-3</c:v>
                </c:pt>
                <c:pt idx="102">
                  <c:v>6.8082763169303728E-3</c:v>
                </c:pt>
                <c:pt idx="103">
                  <c:v>6.8133978744917556E-3</c:v>
                </c:pt>
                <c:pt idx="104">
                  <c:v>6.8184769125572142E-3</c:v>
                </c:pt>
                <c:pt idx="105">
                  <c:v>6.8234594318201669E-3</c:v>
                </c:pt>
                <c:pt idx="106">
                  <c:v>6.8282428597656875E-3</c:v>
                </c:pt>
                <c:pt idx="107">
                  <c:v>6.832990683350415E-3</c:v>
                </c:pt>
                <c:pt idx="108">
                  <c:v>6.8377024482038085E-3</c:v>
                </c:pt>
                <c:pt idx="109">
                  <c:v>6.8423279264182568E-3</c:v>
                </c:pt>
                <c:pt idx="110">
                  <c:v>6.8468205452529851E-3</c:v>
                </c:pt>
                <c:pt idx="111">
                  <c:v>6.8512332328221071E-3</c:v>
                </c:pt>
                <c:pt idx="112">
                  <c:v>6.8556153148260357E-3</c:v>
                </c:pt>
                <c:pt idx="113">
                  <c:v>6.8600127030364888E-3</c:v>
                </c:pt>
                <c:pt idx="114">
                  <c:v>6.8640580744490087E-3</c:v>
                </c:pt>
                <c:pt idx="115">
                  <c:v>6.8681706773445761E-3</c:v>
                </c:pt>
                <c:pt idx="116">
                  <c:v>6.8723453316101857E-3</c:v>
                </c:pt>
                <c:pt idx="117">
                  <c:v>6.8763606690385171E-3</c:v>
                </c:pt>
                <c:pt idx="118">
                  <c:v>6.8802229509321577E-3</c:v>
                </c:pt>
                <c:pt idx="119">
                  <c:v>6.8841055145574259E-3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C5-45E2-BD51-4FA9C5C249F8}"/>
            </c:ext>
          </c:extLst>
        </c:ser>
        <c:ser>
          <c:idx val="1"/>
          <c:order val="1"/>
          <c:tx>
            <c:strRef>
              <c:f>PRICER_EUR!$AI$1</c:f>
              <c:strCache>
                <c:ptCount val="1"/>
                <c:pt idx="0">
                  <c:v>BBG: USD_ZC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PRICER_EUR!$AI$3:$AI$122</c:f>
              <c:numCache>
                <c:formatCode>0.000%</c:formatCode>
                <c:ptCount val="120"/>
                <c:pt idx="0">
                  <c:v>6.694116079679624E-4</c:v>
                </c:pt>
                <c:pt idx="1">
                  <c:v>6.118966908739143E-4</c:v>
                </c:pt>
                <c:pt idx="2">
                  <c:v>4.3138785714957883E-4</c:v>
                </c:pt>
                <c:pt idx="3">
                  <c:v>3.2262532391191812E-4</c:v>
                </c:pt>
                <c:pt idx="4">
                  <c:v>2.2750984360175863E-4</c:v>
                </c:pt>
                <c:pt idx="5">
                  <c:v>1.3592173851906253E-4</c:v>
                </c:pt>
                <c:pt idx="6">
                  <c:v>8.2567979532877089E-5</c:v>
                </c:pt>
                <c:pt idx="7">
                  <c:v>2.848690716761304E-5</c:v>
                </c:pt>
                <c:pt idx="8">
                  <c:v>1.3997891801897921E-5</c:v>
                </c:pt>
                <c:pt idx="9">
                  <c:v>-3.9344234892269014E-7</c:v>
                </c:pt>
                <c:pt idx="10">
                  <c:v>-1.4327969003136154E-5</c:v>
                </c:pt>
                <c:pt idx="11">
                  <c:v>-2.8246561638911594E-5</c:v>
                </c:pt>
                <c:pt idx="12">
                  <c:v>3.4273795920469752E-5</c:v>
                </c:pt>
                <c:pt idx="13">
                  <c:v>1.0022614653903972E-4</c:v>
                </c:pt>
                <c:pt idx="14">
                  <c:v>1.6535034423159622E-4</c:v>
                </c:pt>
                <c:pt idx="15">
                  <c:v>2.3052448500049394E-4</c:v>
                </c:pt>
                <c:pt idx="16">
                  <c:v>3.7776456593308083E-4</c:v>
                </c:pt>
                <c:pt idx="17">
                  <c:v>5.2775343905442362E-4</c:v>
                </c:pt>
                <c:pt idx="18">
                  <c:v>6.7421979017212585E-4</c:v>
                </c:pt>
                <c:pt idx="19">
                  <c:v>8.222018282395549E-4</c:v>
                </c:pt>
                <c:pt idx="20">
                  <c:v>9.8074186952845643E-4</c:v>
                </c:pt>
                <c:pt idx="21">
                  <c:v>1.1394254394352377E-3</c:v>
                </c:pt>
                <c:pt idx="22">
                  <c:v>1.2943332181645228E-3</c:v>
                </c:pt>
                <c:pt idx="23">
                  <c:v>1.4510457296261769E-3</c:v>
                </c:pt>
                <c:pt idx="24">
                  <c:v>1.6152639385933476E-3</c:v>
                </c:pt>
                <c:pt idx="25">
                  <c:v>1.7830975204524702E-3</c:v>
                </c:pt>
                <c:pt idx="26">
                  <c:v>1.9399889412310412E-3</c:v>
                </c:pt>
                <c:pt idx="27">
                  <c:v>2.1020065040040503E-3</c:v>
                </c:pt>
                <c:pt idx="28">
                  <c:v>2.279655008173842E-3</c:v>
                </c:pt>
                <c:pt idx="29">
                  <c:v>2.4538353473690933E-3</c:v>
                </c:pt>
                <c:pt idx="30">
                  <c:v>2.6237320213551296E-3</c:v>
                </c:pt>
                <c:pt idx="31">
                  <c:v>2.79521061180521E-3</c:v>
                </c:pt>
                <c:pt idx="32">
                  <c:v>2.9269086135486067E-3</c:v>
                </c:pt>
                <c:pt idx="33">
                  <c:v>3.0584150073189598E-3</c:v>
                </c:pt>
                <c:pt idx="34">
                  <c:v>3.1880664857719676E-3</c:v>
                </c:pt>
                <c:pt idx="35">
                  <c:v>3.3160485514553972E-3</c:v>
                </c:pt>
                <c:pt idx="36">
                  <c:v>3.4450929569105337E-3</c:v>
                </c:pt>
                <c:pt idx="37">
                  <c:v>3.5737842830387834E-3</c:v>
                </c:pt>
                <c:pt idx="38">
                  <c:v>3.6993267641260985E-3</c:v>
                </c:pt>
                <c:pt idx="39">
                  <c:v>3.8258105662107855E-3</c:v>
                </c:pt>
                <c:pt idx="40">
                  <c:v>3.9197338231375944E-3</c:v>
                </c:pt>
                <c:pt idx="41">
                  <c:v>4.0121735456792873E-3</c:v>
                </c:pt>
                <c:pt idx="42">
                  <c:v>4.1024572485444111E-3</c:v>
                </c:pt>
                <c:pt idx="43">
                  <c:v>4.1933858723062212E-3</c:v>
                </c:pt>
                <c:pt idx="44">
                  <c:v>4.2850693783031968E-3</c:v>
                </c:pt>
                <c:pt idx="45">
                  <c:v>4.3764805525026151E-3</c:v>
                </c:pt>
                <c:pt idx="46">
                  <c:v>4.4665710710136697E-3</c:v>
                </c:pt>
                <c:pt idx="47">
                  <c:v>4.5563709011584574E-3</c:v>
                </c:pt>
                <c:pt idx="48">
                  <c:v>4.6269697827994172E-3</c:v>
                </c:pt>
                <c:pt idx="49">
                  <c:v>4.6946301144328295E-3</c:v>
                </c:pt>
                <c:pt idx="50">
                  <c:v>4.7606728333295933E-3</c:v>
                </c:pt>
                <c:pt idx="51">
                  <c:v>4.8279284442906967E-3</c:v>
                </c:pt>
                <c:pt idx="52">
                  <c:v>4.8934724705576027E-3</c:v>
                </c:pt>
                <c:pt idx="53">
                  <c:v>4.9602684774041617E-3</c:v>
                </c:pt>
                <c:pt idx="54">
                  <c:v>5.0254197555863467E-3</c:v>
                </c:pt>
                <c:pt idx="55">
                  <c:v>5.0910310882359422E-3</c:v>
                </c:pt>
                <c:pt idx="56">
                  <c:v>5.1564851053700345E-3</c:v>
                </c:pt>
                <c:pt idx="57">
                  <c:v>5.2223639556101542E-3</c:v>
                </c:pt>
                <c:pt idx="58">
                  <c:v>5.2865701493625128E-3</c:v>
                </c:pt>
                <c:pt idx="59">
                  <c:v>5.3512532816077929E-3</c:v>
                </c:pt>
                <c:pt idx="60">
                  <c:v>5.391657749770129E-3</c:v>
                </c:pt>
                <c:pt idx="61">
                  <c:v>5.4310032925106722E-3</c:v>
                </c:pt>
                <c:pt idx="62">
                  <c:v>5.4698143920677289E-3</c:v>
                </c:pt>
                <c:pt idx="63">
                  <c:v>5.5084756283643177E-3</c:v>
                </c:pt>
                <c:pt idx="64">
                  <c:v>5.5474656227409991E-3</c:v>
                </c:pt>
                <c:pt idx="65">
                  <c:v>5.5862433349140872E-3</c:v>
                </c:pt>
                <c:pt idx="66">
                  <c:v>5.6241291548446704E-3</c:v>
                </c:pt>
                <c:pt idx="67">
                  <c:v>5.6622374272610188E-3</c:v>
                </c:pt>
                <c:pt idx="68">
                  <c:v>5.7006806058599313E-3</c:v>
                </c:pt>
                <c:pt idx="69">
                  <c:v>5.7397938770296086E-3</c:v>
                </c:pt>
                <c:pt idx="70">
                  <c:v>5.7762777172047919E-3</c:v>
                </c:pt>
                <c:pt idx="71">
                  <c:v>5.8138278450485803E-3</c:v>
                </c:pt>
                <c:pt idx="72">
                  <c:v>5.8525003936360509E-3</c:v>
                </c:pt>
                <c:pt idx="73">
                  <c:v>5.8902586540268143E-3</c:v>
                </c:pt>
                <c:pt idx="74">
                  <c:v>5.9269841008011692E-3</c:v>
                </c:pt>
                <c:pt idx="75">
                  <c:v>5.9644391360353932E-3</c:v>
                </c:pt>
                <c:pt idx="76">
                  <c:v>6.0009156859541779E-3</c:v>
                </c:pt>
                <c:pt idx="77">
                  <c:v>6.0380525162695431E-3</c:v>
                </c:pt>
                <c:pt idx="78">
                  <c:v>6.0746648871983222E-3</c:v>
                </c:pt>
                <c:pt idx="79">
                  <c:v>6.1107279227827771E-3</c:v>
                </c:pt>
                <c:pt idx="80">
                  <c:v>6.1243391283247739E-3</c:v>
                </c:pt>
                <c:pt idx="81">
                  <c:v>6.137065123763108E-3</c:v>
                </c:pt>
                <c:pt idx="82">
                  <c:v>6.1495292838389393E-3</c:v>
                </c:pt>
                <c:pt idx="83">
                  <c:v>6.1620157872090964E-3</c:v>
                </c:pt>
                <c:pt idx="84">
                  <c:v>6.1746313707475853E-3</c:v>
                </c:pt>
                <c:pt idx="85">
                  <c:v>6.1872135549982943E-3</c:v>
                </c:pt>
                <c:pt idx="86">
                  <c:v>6.1994489230310368E-3</c:v>
                </c:pt>
                <c:pt idx="87">
                  <c:v>6.2118181647992099E-3</c:v>
                </c:pt>
                <c:pt idx="88">
                  <c:v>6.2242158650249735E-3</c:v>
                </c:pt>
                <c:pt idx="89">
                  <c:v>6.2365906339461041E-3</c:v>
                </c:pt>
                <c:pt idx="90">
                  <c:v>6.2486913141972522E-3</c:v>
                </c:pt>
                <c:pt idx="91">
                  <c:v>6.2608280991074405E-3</c:v>
                </c:pt>
                <c:pt idx="92">
                  <c:v>6.2730504723882419E-3</c:v>
                </c:pt>
                <c:pt idx="93">
                  <c:v>6.2855047425889321E-3</c:v>
                </c:pt>
                <c:pt idx="94">
                  <c:v>6.2975033827754601E-3</c:v>
                </c:pt>
                <c:pt idx="95">
                  <c:v>6.3095911667809812E-3</c:v>
                </c:pt>
                <c:pt idx="96">
                  <c:v>6.3213835011426411E-3</c:v>
                </c:pt>
                <c:pt idx="97">
                  <c:v>6.3334117100661835E-3</c:v>
                </c:pt>
                <c:pt idx="98">
                  <c:v>6.3451055220764552E-3</c:v>
                </c:pt>
                <c:pt idx="99">
                  <c:v>6.3568948907466449E-3</c:v>
                </c:pt>
                <c:pt idx="100">
                  <c:v>6.3605057403441911E-3</c:v>
                </c:pt>
                <c:pt idx="101">
                  <c:v>6.363884912162332E-3</c:v>
                </c:pt>
                <c:pt idx="102">
                  <c:v>6.3671682692876264E-3</c:v>
                </c:pt>
                <c:pt idx="103">
                  <c:v>6.3704546660228178E-3</c:v>
                </c:pt>
                <c:pt idx="104">
                  <c:v>6.3737912756056669E-3</c:v>
                </c:pt>
                <c:pt idx="105">
                  <c:v>6.3771298441406277E-3</c:v>
                </c:pt>
                <c:pt idx="106">
                  <c:v>6.3803264568609297E-3</c:v>
                </c:pt>
                <c:pt idx="107">
                  <c:v>6.383574662466529E-3</c:v>
                </c:pt>
                <c:pt idx="108">
                  <c:v>6.3868323206111022E-3</c:v>
                </c:pt>
                <c:pt idx="109">
                  <c:v>6.390093581742029E-3</c:v>
                </c:pt>
                <c:pt idx="110">
                  <c:v>6.3933069465835768E-3</c:v>
                </c:pt>
                <c:pt idx="111">
                  <c:v>6.3964807743059904E-3</c:v>
                </c:pt>
                <c:pt idx="112">
                  <c:v>6.3996683412228528E-3</c:v>
                </c:pt>
                <c:pt idx="113">
                  <c:v>6.4029244415209075E-3</c:v>
                </c:pt>
                <c:pt idx="114">
                  <c:v>6.4059522666850555E-3</c:v>
                </c:pt>
                <c:pt idx="115">
                  <c:v>6.4090593144368047E-3</c:v>
                </c:pt>
                <c:pt idx="116">
                  <c:v>6.4122506912174249E-3</c:v>
                </c:pt>
                <c:pt idx="117">
                  <c:v>6.4153825599628789E-3</c:v>
                </c:pt>
                <c:pt idx="118">
                  <c:v>6.4184113777485674E-3</c:v>
                </c:pt>
                <c:pt idx="119">
                  <c:v>6.42151452550066E-3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C5-45E2-BD51-4FA9C5C24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6957680"/>
        <c:axId val="636961616"/>
      </c:lineChart>
      <c:catAx>
        <c:axId val="6369576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961616"/>
        <c:crosses val="autoZero"/>
        <c:auto val="1"/>
        <c:lblAlgn val="ctr"/>
        <c:lblOffset val="100"/>
        <c:noMultiLvlLbl val="0"/>
      </c:catAx>
      <c:valAx>
        <c:axId val="63696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95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FX Forwards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PRICER_EUR!$AL$1</c:f>
              <c:strCache>
                <c:ptCount val="1"/>
                <c:pt idx="0">
                  <c:v>FX Excel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PRICER_EUR!$AL$2:$AL$121</c:f>
              <c:numCache>
                <c:formatCode>0.00000</c:formatCode>
                <c:ptCount val="120"/>
                <c:pt idx="0">
                  <c:v>1.1234</c:v>
                </c:pt>
                <c:pt idx="1">
                  <c:v>1.125694</c:v>
                </c:pt>
                <c:pt idx="2">
                  <c:v>1.128484</c:v>
                </c:pt>
                <c:pt idx="3">
                  <c:v>1.1308250000000002</c:v>
                </c:pt>
                <c:pt idx="4">
                  <c:v>1.133043</c:v>
                </c:pt>
                <c:pt idx="5">
                  <c:v>1.1355250000000001</c:v>
                </c:pt>
                <c:pt idx="6">
                  <c:v>1.1380490000000001</c:v>
                </c:pt>
                <c:pt idx="7">
                  <c:v>1.1405700000000001</c:v>
                </c:pt>
                <c:pt idx="8">
                  <c:v>1.1430647554147342</c:v>
                </c:pt>
                <c:pt idx="9">
                  <c:v>1.145622331009218</c:v>
                </c:pt>
                <c:pt idx="10">
                  <c:v>1.1482638534499583</c:v>
                </c:pt>
                <c:pt idx="11">
                  <c:v>1.1508746294551908</c:v>
                </c:pt>
                <c:pt idx="12">
                  <c:v>1.1535413990514316</c:v>
                </c:pt>
                <c:pt idx="13">
                  <c:v>1.1564796380926836</c:v>
                </c:pt>
                <c:pt idx="14">
                  <c:v>1.159459863367027</c:v>
                </c:pt>
                <c:pt idx="15">
                  <c:v>1.1624173224829124</c:v>
                </c:pt>
                <c:pt idx="16">
                  <c:v>1.165384391646753</c:v>
                </c:pt>
                <c:pt idx="17">
                  <c:v>1.1688008563859702</c:v>
                </c:pt>
                <c:pt idx="18">
                  <c:v>1.172213430032339</c:v>
                </c:pt>
                <c:pt idx="19">
                  <c:v>1.1755479638243655</c:v>
                </c:pt>
                <c:pt idx="20">
                  <c:v>1.1789155844881813</c:v>
                </c:pt>
                <c:pt idx="21">
                  <c:v>1.1827572020625221</c:v>
                </c:pt>
                <c:pt idx="22">
                  <c:v>1.1865788434211946</c:v>
                </c:pt>
                <c:pt idx="23">
                  <c:v>1.1902978152043999</c:v>
                </c:pt>
                <c:pt idx="24">
                  <c:v>1.1940381490549665</c:v>
                </c:pt>
                <c:pt idx="25">
                  <c:v>1.198053295874435</c:v>
                </c:pt>
                <c:pt idx="26">
                  <c:v>1.2021268214915908</c:v>
                </c:pt>
                <c:pt idx="27">
                  <c:v>1.2059135124898708</c:v>
                </c:pt>
                <c:pt idx="28">
                  <c:v>1.2098016703439547</c:v>
                </c:pt>
                <c:pt idx="29">
                  <c:v>1.2139088555102844</c:v>
                </c:pt>
                <c:pt idx="30">
                  <c:v>1.2178888616774437</c:v>
                </c:pt>
                <c:pt idx="31">
                  <c:v>1.2217438036958645</c:v>
                </c:pt>
                <c:pt idx="32">
                  <c:v>1.2256023756259797</c:v>
                </c:pt>
                <c:pt idx="33">
                  <c:v>1.2295493901038383</c:v>
                </c:pt>
                <c:pt idx="34">
                  <c:v>1.2334894276103656</c:v>
                </c:pt>
                <c:pt idx="35">
                  <c:v>1.2373362886314772</c:v>
                </c:pt>
                <c:pt idx="36">
                  <c:v>1.2410910972010532</c:v>
                </c:pt>
                <c:pt idx="37">
                  <c:v>1.2449133399162167</c:v>
                </c:pt>
                <c:pt idx="38">
                  <c:v>1.2486786036020705</c:v>
                </c:pt>
                <c:pt idx="39">
                  <c:v>1.2523063255040072</c:v>
                </c:pt>
                <c:pt idx="40">
                  <c:v>1.2559178105626301</c:v>
                </c:pt>
                <c:pt idx="41">
                  <c:v>1.2596622193966216</c:v>
                </c:pt>
                <c:pt idx="42">
                  <c:v>1.2633497026802576</c:v>
                </c:pt>
                <c:pt idx="43">
                  <c:v>1.2669014084562527</c:v>
                </c:pt>
                <c:pt idx="44">
                  <c:v>1.2704361281679684</c:v>
                </c:pt>
                <c:pt idx="45">
                  <c:v>1.2739514609829001</c:v>
                </c:pt>
                <c:pt idx="46">
                  <c:v>1.2774077172206759</c:v>
                </c:pt>
                <c:pt idx="47">
                  <c:v>1.2807677767536043</c:v>
                </c:pt>
                <c:pt idx="48">
                  <c:v>1.2840690288069725</c:v>
                </c:pt>
                <c:pt idx="49">
                  <c:v>1.2875196099264781</c:v>
                </c:pt>
                <c:pt idx="50">
                  <c:v>1.2908393352250276</c:v>
                </c:pt>
                <c:pt idx="51">
                  <c:v>1.2940314507275139</c:v>
                </c:pt>
                <c:pt idx="52">
                  <c:v>1.2972373691733405</c:v>
                </c:pt>
                <c:pt idx="53">
                  <c:v>1.3003172642910854</c:v>
                </c:pt>
                <c:pt idx="54">
                  <c:v>1.3034075763676771</c:v>
                </c:pt>
                <c:pt idx="55">
                  <c:v>1.3063735203830336</c:v>
                </c:pt>
                <c:pt idx="56">
                  <c:v>1.3093144943582966</c:v>
                </c:pt>
                <c:pt idx="57">
                  <c:v>1.3121968104338599</c:v>
                </c:pt>
                <c:pt idx="58">
                  <c:v>1.3150507572300381</c:v>
                </c:pt>
                <c:pt idx="59">
                  <c:v>1.3177838507425137</c:v>
                </c:pt>
                <c:pt idx="60">
                  <c:v>1.3204877859939288</c:v>
                </c:pt>
                <c:pt idx="61">
                  <c:v>1.324005567483548</c:v>
                </c:pt>
                <c:pt idx="62">
                  <c:v>1.3274911152153515</c:v>
                </c:pt>
                <c:pt idx="63">
                  <c:v>1.3309067725997399</c:v>
                </c:pt>
                <c:pt idx="64">
                  <c:v>1.3342903119599008</c:v>
                </c:pt>
                <c:pt idx="65">
                  <c:v>1.3376780922667075</c:v>
                </c:pt>
                <c:pt idx="66">
                  <c:v>1.3410324600500718</c:v>
                </c:pt>
                <c:pt idx="67">
                  <c:v>1.3442812969893383</c:v>
                </c:pt>
                <c:pt idx="68">
                  <c:v>1.3475331640575845</c:v>
                </c:pt>
                <c:pt idx="69">
                  <c:v>1.3507866843032774</c:v>
                </c:pt>
                <c:pt idx="70">
                  <c:v>1.3540752466513579</c:v>
                </c:pt>
                <c:pt idx="71">
                  <c:v>1.357120947242507</c:v>
                </c:pt>
                <c:pt idx="72">
                  <c:v>1.3602366990285528</c:v>
                </c:pt>
                <c:pt idx="73">
                  <c:v>1.363418825762593</c:v>
                </c:pt>
                <c:pt idx="74">
                  <c:v>1.3664972102512303</c:v>
                </c:pt>
                <c:pt idx="75">
                  <c:v>1.3694739166732681</c:v>
                </c:pt>
                <c:pt idx="76">
                  <c:v>1.3724809811595222</c:v>
                </c:pt>
                <c:pt idx="77">
                  <c:v>1.3753874100839245</c:v>
                </c:pt>
                <c:pt idx="78">
                  <c:v>1.3783221216812993</c:v>
                </c:pt>
                <c:pt idx="79">
                  <c:v>1.3811885756625328</c:v>
                </c:pt>
                <c:pt idx="80">
                  <c:v>1.383987721110941</c:v>
                </c:pt>
                <c:pt idx="81">
                  <c:v>1.3876379623852442</c:v>
                </c:pt>
                <c:pt idx="82">
                  <c:v>1.3912885986733305</c:v>
                </c:pt>
                <c:pt idx="83">
                  <c:v>1.3948602100982863</c:v>
                </c:pt>
                <c:pt idx="84">
                  <c:v>1.3984717991205202</c:v>
                </c:pt>
                <c:pt idx="85">
                  <c:v>1.4021233286759436</c:v>
                </c:pt>
                <c:pt idx="86">
                  <c:v>1.4057750648499199</c:v>
                </c:pt>
                <c:pt idx="87">
                  <c:v>1.4093475694643567</c:v>
                </c:pt>
                <c:pt idx="88">
                  <c:v>1.4129598773122549</c:v>
                </c:pt>
                <c:pt idx="89">
                  <c:v>1.4166119447265404</c:v>
                </c:pt>
                <c:pt idx="90">
                  <c:v>1.4202640283647021</c:v>
                </c:pt>
                <c:pt idx="91">
                  <c:v>1.4238366881834037</c:v>
                </c:pt>
                <c:pt idx="92">
                  <c:v>1.4274489667550658</c:v>
                </c:pt>
                <c:pt idx="93">
                  <c:v>1.4311008137608394</c:v>
                </c:pt>
                <c:pt idx="94">
                  <c:v>1.4348318664848321</c:v>
                </c:pt>
                <c:pt idx="95">
                  <c:v>1.4384436188766923</c:v>
                </c:pt>
                <c:pt idx="96">
                  <c:v>1.4420947878525749</c:v>
                </c:pt>
                <c:pt idx="97">
                  <c:v>1.4456662710689614</c:v>
                </c:pt>
                <c:pt idx="98">
                  <c:v>1.4493167528692996</c:v>
                </c:pt>
                <c:pt idx="99">
                  <c:v>1.4528874696940484</c:v>
                </c:pt>
                <c:pt idx="100">
                  <c:v>1.4564974047126755</c:v>
                </c:pt>
                <c:pt idx="101">
                  <c:v>1.4599924431801332</c:v>
                </c:pt>
                <c:pt idx="102">
                  <c:v>1.463524758985091</c:v>
                </c:pt>
                <c:pt idx="103">
                  <c:v>1.466979138880393</c:v>
                </c:pt>
                <c:pt idx="104">
                  <c:v>1.4704707002625341</c:v>
                </c:pt>
                <c:pt idx="105">
                  <c:v>1.4739993544798409</c:v>
                </c:pt>
                <c:pt idx="106">
                  <c:v>1.4775266761795318</c:v>
                </c:pt>
                <c:pt idx="107">
                  <c:v>1.4809759797102702</c:v>
                </c:pt>
                <c:pt idx="108">
                  <c:v>1.4844622160860961</c:v>
                </c:pt>
                <c:pt idx="109">
                  <c:v>1.4879852899285422</c:v>
                </c:pt>
                <c:pt idx="110">
                  <c:v>1.4915068329712136</c:v>
                </c:pt>
                <c:pt idx="111">
                  <c:v>1.4949885432386403</c:v>
                </c:pt>
                <c:pt idx="112">
                  <c:v>1.4984686580325719</c:v>
                </c:pt>
                <c:pt idx="113">
                  <c:v>1.501985344248234</c:v>
                </c:pt>
                <c:pt idx="114">
                  <c:v>1.5055766919330318</c:v>
                </c:pt>
                <c:pt idx="115">
                  <c:v>1.5089371191100744</c:v>
                </c:pt>
                <c:pt idx="116">
                  <c:v>1.5124103438526</c:v>
                </c:pt>
                <c:pt idx="117">
                  <c:v>1.5159961374217954</c:v>
                </c:pt>
                <c:pt idx="118">
                  <c:v>1.5195036838179554</c:v>
                </c:pt>
                <c:pt idx="119">
                  <c:v>1.5229330598843831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03-4FA3-A7E5-B9F59BC3CFC7}"/>
            </c:ext>
          </c:extLst>
        </c:ser>
        <c:ser>
          <c:idx val="1"/>
          <c:order val="1"/>
          <c:tx>
            <c:strRef>
              <c:f>PRICER_EUR!$AM$1</c:f>
              <c:strCache>
                <c:ptCount val="1"/>
                <c:pt idx="0">
                  <c:v>FX BBG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PRICER_EUR!$AM$2:$AM$121</c:f>
              <c:numCache>
                <c:formatCode>0.00000</c:formatCode>
                <c:ptCount val="120"/>
                <c:pt idx="0" formatCode="#,##0.00000_ ;[Red]\-#,##0.00000\ ">
                  <c:v>1.1234</c:v>
                </c:pt>
                <c:pt idx="1">
                  <c:v>1.1256957519999999</c:v>
                </c:pt>
                <c:pt idx="2">
                  <c:v>1.1283656210000002</c:v>
                </c:pt>
                <c:pt idx="3">
                  <c:v>1.1307008779999999</c:v>
                </c:pt>
                <c:pt idx="4">
                  <c:v>1.1330798989999999</c:v>
                </c:pt>
                <c:pt idx="5">
                  <c:v>1.135554049</c:v>
                </c:pt>
                <c:pt idx="6">
                  <c:v>1.1380176019999999</c:v>
                </c:pt>
                <c:pt idx="7">
                  <c:v>1.1405515460000002</c:v>
                </c:pt>
                <c:pt idx="8">
                  <c:v>1.1431217819999999</c:v>
                </c:pt>
                <c:pt idx="9">
                  <c:v>1.1456893970000002</c:v>
                </c:pt>
                <c:pt idx="10">
                  <c:v>1.1482839730000001</c:v>
                </c:pt>
                <c:pt idx="11">
                  <c:v>1.1509041470000001</c:v>
                </c:pt>
                <c:pt idx="12">
                  <c:v>1.153550165</c:v>
                </c:pt>
                <c:pt idx="13">
                  <c:v>1.1564085500000001</c:v>
                </c:pt>
                <c:pt idx="14">
                  <c:v>1.1593423060000001</c:v>
                </c:pt>
                <c:pt idx="15">
                  <c:v>1.1623016500000001</c:v>
                </c:pt>
                <c:pt idx="16">
                  <c:v>1.165420449</c:v>
                </c:pt>
                <c:pt idx="17">
                  <c:v>1.168795523</c:v>
                </c:pt>
                <c:pt idx="18">
                  <c:v>1.172160578</c:v>
                </c:pt>
                <c:pt idx="19">
                  <c:v>1.175606047</c:v>
                </c:pt>
                <c:pt idx="20">
                  <c:v>1.1791322720000001</c:v>
                </c:pt>
                <c:pt idx="21">
                  <c:v>1.182803869</c:v>
                </c:pt>
                <c:pt idx="22">
                  <c:v>1.18652603</c:v>
                </c:pt>
                <c:pt idx="23">
                  <c:v>1.1903323910000001</c:v>
                </c:pt>
                <c:pt idx="24">
                  <c:v>1.1942231990000001</c:v>
                </c:pt>
                <c:pt idx="25">
                  <c:v>1.198100164</c:v>
                </c:pt>
                <c:pt idx="26">
                  <c:v>1.202004238</c:v>
                </c:pt>
                <c:pt idx="27">
                  <c:v>1.205980176</c:v>
                </c:pt>
                <c:pt idx="28">
                  <c:v>1.210027977</c:v>
                </c:pt>
                <c:pt idx="29">
                  <c:v>1.2138743570000001</c:v>
                </c:pt>
                <c:pt idx="30">
                  <c:v>1.217718858</c:v>
                </c:pt>
                <c:pt idx="31">
                  <c:v>1.221609379</c:v>
                </c:pt>
                <c:pt idx="32">
                  <c:v>1.225545517</c:v>
                </c:pt>
                <c:pt idx="33">
                  <c:v>1.229407884</c:v>
                </c:pt>
                <c:pt idx="34">
                  <c:v>1.2333010900000001</c:v>
                </c:pt>
                <c:pt idx="35">
                  <c:v>1.237186506</c:v>
                </c:pt>
                <c:pt idx="36">
                  <c:v>1.241193668</c:v>
                </c:pt>
                <c:pt idx="37">
                  <c:v>1.244932315</c:v>
                </c:pt>
                <c:pt idx="38">
                  <c:v>1.2486316150000001</c:v>
                </c:pt>
                <c:pt idx="39">
                  <c:v>1.2523445980000001</c:v>
                </c:pt>
                <c:pt idx="40">
                  <c:v>1.2560705000000001</c:v>
                </c:pt>
                <c:pt idx="41">
                  <c:v>1.2597508150000001</c:v>
                </c:pt>
                <c:pt idx="42">
                  <c:v>1.2632498109999999</c:v>
                </c:pt>
                <c:pt idx="43">
                  <c:v>1.266757847</c:v>
                </c:pt>
                <c:pt idx="44">
                  <c:v>1.2702749419999999</c:v>
                </c:pt>
                <c:pt idx="45">
                  <c:v>1.2738399149999999</c:v>
                </c:pt>
                <c:pt idx="46">
                  <c:v>1.2773752869999999</c:v>
                </c:pt>
                <c:pt idx="47">
                  <c:v>1.280958778</c:v>
                </c:pt>
                <c:pt idx="48">
                  <c:v>1.2845125070000001</c:v>
                </c:pt>
                <c:pt idx="49">
                  <c:v>1.287658341</c:v>
                </c:pt>
                <c:pt idx="50">
                  <c:v>1.290746594</c:v>
                </c:pt>
                <c:pt idx="51">
                  <c:v>1.293821098</c:v>
                </c:pt>
                <c:pt idx="52">
                  <c:v>1.2968816320000001</c:v>
                </c:pt>
                <c:pt idx="53">
                  <c:v>1.299927981</c:v>
                </c:pt>
                <c:pt idx="54">
                  <c:v>1.3029599269999999</c:v>
                </c:pt>
                <c:pt idx="55">
                  <c:v>1.305977253</c:v>
                </c:pt>
                <c:pt idx="56">
                  <c:v>1.308979742</c:v>
                </c:pt>
                <c:pt idx="57">
                  <c:v>1.3119671769999999</c:v>
                </c:pt>
                <c:pt idx="58">
                  <c:v>1.3149393439999999</c:v>
                </c:pt>
                <c:pt idx="59">
                  <c:v>1.3178960259999999</c:v>
                </c:pt>
                <c:pt idx="60">
                  <c:v>1.3208370089999999</c:v>
                </c:pt>
                <c:pt idx="61">
                  <c:v>1.324066658</c:v>
                </c:pt>
                <c:pt idx="62">
                  <c:v>1.3272683510000001</c:v>
                </c:pt>
                <c:pt idx="63">
                  <c:v>1.330570392</c:v>
                </c:pt>
                <c:pt idx="64">
                  <c:v>1.3337618849999999</c:v>
                </c:pt>
                <c:pt idx="65">
                  <c:v>1.336983158</c:v>
                </c:pt>
                <c:pt idx="66">
                  <c:v>1.340164058</c:v>
                </c:pt>
                <c:pt idx="67">
                  <c:v>1.343339501</c:v>
                </c:pt>
                <c:pt idx="68">
                  <c:v>1.3465093640000001</c:v>
                </c:pt>
                <c:pt idx="69">
                  <c:v>1.349708259</c:v>
                </c:pt>
                <c:pt idx="70">
                  <c:v>1.3528665179999999</c:v>
                </c:pt>
                <c:pt idx="71">
                  <c:v>1.356018817</c:v>
                </c:pt>
                <c:pt idx="72">
                  <c:v>1.35916503</c:v>
                </c:pt>
                <c:pt idx="73">
                  <c:v>1.3623395009999999</c:v>
                </c:pt>
                <c:pt idx="74">
                  <c:v>1.3654730900000001</c:v>
                </c:pt>
                <c:pt idx="75">
                  <c:v>1.368600211</c:v>
                </c:pt>
                <c:pt idx="76">
                  <c:v>1.371720735</c:v>
                </c:pt>
                <c:pt idx="77">
                  <c:v>1.374834535</c:v>
                </c:pt>
                <c:pt idx="78">
                  <c:v>1.377941482</c:v>
                </c:pt>
                <c:pt idx="79">
                  <c:v>1.3810074220000002</c:v>
                </c:pt>
                <c:pt idx="80">
                  <c:v>1.3841343079999999</c:v>
                </c:pt>
                <c:pt idx="81">
                  <c:v>1.3876293789999998</c:v>
                </c:pt>
                <c:pt idx="82">
                  <c:v>1.391108257</c:v>
                </c:pt>
                <c:pt idx="83">
                  <c:v>1.3945922740000001</c:v>
                </c:pt>
                <c:pt idx="84">
                  <c:v>1.3980814099999999</c:v>
                </c:pt>
                <c:pt idx="85">
                  <c:v>1.4016909289999999</c:v>
                </c:pt>
                <c:pt idx="86">
                  <c:v>1.4051904150000001</c:v>
                </c:pt>
                <c:pt idx="87">
                  <c:v>1.4086949640000002</c:v>
                </c:pt>
                <c:pt idx="88">
                  <c:v>1.412204555</c:v>
                </c:pt>
                <c:pt idx="89">
                  <c:v>1.415757819</c:v>
                </c:pt>
                <c:pt idx="90">
                  <c:v>1.4192774910000001</c:v>
                </c:pt>
                <c:pt idx="91">
                  <c:v>1.422802146</c:v>
                </c:pt>
                <c:pt idx="92">
                  <c:v>1.426331762</c:v>
                </c:pt>
                <c:pt idx="93">
                  <c:v>1.429905188</c:v>
                </c:pt>
                <c:pt idx="94">
                  <c:v>1.43344472</c:v>
                </c:pt>
                <c:pt idx="95">
                  <c:v>1.4370281279999999</c:v>
                </c:pt>
                <c:pt idx="96">
                  <c:v>1.4405774900000001</c:v>
                </c:pt>
                <c:pt idx="97">
                  <c:v>1.4441317069999999</c:v>
                </c:pt>
                <c:pt idx="98">
                  <c:v>1.4476907569999999</c:v>
                </c:pt>
                <c:pt idx="99">
                  <c:v>1.451254619</c:v>
                </c:pt>
                <c:pt idx="100">
                  <c:v>1.4548232699999999</c:v>
                </c:pt>
                <c:pt idx="101">
                  <c:v>1.4583966859999999</c:v>
                </c:pt>
                <c:pt idx="102">
                  <c:v>1.4619748460000002</c:v>
                </c:pt>
                <c:pt idx="103">
                  <c:v>1.465557725</c:v>
                </c:pt>
                <c:pt idx="104">
                  <c:v>1.469145301</c:v>
                </c:pt>
                <c:pt idx="105">
                  <c:v>1.4727770499999999</c:v>
                </c:pt>
                <c:pt idx="106">
                  <c:v>1.476373997</c:v>
                </c:pt>
                <c:pt idx="107">
                  <c:v>1.479975568</c:v>
                </c:pt>
                <c:pt idx="108">
                  <c:v>1.4835817390000001</c:v>
                </c:pt>
                <c:pt idx="109">
                  <c:v>1.4873115970000002</c:v>
                </c:pt>
                <c:pt idx="110">
                  <c:v>1.490927041</c:v>
                </c:pt>
                <c:pt idx="111">
                  <c:v>1.4945868130000002</c:v>
                </c:pt>
                <c:pt idx="112">
                  <c:v>1.4982113260000001</c:v>
                </c:pt>
                <c:pt idx="113">
                  <c:v>1.5018802150000001</c:v>
                </c:pt>
                <c:pt idx="114">
                  <c:v>1.505513694</c:v>
                </c:pt>
                <c:pt idx="115">
                  <c:v>1.509151591</c:v>
                </c:pt>
                <c:pt idx="116">
                  <c:v>1.51279388</c:v>
                </c:pt>
                <c:pt idx="117">
                  <c:v>1.5164806310000001</c:v>
                </c:pt>
                <c:pt idx="118">
                  <c:v>1.5201316699999998</c:v>
                </c:pt>
                <c:pt idx="119">
                  <c:v>1.5237870179999999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03-4FA3-A7E5-B9F59BC3C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6957680"/>
        <c:axId val="636961616"/>
      </c:lineChart>
      <c:catAx>
        <c:axId val="6369576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961616"/>
        <c:crosses val="autoZero"/>
        <c:auto val="1"/>
        <c:lblAlgn val="ctr"/>
        <c:lblOffset val="100"/>
        <c:noMultiLvlLbl val="0"/>
      </c:catAx>
      <c:valAx>
        <c:axId val="63696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95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FX Forward Ratio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PRICER_EUR!$AN$1</c:f>
              <c:strCache>
                <c:ptCount val="1"/>
                <c:pt idx="0">
                  <c:v>FX Ratio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PRICER_EUR!$AN$2:$AN$121</c:f>
              <c:numCache>
                <c:formatCode>0.0000%</c:formatCode>
                <c:ptCount val="120"/>
                <c:pt idx="0">
                  <c:v>1</c:v>
                </c:pt>
                <c:pt idx="1">
                  <c:v>1.0000015563732239</c:v>
                </c:pt>
                <c:pt idx="2">
                  <c:v>0.99989509908868901</c:v>
                </c:pt>
                <c:pt idx="3">
                  <c:v>0.9998902376583465</c:v>
                </c:pt>
                <c:pt idx="4">
                  <c:v>1.000032566283892</c:v>
                </c:pt>
                <c:pt idx="5">
                  <c:v>1.0000255819995156</c:v>
                </c:pt>
                <c:pt idx="6">
                  <c:v>0.99997241067827469</c:v>
                </c:pt>
                <c:pt idx="7">
                  <c:v>0.99998382037051659</c:v>
                </c:pt>
                <c:pt idx="8">
                  <c:v>1.0000498891991862</c:v>
                </c:pt>
                <c:pt idx="9">
                  <c:v>1.0000585410994243</c:v>
                </c:pt>
                <c:pt idx="10">
                  <c:v>1.0000175217133078</c:v>
                </c:pt>
                <c:pt idx="11">
                  <c:v>1.0000256479238083</c:v>
                </c:pt>
                <c:pt idx="12">
                  <c:v>1.000007599162523</c:v>
                </c:pt>
                <c:pt idx="13">
                  <c:v>0.99993853061451154</c:v>
                </c:pt>
                <c:pt idx="14">
                  <c:v>0.99989861023159055</c:v>
                </c:pt>
                <c:pt idx="15">
                  <c:v>0.99990048971167667</c:v>
                </c:pt>
                <c:pt idx="16">
                  <c:v>1.0000309403090564</c:v>
                </c:pt>
                <c:pt idx="17">
                  <c:v>0.99999543687366321</c:v>
                </c:pt>
                <c:pt idx="18">
                  <c:v>0.99995491262001868</c:v>
                </c:pt>
                <c:pt idx="19">
                  <c:v>1.0000494094476975</c:v>
                </c:pt>
                <c:pt idx="20">
                  <c:v>1.0001838023982972</c:v>
                </c:pt>
                <c:pt idx="21">
                  <c:v>1.0000394560586032</c:v>
                </c:pt>
                <c:pt idx="22">
                  <c:v>0.99995549101394532</c:v>
                </c:pt>
                <c:pt idx="23">
                  <c:v>1.000029048020721</c:v>
                </c:pt>
                <c:pt idx="24">
                  <c:v>1.0001549782518926</c:v>
                </c:pt>
                <c:pt idx="25">
                  <c:v>1.0000391202342387</c:v>
                </c:pt>
                <c:pt idx="26">
                  <c:v>0.99989802782085946</c:v>
                </c:pt>
                <c:pt idx="27">
                  <c:v>1.0000552805068015</c:v>
                </c:pt>
                <c:pt idx="28">
                  <c:v>1.0001870609551902</c:v>
                </c:pt>
                <c:pt idx="29">
                  <c:v>0.99997158064204927</c:v>
                </c:pt>
                <c:pt idx="30">
                  <c:v>0.99986041117314306</c:v>
                </c:pt>
                <c:pt idx="31">
                  <c:v>0.99988997308972805</c:v>
                </c:pt>
                <c:pt idx="32">
                  <c:v>0.99995360760789109</c:v>
                </c:pt>
                <c:pt idx="33">
                  <c:v>0.99988491222477338</c:v>
                </c:pt>
                <c:pt idx="34">
                  <c:v>0.99984731315392761</c:v>
                </c:pt>
                <c:pt idx="35">
                  <c:v>0.99987894751584239</c:v>
                </c:pt>
                <c:pt idx="36">
                  <c:v>1.0000826456649139</c:v>
                </c:pt>
                <c:pt idx="37">
                  <c:v>1.0000152420920998</c:v>
                </c:pt>
                <c:pt idx="38">
                  <c:v>0.99996236933832705</c:v>
                </c:pt>
                <c:pt idx="39">
                  <c:v>1.0000305616087801</c:v>
                </c:pt>
                <c:pt idx="40">
                  <c:v>1.0001215759790059</c:v>
                </c:pt>
                <c:pt idx="41">
                  <c:v>1.0000703328257483</c:v>
                </c:pt>
                <c:pt idx="42">
                  <c:v>0.99992093109291447</c:v>
                </c:pt>
                <c:pt idx="43">
                  <c:v>0.99988668300840589</c:v>
                </c:pt>
                <c:pt idx="44">
                  <c:v>0.99987312532728356</c:v>
                </c:pt>
                <c:pt idx="45">
                  <c:v>0.99991244094746423</c:v>
                </c:pt>
                <c:pt idx="46">
                  <c:v>0.99997461247474961</c:v>
                </c:pt>
                <c:pt idx="47">
                  <c:v>1.0001491302715937</c:v>
                </c:pt>
                <c:pt idx="48">
                  <c:v>1.0003453694334794</c:v>
                </c:pt>
                <c:pt idx="49">
                  <c:v>1.0001077506489628</c:v>
                </c:pt>
                <c:pt idx="50">
                  <c:v>0.99992815432370485</c:v>
                </c:pt>
                <c:pt idx="51">
                  <c:v>0.99983744388330309</c:v>
                </c:pt>
                <c:pt idx="52">
                  <c:v>0.99972577326109013</c:v>
                </c:pt>
                <c:pt idx="53">
                  <c:v>0.99970062437700724</c:v>
                </c:pt>
                <c:pt idx="54">
                  <c:v>0.99965655457602542</c:v>
                </c:pt>
                <c:pt idx="55">
                  <c:v>0.99969666609369323</c:v>
                </c:pt>
                <c:pt idx="56">
                  <c:v>0.99974433005993668</c:v>
                </c:pt>
                <c:pt idx="57">
                  <c:v>0.9998250007681514</c:v>
                </c:pt>
                <c:pt idx="58">
                  <c:v>0.99991527838037764</c:v>
                </c:pt>
                <c:pt idx="59">
                  <c:v>1.0000851241707227</c:v>
                </c:pt>
                <c:pt idx="60">
                  <c:v>1.0002644651542978</c:v>
                </c:pt>
                <c:pt idx="61">
                  <c:v>1.0000461406794294</c:v>
                </c:pt>
                <c:pt idx="62">
                  <c:v>0.99983219155834779</c:v>
                </c:pt>
                <c:pt idx="63">
                  <c:v>0.9997472545735997</c:v>
                </c:pt>
                <c:pt idx="64">
                  <c:v>0.99960396402854435</c:v>
                </c:pt>
                <c:pt idx="65">
                  <c:v>0.99948049215224122</c:v>
                </c:pt>
                <c:pt idx="66">
                  <c:v>0.99935243771053883</c:v>
                </c:pt>
                <c:pt idx="67">
                  <c:v>0.99929940556976615</c:v>
                </c:pt>
                <c:pt idx="68">
                  <c:v>0.99924024129061018</c:v>
                </c:pt>
                <c:pt idx="69">
                  <c:v>0.99920163167448339</c:v>
                </c:pt>
                <c:pt idx="70">
                  <c:v>0.99910734011691948</c:v>
                </c:pt>
                <c:pt idx="71">
                  <c:v>0.99918789092103666</c:v>
                </c:pt>
                <c:pt idx="72">
                  <c:v>0.99921214518817336</c:v>
                </c:pt>
                <c:pt idx="73">
                  <c:v>0.99920836888694897</c:v>
                </c:pt>
                <c:pt idx="74">
                  <c:v>0.99925055079253189</c:v>
                </c:pt>
                <c:pt idx="75">
                  <c:v>0.99936201364434118</c:v>
                </c:pt>
                <c:pt idx="76">
                  <c:v>0.99944607891114101</c:v>
                </c:pt>
                <c:pt idx="77">
                  <c:v>0.99959802228821415</c:v>
                </c:pt>
                <c:pt idx="78">
                  <c:v>0.99972383837180601</c:v>
                </c:pt>
                <c:pt idx="79">
                  <c:v>0.99986884219452377</c:v>
                </c:pt>
                <c:pt idx="80">
                  <c:v>1.0001059163219608</c:v>
                </c:pt>
                <c:pt idx="81">
                  <c:v>0.99999381439145008</c:v>
                </c:pt>
                <c:pt idx="82">
                  <c:v>0.99987037795501055</c:v>
                </c:pt>
                <c:pt idx="83">
                  <c:v>0.99980791186360718</c:v>
                </c:pt>
                <c:pt idx="84">
                  <c:v>0.99972084591139709</c:v>
                </c:pt>
                <c:pt idx="85">
                  <c:v>0.99969161081118874</c:v>
                </c:pt>
                <c:pt idx="86">
                  <c:v>0.99958410853589708</c:v>
                </c:pt>
                <c:pt idx="87">
                  <c:v>0.99953694498185108</c:v>
                </c:pt>
                <c:pt idx="88">
                  <c:v>0.99946543258277676</c:v>
                </c:pt>
                <c:pt idx="89">
                  <c:v>0.99939706443269805</c:v>
                </c:pt>
                <c:pt idx="90">
                  <c:v>0.9993053845306229</c:v>
                </c:pt>
                <c:pt idx="91">
                  <c:v>0.99927341232882294</c:v>
                </c:pt>
                <c:pt idx="92">
                  <c:v>0.99921734171862864</c:v>
                </c:pt>
                <c:pt idx="93">
                  <c:v>0.99916454120538345</c:v>
                </c:pt>
                <c:pt idx="94">
                  <c:v>0.99903323412503342</c:v>
                </c:pt>
                <c:pt idx="95">
                  <c:v>0.99901595665056531</c:v>
                </c:pt>
                <c:pt idx="96">
                  <c:v>0.99894785151062493</c:v>
                </c:pt>
                <c:pt idx="97">
                  <c:v>0.99893850738606027</c:v>
                </c:pt>
                <c:pt idx="98">
                  <c:v>0.99887809489120949</c:v>
                </c:pt>
                <c:pt idx="99">
                  <c:v>0.99887613409289555</c:v>
                </c:pt>
                <c:pt idx="100">
                  <c:v>0.99885057487417506</c:v>
                </c:pt>
                <c:pt idx="101">
                  <c:v>0.99890700997283421</c:v>
                </c:pt>
                <c:pt idx="102">
                  <c:v>0.99894097248743119</c:v>
                </c:pt>
                <c:pt idx="103">
                  <c:v>0.99903106060425795</c:v>
                </c:pt>
                <c:pt idx="104">
                  <c:v>0.99909865646265683</c:v>
                </c:pt>
                <c:pt idx="105">
                  <c:v>0.99917075643477993</c:v>
                </c:pt>
                <c:pt idx="106">
                  <c:v>0.99921985897235222</c:v>
                </c:pt>
                <c:pt idx="107">
                  <c:v>0.99932449160285108</c:v>
                </c:pt>
                <c:pt idx="108">
                  <c:v>0.99940687133929385</c:v>
                </c:pt>
                <c:pt idx="109">
                  <c:v>0.99954724490013314</c:v>
                </c:pt>
                <c:pt idx="110">
                  <c:v>0.99961127099226321</c:v>
                </c:pt>
                <c:pt idx="111">
                  <c:v>0.99973128206202178</c:v>
                </c:pt>
                <c:pt idx="112">
                  <c:v>0.9998282699933746</c:v>
                </c:pt>
                <c:pt idx="113">
                  <c:v>0.99993000647533847</c:v>
                </c:pt>
                <c:pt idx="114">
                  <c:v>0.99995815694187529</c:v>
                </c:pt>
                <c:pt idx="115">
                  <c:v>1.0001421344118382</c:v>
                </c:pt>
                <c:pt idx="116">
                  <c:v>1.0002535926502745</c:v>
                </c:pt>
                <c:pt idx="117">
                  <c:v>1.0003195876072801</c:v>
                </c:pt>
                <c:pt idx="118">
                  <c:v>1.0004132837509592</c:v>
                </c:pt>
                <c:pt idx="119">
                  <c:v>1.0005607325352053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E8-4D07-A6EA-BDC61D656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6957680"/>
        <c:axId val="636961616"/>
      </c:lineChart>
      <c:catAx>
        <c:axId val="6369576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961616"/>
        <c:crosses val="autoZero"/>
        <c:auto val="1"/>
        <c:lblAlgn val="ctr"/>
        <c:lblOffset val="100"/>
        <c:noMultiLvlLbl val="0"/>
      </c:catAx>
      <c:valAx>
        <c:axId val="63696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95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82</xdr:col>
      <xdr:colOff>253999</xdr:colOff>
      <xdr:row>2</xdr:row>
      <xdr:rowOff>125941</xdr:rowOff>
    </xdr:from>
    <xdr:to>
      <xdr:col>89</xdr:col>
      <xdr:colOff>328082</xdr:colOff>
      <xdr:row>17</xdr:row>
      <xdr:rowOff>11641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52916</xdr:colOff>
      <xdr:row>28</xdr:row>
      <xdr:rowOff>84666</xdr:rowOff>
    </xdr:from>
    <xdr:to>
      <xdr:col>46</xdr:col>
      <xdr:colOff>613833</xdr:colOff>
      <xdr:row>42</xdr:row>
      <xdr:rowOff>160866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41</xdr:col>
      <xdr:colOff>63499</xdr:colOff>
      <xdr:row>43</xdr:row>
      <xdr:rowOff>84667</xdr:rowOff>
    </xdr:from>
    <xdr:to>
      <xdr:col>46</xdr:col>
      <xdr:colOff>624416</xdr:colOff>
      <xdr:row>57</xdr:row>
      <xdr:rowOff>160867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47</xdr:col>
      <xdr:colOff>243416</xdr:colOff>
      <xdr:row>28</xdr:row>
      <xdr:rowOff>63500</xdr:rowOff>
    </xdr:from>
    <xdr:to>
      <xdr:col>52</xdr:col>
      <xdr:colOff>740833</xdr:colOff>
      <xdr:row>42</xdr:row>
      <xdr:rowOff>139700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47</xdr:col>
      <xdr:colOff>275166</xdr:colOff>
      <xdr:row>43</xdr:row>
      <xdr:rowOff>63500</xdr:rowOff>
    </xdr:from>
    <xdr:to>
      <xdr:col>52</xdr:col>
      <xdr:colOff>772583</xdr:colOff>
      <xdr:row>57</xdr:row>
      <xdr:rowOff>139700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31750</xdr:colOff>
      <xdr:row>59</xdr:row>
      <xdr:rowOff>0</xdr:rowOff>
    </xdr:from>
    <xdr:to>
      <xdr:col>46</xdr:col>
      <xdr:colOff>592667</xdr:colOff>
      <xdr:row>73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47</xdr:col>
      <xdr:colOff>190500</xdr:colOff>
      <xdr:row>59</xdr:row>
      <xdr:rowOff>10583</xdr:rowOff>
    </xdr:from>
    <xdr:to>
      <xdr:col>52</xdr:col>
      <xdr:colOff>687917</xdr:colOff>
      <xdr:row>73</xdr:row>
      <xdr:rowOff>86783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82</xdr:col>
      <xdr:colOff>253999</xdr:colOff>
      <xdr:row>2</xdr:row>
      <xdr:rowOff>125941</xdr:rowOff>
    </xdr:from>
    <xdr:to>
      <xdr:col>89</xdr:col>
      <xdr:colOff>328082</xdr:colOff>
      <xdr:row>17</xdr:row>
      <xdr:rowOff>11641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52916</xdr:colOff>
      <xdr:row>27</xdr:row>
      <xdr:rowOff>84666</xdr:rowOff>
    </xdr:from>
    <xdr:to>
      <xdr:col>46</xdr:col>
      <xdr:colOff>613833</xdr:colOff>
      <xdr:row>41</xdr:row>
      <xdr:rowOff>160866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41</xdr:col>
      <xdr:colOff>63499</xdr:colOff>
      <xdr:row>42</xdr:row>
      <xdr:rowOff>84667</xdr:rowOff>
    </xdr:from>
    <xdr:to>
      <xdr:col>46</xdr:col>
      <xdr:colOff>624416</xdr:colOff>
      <xdr:row>56</xdr:row>
      <xdr:rowOff>160867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47</xdr:col>
      <xdr:colOff>243416</xdr:colOff>
      <xdr:row>27</xdr:row>
      <xdr:rowOff>63500</xdr:rowOff>
    </xdr:from>
    <xdr:to>
      <xdr:col>52</xdr:col>
      <xdr:colOff>740833</xdr:colOff>
      <xdr:row>41</xdr:row>
      <xdr:rowOff>139700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47</xdr:col>
      <xdr:colOff>275166</xdr:colOff>
      <xdr:row>42</xdr:row>
      <xdr:rowOff>63500</xdr:rowOff>
    </xdr:from>
    <xdr:to>
      <xdr:col>52</xdr:col>
      <xdr:colOff>772583</xdr:colOff>
      <xdr:row>56</xdr:row>
      <xdr:rowOff>139700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31750</xdr:colOff>
      <xdr:row>58</xdr:row>
      <xdr:rowOff>0</xdr:rowOff>
    </xdr:from>
    <xdr:to>
      <xdr:col>46</xdr:col>
      <xdr:colOff>592667</xdr:colOff>
      <xdr:row>72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47</xdr:col>
      <xdr:colOff>190500</xdr:colOff>
      <xdr:row>58</xdr:row>
      <xdr:rowOff>10583</xdr:rowOff>
    </xdr:from>
    <xdr:to>
      <xdr:col>52</xdr:col>
      <xdr:colOff>687917</xdr:colOff>
      <xdr:row>72</xdr:row>
      <xdr:rowOff>86783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</sheetPr>
  <dimension ref="A1:CF202"/>
  <sheetViews>
    <sheetView tabSelected="1" zoomScale="90" zoomScaleNormal="90" workbookViewId="0">
      <selection activeCell="H7" sqref="H7"/>
    </sheetView>
  </sheetViews>
  <sheetFormatPr defaultRowHeight="15" x14ac:dyDescent="0.25"/>
  <cols>
    <col min="1" max="1" width="14.28515625" style="38" customWidth="1"/>
    <col min="2" max="5" width="14.28515625" style="19" customWidth="1"/>
    <col min="6" max="6" width="14.28515625" style="34" customWidth="1"/>
    <col min="7" max="7" width="11.5703125" style="3" customWidth="1"/>
    <col min="8" max="9" width="10.85546875" style="3" customWidth="1"/>
    <col min="10" max="10" width="10.28515625" style="34" customWidth="1"/>
    <col min="11" max="11" width="10.28515625" style="19" customWidth="1"/>
    <col min="12" max="12" width="10.28515625" style="34" customWidth="1"/>
    <col min="13" max="13" width="14.28515625" style="96" customWidth="1"/>
    <col min="14" max="14" width="14.28515625" style="19" customWidth="1"/>
    <col min="15" max="15" width="14.28515625" style="34" customWidth="1"/>
    <col min="16" max="16" width="11.7109375" style="34" customWidth="1"/>
    <col min="17" max="17" width="13.42578125" style="45" customWidth="1"/>
    <col min="18" max="18" width="13.42578125" style="105" customWidth="1"/>
    <col min="19" max="20" width="13.42578125" style="45" customWidth="1"/>
    <col min="21" max="21" width="13.42578125" style="49" customWidth="1"/>
    <col min="22" max="22" width="14.140625" style="61" customWidth="1"/>
    <col min="23" max="23" width="13.28515625" style="47" customWidth="1"/>
    <col min="24" max="24" width="13.42578125" style="107" customWidth="1"/>
    <col min="25" max="25" width="13.42578125" style="47" customWidth="1"/>
    <col min="26" max="26" width="13.28515625" style="47" customWidth="1"/>
    <col min="27" max="27" width="13.28515625" style="49" customWidth="1"/>
    <col min="28" max="28" width="9.28515625" style="47" customWidth="1"/>
    <col min="29" max="29" width="9.28515625" style="122" customWidth="1"/>
    <col min="30" max="31" width="13.28515625" style="47" customWidth="1"/>
    <col min="32" max="33" width="13.28515625" style="117" customWidth="1"/>
    <col min="34" max="39" width="13.28515625" style="47" customWidth="1"/>
    <col min="40" max="41" width="12" style="1" customWidth="1"/>
    <col min="42" max="42" width="10.7109375" style="3" customWidth="1"/>
    <col min="43" max="43" width="13.7109375" style="3" customWidth="1"/>
    <col min="44" max="44" width="11.7109375" style="3" customWidth="1"/>
    <col min="45" max="45" width="12" style="52" customWidth="1"/>
    <col min="46" max="46" width="11.85546875" style="52" customWidth="1"/>
    <col min="47" max="47" width="10.28515625" style="1" customWidth="1"/>
    <col min="48" max="48" width="13.28515625" style="52" customWidth="1"/>
    <col min="49" max="49" width="11.5703125" style="52" customWidth="1"/>
    <col min="50" max="51" width="11.7109375" style="52" customWidth="1"/>
    <col min="52" max="53" width="12.7109375" style="52" customWidth="1"/>
    <col min="54" max="54" width="13.85546875" style="1" customWidth="1"/>
    <col min="55" max="55" width="13.42578125" style="1" customWidth="1"/>
    <col min="56" max="56" width="12" style="1" customWidth="1"/>
    <col min="57" max="57" width="10.28515625" style="1" customWidth="1"/>
    <col min="58" max="59" width="10.140625" style="3" customWidth="1"/>
    <col min="60" max="60" width="11" style="3" customWidth="1"/>
    <col min="61" max="61" width="10.28515625" style="3" customWidth="1"/>
    <col min="62" max="63" width="13.28515625" style="3" customWidth="1"/>
    <col min="64" max="64" width="9.140625" style="1"/>
    <col min="65" max="66" width="9.140625" style="3"/>
    <col min="67" max="67" width="10.7109375" style="3" customWidth="1"/>
    <col min="68" max="68" width="11.42578125" style="3" customWidth="1"/>
    <col min="69" max="69" width="10.5703125" style="3" bestFit="1" customWidth="1"/>
    <col min="70" max="70" width="9.140625" style="3"/>
    <col min="71" max="71" width="8.5703125" style="3" customWidth="1"/>
    <col min="72" max="74" width="9.140625" style="3"/>
    <col min="75" max="75" width="9.140625" style="1"/>
    <col min="76" max="76" width="14.7109375" style="1" customWidth="1"/>
    <col min="77" max="77" width="12.140625" style="1" customWidth="1"/>
    <col min="78" max="78" width="12.7109375" style="12" customWidth="1"/>
    <col min="79" max="79" width="12.28515625" style="1" customWidth="1"/>
    <col min="80" max="80" width="9.140625" style="1"/>
    <col min="81" max="82" width="10.42578125" style="1" customWidth="1"/>
    <col min="83" max="83" width="9.140625" style="1"/>
    <col min="84" max="84" width="12.140625" style="1" bestFit="1" customWidth="1"/>
    <col min="85" max="16384" width="9.140625" style="1"/>
  </cols>
  <sheetData>
    <row r="1" spans="1:82" x14ac:dyDescent="0.25">
      <c r="A1" s="36" t="s">
        <v>39</v>
      </c>
      <c r="B1" s="4" t="s">
        <v>421</v>
      </c>
      <c r="C1" s="4" t="s">
        <v>422</v>
      </c>
      <c r="D1" s="4" t="s">
        <v>423</v>
      </c>
      <c r="E1" s="4" t="s">
        <v>0</v>
      </c>
      <c r="F1" s="35" t="s">
        <v>1</v>
      </c>
      <c r="G1" s="25" t="s">
        <v>45</v>
      </c>
      <c r="H1" s="25" t="s">
        <v>57</v>
      </c>
      <c r="I1" s="25" t="s">
        <v>44</v>
      </c>
      <c r="J1" s="30" t="s">
        <v>48</v>
      </c>
      <c r="K1" s="25" t="s">
        <v>46</v>
      </c>
      <c r="L1" s="30" t="s">
        <v>96</v>
      </c>
      <c r="M1" s="97" t="s">
        <v>39</v>
      </c>
      <c r="N1" s="97" t="s">
        <v>166</v>
      </c>
      <c r="O1" s="97" t="s">
        <v>111</v>
      </c>
      <c r="P1" s="97" t="s">
        <v>112</v>
      </c>
      <c r="Q1" s="43" t="s">
        <v>424</v>
      </c>
      <c r="R1" s="103" t="s">
        <v>167</v>
      </c>
      <c r="S1" s="43" t="s">
        <v>425</v>
      </c>
      <c r="T1" s="43" t="s">
        <v>54</v>
      </c>
      <c r="U1" s="48" t="s">
        <v>379</v>
      </c>
      <c r="V1" s="109" t="s">
        <v>103</v>
      </c>
      <c r="W1" s="43" t="s">
        <v>104</v>
      </c>
      <c r="X1" s="103" t="s">
        <v>167</v>
      </c>
      <c r="Y1" s="43" t="s">
        <v>381</v>
      </c>
      <c r="Z1" s="43" t="s">
        <v>379</v>
      </c>
      <c r="AA1" s="48" t="s">
        <v>380</v>
      </c>
      <c r="AB1" s="111"/>
      <c r="AC1" s="121" t="s">
        <v>390</v>
      </c>
      <c r="AD1" s="114" t="s">
        <v>463</v>
      </c>
      <c r="AE1" s="114" t="s">
        <v>383</v>
      </c>
      <c r="AF1" s="115" t="s">
        <v>464</v>
      </c>
      <c r="AG1" s="115" t="s">
        <v>385</v>
      </c>
      <c r="AH1" s="114" t="s">
        <v>465</v>
      </c>
      <c r="AI1" s="114" t="s">
        <v>387</v>
      </c>
      <c r="AJ1" s="114" t="s">
        <v>466</v>
      </c>
      <c r="AK1" s="114" t="s">
        <v>388</v>
      </c>
      <c r="AL1" s="114" t="s">
        <v>412</v>
      </c>
      <c r="AM1" s="114" t="s">
        <v>413</v>
      </c>
      <c r="AN1" s="114" t="s">
        <v>420</v>
      </c>
      <c r="AP1" s="53" t="s">
        <v>2</v>
      </c>
      <c r="AQ1" s="54" t="s">
        <v>38</v>
      </c>
      <c r="AR1" s="55" t="s">
        <v>40</v>
      </c>
      <c r="AS1" s="58" t="s">
        <v>467</v>
      </c>
      <c r="AT1" s="58" t="s">
        <v>468</v>
      </c>
      <c r="AU1" s="54" t="s">
        <v>469</v>
      </c>
      <c r="AV1" s="59" t="s">
        <v>470</v>
      </c>
      <c r="AW1" s="60" t="s">
        <v>101</v>
      </c>
      <c r="AX1" s="58" t="s">
        <v>102</v>
      </c>
      <c r="AY1" s="58" t="s">
        <v>49</v>
      </c>
      <c r="AZ1" s="59" t="s">
        <v>50</v>
      </c>
      <c r="BA1" s="85" t="s">
        <v>108</v>
      </c>
      <c r="BB1" s="53" t="s">
        <v>55</v>
      </c>
      <c r="BC1" s="55" t="s">
        <v>56</v>
      </c>
      <c r="BD1" s="67" t="s">
        <v>51</v>
      </c>
      <c r="BF1" s="4" t="s">
        <v>2</v>
      </c>
      <c r="BG1" s="4" t="s">
        <v>38</v>
      </c>
      <c r="BH1" s="4" t="s">
        <v>40</v>
      </c>
      <c r="BI1" s="4" t="s">
        <v>462</v>
      </c>
      <c r="BJ1" s="4" t="s">
        <v>423</v>
      </c>
      <c r="BK1" s="4" t="s">
        <v>1</v>
      </c>
      <c r="BM1" s="4" t="s">
        <v>2</v>
      </c>
      <c r="BN1" s="4" t="s">
        <v>38</v>
      </c>
      <c r="BO1" s="4" t="s">
        <v>40</v>
      </c>
      <c r="BP1" s="4" t="s">
        <v>105</v>
      </c>
      <c r="BQ1" s="4" t="s">
        <v>43</v>
      </c>
      <c r="BR1" s="4" t="s">
        <v>44</v>
      </c>
      <c r="BS1" s="4" t="s">
        <v>45</v>
      </c>
      <c r="BT1" s="4" t="s">
        <v>471</v>
      </c>
      <c r="BU1" s="4" t="s">
        <v>107</v>
      </c>
      <c r="BV1" s="4" t="s">
        <v>46</v>
      </c>
      <c r="BX1" s="4" t="s">
        <v>41</v>
      </c>
      <c r="BY1" s="4" t="s">
        <v>42</v>
      </c>
      <c r="BZ1" s="23" t="s">
        <v>44</v>
      </c>
      <c r="CA1" s="4" t="s">
        <v>47</v>
      </c>
      <c r="CB1" s="4" t="s">
        <v>52</v>
      </c>
      <c r="CC1" s="4" t="s">
        <v>53</v>
      </c>
      <c r="CD1" s="4" t="s">
        <v>419</v>
      </c>
    </row>
    <row r="2" spans="1:82" x14ac:dyDescent="0.25">
      <c r="A2" s="37">
        <f>BH2</f>
        <v>44014</v>
      </c>
      <c r="B2" s="26"/>
      <c r="C2" s="26"/>
      <c r="D2" s="27">
        <v>1</v>
      </c>
      <c r="E2" s="26"/>
      <c r="F2" s="31">
        <v>1</v>
      </c>
      <c r="G2" s="27">
        <f t="shared" ref="G2:G65" si="0">YEARFRAC($BH$2,$A2,2)</f>
        <v>0</v>
      </c>
      <c r="H2" s="26"/>
      <c r="I2" s="27">
        <v>1</v>
      </c>
      <c r="J2" s="31">
        <f t="shared" ref="J2:J65" si="1">$BI$2*I2/F2</f>
        <v>1.2401</v>
      </c>
      <c r="K2" s="27"/>
      <c r="L2" s="31"/>
      <c r="M2" s="94">
        <f>BO2</f>
        <v>44014</v>
      </c>
      <c r="N2" s="98"/>
      <c r="O2" s="90"/>
      <c r="P2" s="90"/>
      <c r="Q2" s="44">
        <v>10000000</v>
      </c>
      <c r="R2" s="104"/>
      <c r="S2" s="44"/>
      <c r="T2" s="44"/>
      <c r="U2" s="108">
        <f>-Q2</f>
        <v>-10000000</v>
      </c>
      <c r="V2" s="110"/>
      <c r="W2" s="44">
        <f>-Q2*J2</f>
        <v>-12401000</v>
      </c>
      <c r="X2" s="104"/>
      <c r="Y2" s="44"/>
      <c r="Z2" s="44">
        <f>-R2*K2</f>
        <v>0</v>
      </c>
      <c r="AA2" s="108">
        <f>-W2</f>
        <v>12401000</v>
      </c>
      <c r="AB2" s="86"/>
      <c r="AC2" s="123"/>
      <c r="AD2" s="44"/>
      <c r="AE2" s="44"/>
      <c r="AF2" s="118">
        <f>BBG_GBP!X2</f>
        <v>1.0000070000000001</v>
      </c>
      <c r="AG2" s="118">
        <f>BBG_EUR!L2</f>
        <v>0.99999400000000005</v>
      </c>
      <c r="AH2" s="44"/>
      <c r="AI2" s="44"/>
      <c r="AJ2" s="44"/>
      <c r="AK2" s="44"/>
      <c r="AL2" s="142">
        <f>J2</f>
        <v>1.2401</v>
      </c>
      <c r="AM2" s="141">
        <f>BBG_GBP!AA2</f>
        <v>1.2401</v>
      </c>
      <c r="AN2" s="152">
        <f>AM2/AL2</f>
        <v>1</v>
      </c>
      <c r="AO2" s="147"/>
      <c r="AP2" s="56" t="str">
        <f t="shared" ref="AP2:AR14" si="2">BF21</f>
        <v>2Y</v>
      </c>
      <c r="AQ2" s="19" t="str">
        <f t="shared" si="2"/>
        <v>BPBS2</v>
      </c>
      <c r="AR2" s="38">
        <f t="shared" si="2"/>
        <v>44747</v>
      </c>
      <c r="AS2" s="47">
        <f>SUMPRODUCT($S$3:$S$202,$I$3:$I$202,1*($A$3:$A$202&lt;=$AR2))</f>
        <v>18667.904698822535</v>
      </c>
      <c r="AT2" s="47">
        <f>SUMPRODUCT($U$3:$U$202,$I$3:$I$202,1*($A$3:$A$202=$AR2))+$U$2*$I$2</f>
        <v>34360.800230858847</v>
      </c>
      <c r="AU2" s="47">
        <f>SUMPRODUCT($T$3:$T$202,$I$3:$I$202,1*($A$3:$A$202&lt;=$AR2))</f>
        <v>2011.9394987386072</v>
      </c>
      <c r="AV2" s="49">
        <f>(AS2+AT2)</f>
        <v>53028.704929681378</v>
      </c>
      <c r="AW2" s="61">
        <f>SUMPRODUCT($Y$3:$Y$202,$F$3:$F$202,1*($A$3:$A$202&lt;=$AR2))</f>
        <v>-56261.892158508897</v>
      </c>
      <c r="AX2" s="47">
        <f>SUMPRODUCT($Z$3:$Z$202,$F$3:$F$202,1*($A$3:$A$202&lt;=$AR2))</f>
        <v>41844.3451696634</v>
      </c>
      <c r="AY2" s="47">
        <f>SUMPRODUCT($AA$3:$AA$202,$F$3:$F$202,1*($A$3:$A$202=$AR2))+AA$2</f>
        <v>-42610.828366288915</v>
      </c>
      <c r="AZ2" s="49">
        <f>SUM(AW2:AY2)</f>
        <v>-57028.375355134413</v>
      </c>
      <c r="BA2" s="47">
        <f>(AV2*$BI$2+AZ2)</f>
        <v>8732.5216281634639</v>
      </c>
      <c r="BB2" s="63">
        <f>-BA2/($BI$2*$AU2)</f>
        <v>-3.500000009945206</v>
      </c>
      <c r="BC2" s="64">
        <f t="shared" ref="BC2:BC17" si="3">VLOOKUP($AP2,$BF$21:$BI$37,4,FALSE)*10000</f>
        <v>-3.5</v>
      </c>
      <c r="BD2" s="68">
        <f>(BB2-BC2)</f>
        <v>-9.9452059920679403E-9</v>
      </c>
      <c r="BF2" s="7" t="s">
        <v>4</v>
      </c>
      <c r="BG2" s="7" t="s">
        <v>426</v>
      </c>
      <c r="BH2" s="8">
        <v>44014</v>
      </c>
      <c r="BI2" s="10">
        <v>1.2401</v>
      </c>
      <c r="BJ2" s="10">
        <v>0.99999660960809</v>
      </c>
      <c r="BK2" s="11">
        <v>1</v>
      </c>
      <c r="BM2" s="7" t="str">
        <f>BF2</f>
        <v>Spot</v>
      </c>
      <c r="BN2" s="7" t="str">
        <f t="shared" ref="BN2:BP20" si="4">BG2</f>
        <v>GBP</v>
      </c>
      <c r="BO2" s="8">
        <f t="shared" si="4"/>
        <v>44014</v>
      </c>
      <c r="BP2" s="10">
        <f t="shared" si="4"/>
        <v>1.2401</v>
      </c>
      <c r="BQ2" s="72">
        <f>BK2/BK$2</f>
        <v>1</v>
      </c>
      <c r="BR2" s="71">
        <f>BQ2*$BP2/$BP$2</f>
        <v>1</v>
      </c>
      <c r="BS2" s="74">
        <f>YEARFRAC($BO$2,$BO2,2)</f>
        <v>0</v>
      </c>
      <c r="BT2" s="72">
        <f>BJ2/$BJ$2</f>
        <v>1</v>
      </c>
      <c r="BU2" s="75"/>
      <c r="BV2" s="75"/>
      <c r="BX2" s="8">
        <f t="shared" ref="BX2:BX23" si="5">BH2</f>
        <v>44014</v>
      </c>
      <c r="BY2" s="15">
        <f t="shared" ref="BY2:BY36" si="6">YEARFRAC($BX$2,$BX2,2)</f>
        <v>0</v>
      </c>
      <c r="BZ2" s="17">
        <f t="shared" ref="BZ2:BZ19" si="7">BR2</f>
        <v>1</v>
      </c>
      <c r="CA2" s="7"/>
      <c r="CB2" s="28">
        <f t="shared" ref="CB2:CB23" si="8">BJ2</f>
        <v>0.99999660960809</v>
      </c>
      <c r="CC2" s="21"/>
      <c r="CD2" s="21"/>
    </row>
    <row r="3" spans="1:82" x14ac:dyDescent="0.25">
      <c r="A3" s="38">
        <v>44106</v>
      </c>
      <c r="B3" s="22">
        <v>2.5205479452061701E-5</v>
      </c>
      <c r="C3" s="22">
        <v>3.5494857414985998E-4</v>
      </c>
      <c r="D3" s="22">
        <v>0.99985646995921096</v>
      </c>
      <c r="E3" s="22">
        <v>7.7177777777737101E-4</v>
      </c>
      <c r="F3" s="32">
        <v>0.99984158065616202</v>
      </c>
      <c r="G3" s="5">
        <f t="shared" si="0"/>
        <v>0.25555555555555554</v>
      </c>
      <c r="H3" s="5">
        <f t="shared" ref="H3:H34" si="9">RE_MATH_LinearInterpolation($BY$3:$BY$36,$CA$3:$CA$36,$G3)</f>
        <v>-1.4358142877000104E-3</v>
      </c>
      <c r="I3" s="5">
        <f t="shared" ref="I3:I66" si="10">(1+H3)^-$G3</f>
        <v>1.0003672614162524</v>
      </c>
      <c r="J3" s="32">
        <f t="shared" si="1"/>
        <v>1.2407520000000001</v>
      </c>
      <c r="K3" s="22" t="s">
        <v>445</v>
      </c>
      <c r="L3" s="40">
        <f t="shared" ref="L3:L34" si="11">VLOOKUP($K3,$BG$21:$BI$36,3,FALSE)*10000</f>
        <v>-3.5</v>
      </c>
      <c r="M3" s="93">
        <v>44106</v>
      </c>
      <c r="N3" s="92">
        <f>M2</f>
        <v>44014</v>
      </c>
      <c r="O3" s="91">
        <f>M3</f>
        <v>44106</v>
      </c>
      <c r="P3" s="89">
        <f>O3-N3</f>
        <v>92</v>
      </c>
      <c r="Q3" s="45">
        <v>10000000</v>
      </c>
      <c r="R3" s="105">
        <f t="shared" ref="R3:R66" si="12">C3*360/P3</f>
        <v>1.3889292031951043E-3</v>
      </c>
      <c r="S3" s="45">
        <f>Q3*$C3</f>
        <v>3549.4857414986</v>
      </c>
      <c r="T3" s="45">
        <f>Q3*$B3</f>
        <v>252.05479452061701</v>
      </c>
      <c r="V3" s="61">
        <f t="shared" ref="V3:V66" si="13">W2</f>
        <v>-12401000</v>
      </c>
      <c r="W3" s="47">
        <f t="shared" ref="W3:W66" si="14">-Q3*J3</f>
        <v>-12407520</v>
      </c>
      <c r="X3" s="107">
        <f t="shared" ref="X3:X66" si="15">E3*360/P3</f>
        <v>3.0199999999984081E-3</v>
      </c>
      <c r="Y3" s="47">
        <f t="shared" ref="Y3:Y66" si="16">V3*E3</f>
        <v>-9570.8162222171777</v>
      </c>
      <c r="Z3" s="47">
        <f t="shared" ref="Z3:Z66" si="17">V3-W3</f>
        <v>6520</v>
      </c>
      <c r="AC3" s="122">
        <f>$G3</f>
        <v>0.25555555555555554</v>
      </c>
      <c r="AD3" s="113">
        <f>BBG_GBP!V3/100</f>
        <v>1.4080000000000002E-3</v>
      </c>
      <c r="AE3" s="113">
        <f>BBG_EUR!J3/100</f>
        <v>3.0200000000000001E-3</v>
      </c>
      <c r="AF3" s="116">
        <f>BBG_GBP!X3</f>
        <v>1.000372</v>
      </c>
      <c r="AG3" s="116">
        <f>BBG_EUR!L3</f>
        <v>0.99982899999999997</v>
      </c>
      <c r="AH3" s="112">
        <f>AF3^(-1/$G3)-1</f>
        <v>-1.4543229356916987E-3</v>
      </c>
      <c r="AI3" s="112">
        <f>AG3^(-1/$G3)-1</f>
        <v>6.694116079679624E-4</v>
      </c>
      <c r="AJ3" s="112">
        <f>I3^(-1/$G3)-1</f>
        <v>-1.4358142877000102E-3</v>
      </c>
      <c r="AK3" s="112">
        <f>F3^(-1/$G3)-1</f>
        <v>6.201430969081656E-4</v>
      </c>
      <c r="AL3" s="143">
        <f t="shared" ref="AL3:AL66" si="18">J3</f>
        <v>1.2407520000000001</v>
      </c>
      <c r="AM3" s="143">
        <f>BBG_GBP!AA3</f>
        <v>1.2407591949999999</v>
      </c>
      <c r="AN3" s="151">
        <f t="shared" ref="AN3:AN66" si="19">AM3/AL3</f>
        <v>1.0000057989026008</v>
      </c>
      <c r="AO3" s="147"/>
      <c r="AP3" s="56" t="str">
        <f t="shared" si="2"/>
        <v>3Y</v>
      </c>
      <c r="AQ3" s="19" t="str">
        <f t="shared" si="2"/>
        <v>BPBS3</v>
      </c>
      <c r="AR3" s="38">
        <f t="shared" si="2"/>
        <v>45110</v>
      </c>
      <c r="AS3" s="47">
        <f t="shared" ref="AS3:AS17" si="20">SUMPRODUCT($S$3:$S$202,$I$3:$I$202,1*($A$3:$A$202&lt;=$AR3))</f>
        <v>27123.787757333524</v>
      </c>
      <c r="AT3" s="47">
        <f t="shared" ref="AT3:AT17" si="21">SUMPRODUCT($U$3:$U$202,$I$3:$I$202,1*($A$3:$A$202=$AR3))+$U$2*$I$2</f>
        <v>52134.29484757036</v>
      </c>
      <c r="AU3" s="47">
        <f t="shared" ref="AU3:AU17" si="22">SUMPRODUCT($T$3:$T$202,$I$3:$I$202,1*($A$3:$A$202&lt;=$AR3))</f>
        <v>3010.9781626519648</v>
      </c>
      <c r="AV3" s="49">
        <f t="shared" ref="AV3:AV17" si="23">(AS3+AT3)</f>
        <v>79258.082604903888</v>
      </c>
      <c r="AW3" s="61">
        <f t="shared" ref="AW3:AW17" si="24">SUMPRODUCT($Y$3:$Y$202,$F$3:$F$202,1*($A$3:$A$202&lt;=$AR3))</f>
        <v>-86146.734300395503</v>
      </c>
      <c r="AX3" s="47">
        <f t="shared" ref="AX3:AX17" si="25">SUMPRODUCT($Z$3:$Z$202,$F$3:$F$202,1*($A$3:$A$202&lt;=$AR3))</f>
        <v>64645.745587881705</v>
      </c>
      <c r="AY3" s="47">
        <f t="shared" ref="AY3:AY17" si="26">SUMPRODUCT($AA$3:$AA$202,$F$3:$F$202,1*($A$3:$A$202=$AR3))+AA$2</f>
        <v>-64651.739040471613</v>
      </c>
      <c r="AZ3" s="49">
        <f t="shared" ref="AZ3:AZ17" si="27">SUM(AW3:AY3)</f>
        <v>-86152.727752985404</v>
      </c>
      <c r="BA3" s="47">
        <f t="shared" ref="BA3:BA17" si="28">(AV3*$BI$2+AZ3)</f>
        <v>12135.220485355909</v>
      </c>
      <c r="BB3" s="63">
        <f t="shared" ref="BB3:BB17" si="29">-BA3/($BI$2*$AU3)</f>
        <v>-3.2499999791011867</v>
      </c>
      <c r="BC3" s="64">
        <f t="shared" si="3"/>
        <v>-3.25</v>
      </c>
      <c r="BD3" s="68">
        <f t="shared" ref="BD3:BD17" si="30">(BB3-BC3)</f>
        <v>2.0898813346548195E-8</v>
      </c>
      <c r="BF3" s="3" t="s">
        <v>5</v>
      </c>
      <c r="BG3" s="3" t="s">
        <v>427</v>
      </c>
      <c r="BH3" s="2">
        <v>44021</v>
      </c>
      <c r="BI3" s="5">
        <v>1.240146</v>
      </c>
      <c r="BJ3" s="5">
        <v>0.99998446600963098</v>
      </c>
      <c r="BK3" s="5">
        <v>0.99998590297650602</v>
      </c>
      <c r="BM3" s="3" t="str">
        <f t="shared" ref="BM3:BM20" si="31">BF3</f>
        <v>1W</v>
      </c>
      <c r="BN3" s="3" t="str">
        <f t="shared" si="4"/>
        <v>GBP1W</v>
      </c>
      <c r="BO3" s="2">
        <f t="shared" si="4"/>
        <v>44021</v>
      </c>
      <c r="BP3" s="5">
        <f t="shared" si="4"/>
        <v>1.240146</v>
      </c>
      <c r="BQ3" s="73">
        <f t="shared" ref="BQ3:BQ20" si="32">BK3/BK$2</f>
        <v>0.99998590297650602</v>
      </c>
      <c r="BR3" s="73">
        <f t="shared" ref="BR3:BR20" si="33">BQ3*$BP3/$BP$2</f>
        <v>1.0000229962363534</v>
      </c>
      <c r="BS3" s="76">
        <f t="shared" ref="BS3:BS20" si="34">YEARFRAC($BO$2,$BO3,2)</f>
        <v>1.9444444444444445E-2</v>
      </c>
      <c r="BT3" s="77">
        <f t="shared" ref="BT3:BT20" si="35">BJ3/$BJ$2</f>
        <v>0.99998785636036924</v>
      </c>
      <c r="BU3" s="78">
        <f>BT3^(-1/$BS3)-1</f>
        <v>6.2472889207576543E-4</v>
      </c>
      <c r="BV3" s="79">
        <f t="shared" ref="BV3:BV20" si="36">(BR3^(-1/$BS3)-BT3^(-1/BS3))*10000</f>
        <v>-18.06679822878521</v>
      </c>
      <c r="BX3" s="2">
        <f t="shared" si="5"/>
        <v>44021</v>
      </c>
      <c r="BY3" s="14">
        <f t="shared" si="6"/>
        <v>1.9444444444444445E-2</v>
      </c>
      <c r="BZ3" s="18">
        <f t="shared" si="7"/>
        <v>1.0000229962363534</v>
      </c>
      <c r="CA3" s="5">
        <f>BZ3^(-1/BY3)-1</f>
        <v>-1.1819509308027554E-3</v>
      </c>
      <c r="CB3" s="13">
        <f t="shared" si="8"/>
        <v>0.99998446600963098</v>
      </c>
      <c r="CC3" s="5">
        <f>CB3^(-1/BY3)-1</f>
        <v>7.9921634162682942E-4</v>
      </c>
      <c r="CD3" s="149">
        <f>(CA3-CC3)*10000</f>
        <v>-19.811672724295846</v>
      </c>
    </row>
    <row r="4" spans="1:82" x14ac:dyDescent="0.25">
      <c r="A4" s="38">
        <v>44200</v>
      </c>
      <c r="B4" s="22">
        <v>2.5753424657493E-5</v>
      </c>
      <c r="C4" s="22">
        <v>3.5358206378055502E-4</v>
      </c>
      <c r="D4" s="22">
        <v>0.99978154646637896</v>
      </c>
      <c r="E4" s="22">
        <v>7.1988333333328203E-4</v>
      </c>
      <c r="F4" s="32">
        <v>0.99973656941395905</v>
      </c>
      <c r="G4" s="5">
        <f t="shared" si="0"/>
        <v>0.51666666666666672</v>
      </c>
      <c r="H4" s="5">
        <f t="shared" si="9"/>
        <v>-1.8032050737469829E-3</v>
      </c>
      <c r="I4" s="5">
        <f t="shared" si="10"/>
        <v>1.000932931859738</v>
      </c>
      <c r="J4" s="32">
        <f t="shared" si="1"/>
        <v>1.241584</v>
      </c>
      <c r="K4" s="22" t="s">
        <v>445</v>
      </c>
      <c r="L4" s="40">
        <f t="shared" si="11"/>
        <v>-3.5</v>
      </c>
      <c r="M4" s="96">
        <v>44200</v>
      </c>
      <c r="N4" s="99">
        <f t="shared" ref="N4:N67" si="37">M3</f>
        <v>44106</v>
      </c>
      <c r="O4" s="38">
        <f t="shared" ref="O4:O67" si="38">M4</f>
        <v>44200</v>
      </c>
      <c r="P4" s="88">
        <f t="shared" ref="P4:P67" si="39">O4-N4</f>
        <v>94</v>
      </c>
      <c r="Q4" s="45">
        <v>10000000</v>
      </c>
      <c r="R4" s="105">
        <f t="shared" si="12"/>
        <v>1.3541440740531894E-3</v>
      </c>
      <c r="S4" s="45">
        <f t="shared" ref="S4:S67" si="40">Q4*$C4</f>
        <v>3535.8206378055502</v>
      </c>
      <c r="T4" s="45">
        <f t="shared" ref="T4:T67" si="41">Q4*$B4</f>
        <v>257.53424657493002</v>
      </c>
      <c r="V4" s="61">
        <f t="shared" si="13"/>
        <v>-12407520</v>
      </c>
      <c r="W4" s="47">
        <f t="shared" si="14"/>
        <v>-12415840</v>
      </c>
      <c r="X4" s="107">
        <f t="shared" si="15"/>
        <v>2.7569999999998034E-3</v>
      </c>
      <c r="Y4" s="47">
        <f t="shared" si="16"/>
        <v>-8931.9668559993643</v>
      </c>
      <c r="Z4" s="47">
        <f t="shared" si="17"/>
        <v>8320</v>
      </c>
      <c r="AC4" s="122">
        <f t="shared" ref="AC4:AC67" si="42">$G4</f>
        <v>0.51666666666666672</v>
      </c>
      <c r="AD4" s="113">
        <f>BBG_GBP!V4/100</f>
        <v>1.3470999999999999E-3</v>
      </c>
      <c r="AE4" s="113">
        <f>BBG_EUR!J4/100</f>
        <v>2.6281E-3</v>
      </c>
      <c r="AF4" s="116">
        <f>BBG_GBP!X4</f>
        <v>1.000885</v>
      </c>
      <c r="AG4" s="116">
        <f>BBG_EUR!L4</f>
        <v>0.99968400000000002</v>
      </c>
      <c r="AH4" s="112">
        <f t="shared" ref="AH4:AI67" si="43">AF4^(-1/$G4)-1</f>
        <v>-1.7106808277089769E-3</v>
      </c>
      <c r="AI4" s="112">
        <f t="shared" si="43"/>
        <v>6.118966908739143E-4</v>
      </c>
      <c r="AJ4" s="112">
        <f t="shared" ref="AJ4:AJ67" si="44">I4^(-1/$G4)-1</f>
        <v>-1.8032050737469829E-3</v>
      </c>
      <c r="AK4" s="112">
        <f t="shared" ref="AK4:AK67" si="45">F4^(-1/$G4)-1</f>
        <v>5.1006285714461086E-4</v>
      </c>
      <c r="AL4" s="143">
        <f t="shared" si="18"/>
        <v>1.241584</v>
      </c>
      <c r="AM4" s="143">
        <f>BBG_GBP!AA4</f>
        <v>1.241542865</v>
      </c>
      <c r="AN4" s="151">
        <f t="shared" si="19"/>
        <v>0.99996686893516662</v>
      </c>
      <c r="AO4" s="147"/>
      <c r="AP4" s="56" t="str">
        <f t="shared" si="2"/>
        <v>4Y</v>
      </c>
      <c r="AQ4" s="19" t="str">
        <f t="shared" si="2"/>
        <v>BPBS4</v>
      </c>
      <c r="AR4" s="38">
        <f t="shared" si="2"/>
        <v>45475</v>
      </c>
      <c r="AS4" s="47">
        <f t="shared" si="20"/>
        <v>43358.195908792986</v>
      </c>
      <c r="AT4" s="47">
        <f t="shared" si="21"/>
        <v>63474.286252729595</v>
      </c>
      <c r="AU4" s="47">
        <f t="shared" si="22"/>
        <v>4016.9239750147244</v>
      </c>
      <c r="AV4" s="49">
        <f t="shared" si="23"/>
        <v>106832.48216152258</v>
      </c>
      <c r="AW4" s="61">
        <f t="shared" si="24"/>
        <v>-132991.4541381966</v>
      </c>
      <c r="AX4" s="47">
        <f t="shared" si="25"/>
        <v>95412.464560753389</v>
      </c>
      <c r="AY4" s="47">
        <f t="shared" si="26"/>
        <v>-78714.462382009253</v>
      </c>
      <c r="AZ4" s="49">
        <f t="shared" si="27"/>
        <v>-116293.45195945246</v>
      </c>
      <c r="BA4" s="47">
        <f t="shared" si="28"/>
        <v>16189.5091690517</v>
      </c>
      <c r="BB4" s="63">
        <f t="shared" si="29"/>
        <v>-3.2500000099270498</v>
      </c>
      <c r="BC4" s="64">
        <f t="shared" si="3"/>
        <v>-3.25</v>
      </c>
      <c r="BD4" s="68">
        <f t="shared" si="30"/>
        <v>-9.9270498488124304E-9</v>
      </c>
      <c r="BF4" s="3" t="s">
        <v>6</v>
      </c>
      <c r="BG4" s="3" t="s">
        <v>428</v>
      </c>
      <c r="BH4" s="2">
        <v>44028</v>
      </c>
      <c r="BI4" s="5">
        <v>1.2401960000000001</v>
      </c>
      <c r="BJ4" s="5">
        <v>0.99997238436898195</v>
      </c>
      <c r="BK4" s="5">
        <v>0.99997180635046001</v>
      </c>
      <c r="BM4" s="3" t="str">
        <f t="shared" si="31"/>
        <v>2W</v>
      </c>
      <c r="BN4" s="3" t="str">
        <f t="shared" si="4"/>
        <v>GBP2W</v>
      </c>
      <c r="BO4" s="2">
        <f t="shared" si="4"/>
        <v>44028</v>
      </c>
      <c r="BP4" s="5">
        <f t="shared" si="4"/>
        <v>1.2401960000000001</v>
      </c>
      <c r="BQ4" s="73">
        <f t="shared" si="32"/>
        <v>0.99997180635046001</v>
      </c>
      <c r="BR4" s="73">
        <f t="shared" si="33"/>
        <v>1.0000492172797477</v>
      </c>
      <c r="BS4" s="76">
        <f t="shared" si="34"/>
        <v>3.888888888888889E-2</v>
      </c>
      <c r="BT4" s="80">
        <f t="shared" si="35"/>
        <v>0.99997577467875864</v>
      </c>
      <c r="BU4" s="78">
        <f t="shared" ref="BU4:BU20" si="46">BT4^(-1/$BS4)-1</f>
        <v>6.2313844760986115E-4</v>
      </c>
      <c r="BV4" s="79">
        <f t="shared" si="36"/>
        <v>-18.878940194257954</v>
      </c>
      <c r="BX4" s="2">
        <f t="shared" si="5"/>
        <v>44028</v>
      </c>
      <c r="BY4" s="14">
        <f t="shared" si="6"/>
        <v>3.888888888888889E-2</v>
      </c>
      <c r="BZ4" s="18">
        <f t="shared" si="7"/>
        <v>1.0000492172797477</v>
      </c>
      <c r="CA4" s="5">
        <f t="shared" ref="CA4:CA20" si="47">BZ4^(-1/BY4)-1</f>
        <v>-1.2647555718159342E-3</v>
      </c>
      <c r="CB4" s="13">
        <f t="shared" si="8"/>
        <v>0.99997238436898195</v>
      </c>
      <c r="CC4" s="5">
        <f t="shared" ref="CC4:CC23" si="48">CB4^(-1/BY4)-1</f>
        <v>7.1037823069741712E-4</v>
      </c>
      <c r="CD4" s="149">
        <f t="shared" ref="CD4:CD23" si="49">(CA4-CC4)*10000</f>
        <v>-19.751338025133514</v>
      </c>
    </row>
    <row r="5" spans="1:82" x14ac:dyDescent="0.25">
      <c r="A5" s="38">
        <v>44292</v>
      </c>
      <c r="B5" s="22">
        <v>2.5205479452061701E-5</v>
      </c>
      <c r="C5" s="22">
        <v>3.3129285034205698E-4</v>
      </c>
      <c r="D5" s="22">
        <v>0.99978487481440403</v>
      </c>
      <c r="E5" s="22">
        <v>7.1172222222215498E-4</v>
      </c>
      <c r="F5" s="32">
        <v>0.99970438670061001</v>
      </c>
      <c r="G5" s="5">
        <f t="shared" si="0"/>
        <v>0.77222222222222225</v>
      </c>
      <c r="H5" s="5">
        <f t="shared" si="9"/>
        <v>-1.5796588105867482E-3</v>
      </c>
      <c r="I5" s="5">
        <f t="shared" si="10"/>
        <v>1.0012215576188994</v>
      </c>
      <c r="J5" s="32">
        <f t="shared" si="1"/>
        <v>1.2419820000000001</v>
      </c>
      <c r="K5" s="22" t="s">
        <v>445</v>
      </c>
      <c r="L5" s="40">
        <f t="shared" si="11"/>
        <v>-3.5</v>
      </c>
      <c r="M5" s="96">
        <v>44292</v>
      </c>
      <c r="N5" s="99">
        <f t="shared" si="37"/>
        <v>44200</v>
      </c>
      <c r="O5" s="38">
        <f t="shared" si="38"/>
        <v>44292</v>
      </c>
      <c r="P5" s="88">
        <f t="shared" si="39"/>
        <v>92</v>
      </c>
      <c r="Q5" s="45">
        <v>10000000</v>
      </c>
      <c r="R5" s="105">
        <f t="shared" si="12"/>
        <v>1.2963633274254405E-3</v>
      </c>
      <c r="S5" s="45">
        <f t="shared" si="40"/>
        <v>3312.92850342057</v>
      </c>
      <c r="T5" s="45">
        <f t="shared" si="41"/>
        <v>252.05479452061701</v>
      </c>
      <c r="V5" s="61">
        <f t="shared" si="13"/>
        <v>-12415840</v>
      </c>
      <c r="W5" s="47">
        <f t="shared" si="14"/>
        <v>-12419820.000000002</v>
      </c>
      <c r="X5" s="107">
        <f t="shared" si="15"/>
        <v>2.7849999999997369E-3</v>
      </c>
      <c r="Y5" s="47">
        <f t="shared" si="16"/>
        <v>-8836.6292355547212</v>
      </c>
      <c r="Z5" s="47">
        <f t="shared" si="17"/>
        <v>3980.0000000018626</v>
      </c>
      <c r="AC5" s="122">
        <f t="shared" si="42"/>
        <v>0.77222222222222225</v>
      </c>
      <c r="AD5" s="113">
        <f>BBG_GBP!V5/100</f>
        <v>1.2993E-3</v>
      </c>
      <c r="AE5" s="113">
        <f>BBG_EUR!J5/100</f>
        <v>2.7339999999999999E-3</v>
      </c>
      <c r="AF5" s="116">
        <f>BBG_GBP!X5</f>
        <v>1.001207</v>
      </c>
      <c r="AG5" s="116">
        <f>BBG_EUR!L5</f>
        <v>0.99966699999999997</v>
      </c>
      <c r="AH5" s="112">
        <f t="shared" si="43"/>
        <v>-1.5608596470810809E-3</v>
      </c>
      <c r="AI5" s="112">
        <f t="shared" si="43"/>
        <v>4.3138785714957883E-4</v>
      </c>
      <c r="AJ5" s="112">
        <f t="shared" si="44"/>
        <v>-1.5796588105867482E-3</v>
      </c>
      <c r="AK5" s="112">
        <f t="shared" si="45"/>
        <v>3.8293848417492171E-4</v>
      </c>
      <c r="AL5" s="143">
        <f t="shared" si="18"/>
        <v>1.2419820000000001</v>
      </c>
      <c r="AM5" s="143">
        <f>BBG_GBP!AA5</f>
        <v>1.24198853</v>
      </c>
      <c r="AN5" s="151">
        <f t="shared" si="19"/>
        <v>1.0000052577251521</v>
      </c>
      <c r="AO5" s="147"/>
      <c r="AP5" s="56" t="str">
        <f t="shared" si="2"/>
        <v>5Y</v>
      </c>
      <c r="AQ5" s="19" t="str">
        <f t="shared" si="2"/>
        <v>BPBS5</v>
      </c>
      <c r="AR5" s="38">
        <f t="shared" si="2"/>
        <v>45840</v>
      </c>
      <c r="AS5" s="47">
        <f t="shared" si="20"/>
        <v>63926.106120263816</v>
      </c>
      <c r="AT5" s="47">
        <f t="shared" si="21"/>
        <v>70878.786988766864</v>
      </c>
      <c r="AU5" s="47">
        <f t="shared" si="22"/>
        <v>5023.7607897929965</v>
      </c>
      <c r="AV5" s="49">
        <f t="shared" si="23"/>
        <v>134804.89310903067</v>
      </c>
      <c r="AW5" s="61">
        <f t="shared" si="24"/>
        <v>-203296.09967256887</v>
      </c>
      <c r="AX5" s="47">
        <f t="shared" si="25"/>
        <v>144268.72424015004</v>
      </c>
      <c r="AY5" s="47">
        <f t="shared" si="26"/>
        <v>-87896.783744771034</v>
      </c>
      <c r="AZ5" s="49">
        <f t="shared" si="27"/>
        <v>-146924.15917718987</v>
      </c>
      <c r="BA5" s="47">
        <f t="shared" si="28"/>
        <v>20247.388767319062</v>
      </c>
      <c r="BB5" s="63">
        <f t="shared" si="29"/>
        <v>-3.2500000099834585</v>
      </c>
      <c r="BC5" s="64">
        <f t="shared" si="3"/>
        <v>-3.25</v>
      </c>
      <c r="BD5" s="68">
        <f t="shared" si="30"/>
        <v>-9.9834585043367952E-9</v>
      </c>
      <c r="BF5" s="3" t="s">
        <v>7</v>
      </c>
      <c r="BG5" s="3" t="s">
        <v>429</v>
      </c>
      <c r="BH5" s="2">
        <v>44035</v>
      </c>
      <c r="BI5" s="5">
        <v>1.240253</v>
      </c>
      <c r="BJ5" s="5">
        <v>0.99996030305302297</v>
      </c>
      <c r="BK5" s="5">
        <v>0.99995871264190705</v>
      </c>
      <c r="BM5" s="3" t="str">
        <f t="shared" si="31"/>
        <v>3W</v>
      </c>
      <c r="BN5" s="3" t="str">
        <f t="shared" si="4"/>
        <v>GBP3W</v>
      </c>
      <c r="BO5" s="2">
        <f t="shared" si="4"/>
        <v>44035</v>
      </c>
      <c r="BP5" s="5">
        <f t="shared" si="4"/>
        <v>1.240253</v>
      </c>
      <c r="BQ5" s="73">
        <f t="shared" si="32"/>
        <v>0.99995871264190705</v>
      </c>
      <c r="BR5" s="73">
        <f t="shared" si="33"/>
        <v>1.0000820846949949</v>
      </c>
      <c r="BS5" s="76">
        <f t="shared" si="34"/>
        <v>5.8333333333333334E-2</v>
      </c>
      <c r="BT5" s="80">
        <f t="shared" si="35"/>
        <v>0.9999636933218391</v>
      </c>
      <c r="BU5" s="78">
        <f t="shared" si="46"/>
        <v>6.2260523418733449E-4</v>
      </c>
      <c r="BV5" s="79">
        <f t="shared" si="36"/>
        <v>-20.287241709336932</v>
      </c>
      <c r="BX5" s="2">
        <f t="shared" si="5"/>
        <v>44035</v>
      </c>
      <c r="BY5" s="14">
        <f t="shared" si="6"/>
        <v>5.8333333333333334E-2</v>
      </c>
      <c r="BZ5" s="18">
        <f t="shared" si="7"/>
        <v>1.0000820846949949</v>
      </c>
      <c r="CA5" s="5">
        <f t="shared" si="47"/>
        <v>-1.4061189367463589E-3</v>
      </c>
      <c r="CB5" s="13">
        <f t="shared" si="8"/>
        <v>0.99996030305302297</v>
      </c>
      <c r="CC5" s="5">
        <f t="shared" si="48"/>
        <v>6.807642135038261E-4</v>
      </c>
      <c r="CD5" s="149">
        <f t="shared" si="49"/>
        <v>-20.868831502501848</v>
      </c>
    </row>
    <row r="6" spans="1:82" x14ac:dyDescent="0.25">
      <c r="A6" s="38">
        <v>44379</v>
      </c>
      <c r="B6" s="22">
        <v>2.38356164383723E-5</v>
      </c>
      <c r="C6" s="22">
        <v>1.9858023670416E-4</v>
      </c>
      <c r="D6" s="22">
        <v>0.99986545943110205</v>
      </c>
      <c r="E6" s="22">
        <v>4.5892696763671898E-4</v>
      </c>
      <c r="F6" s="32">
        <v>0.99972632491855296</v>
      </c>
      <c r="G6" s="5">
        <f t="shared" si="0"/>
        <v>1.0138888888888888</v>
      </c>
      <c r="H6" s="5">
        <f t="shared" si="9"/>
        <v>-1.5167794426150794E-3</v>
      </c>
      <c r="I6" s="5">
        <f t="shared" si="10"/>
        <v>1.0015401981796344</v>
      </c>
      <c r="J6" s="32">
        <f t="shared" si="1"/>
        <v>1.2423500000000003</v>
      </c>
      <c r="K6" s="22" t="s">
        <v>445</v>
      </c>
      <c r="L6" s="40">
        <f t="shared" si="11"/>
        <v>-3.5</v>
      </c>
      <c r="M6" s="96">
        <v>44379</v>
      </c>
      <c r="N6" s="99">
        <f t="shared" si="37"/>
        <v>44292</v>
      </c>
      <c r="O6" s="38">
        <f t="shared" si="38"/>
        <v>44379</v>
      </c>
      <c r="P6" s="88">
        <f t="shared" si="39"/>
        <v>87</v>
      </c>
      <c r="Q6" s="45">
        <v>10000000</v>
      </c>
      <c r="R6" s="105">
        <f t="shared" si="12"/>
        <v>8.2171132429307583E-4</v>
      </c>
      <c r="S6" s="45">
        <f t="shared" si="40"/>
        <v>1985.8023670416001</v>
      </c>
      <c r="T6" s="45">
        <f t="shared" si="41"/>
        <v>238.35616438372298</v>
      </c>
      <c r="V6" s="61">
        <f t="shared" si="13"/>
        <v>-12419820.000000002</v>
      </c>
      <c r="W6" s="47">
        <f t="shared" si="14"/>
        <v>-12423500.000000004</v>
      </c>
      <c r="X6" s="107">
        <f t="shared" si="15"/>
        <v>1.899008141945044E-3</v>
      </c>
      <c r="Y6" s="47">
        <f t="shared" si="16"/>
        <v>-5699.7903311938762</v>
      </c>
      <c r="Z6" s="47">
        <f t="shared" si="17"/>
        <v>3680.0000000018626</v>
      </c>
      <c r="AC6" s="122">
        <f t="shared" si="42"/>
        <v>1.0138888888888888</v>
      </c>
      <c r="AD6" s="113">
        <f>BBG_GBP!V6/100</f>
        <v>8.0390000000000008E-4</v>
      </c>
      <c r="AE6" s="113">
        <f>BBG_EUR!J6/100</f>
        <v>1.9270000000000001E-3</v>
      </c>
      <c r="AF6" s="116">
        <f>BBG_GBP!X6</f>
        <v>1.001512</v>
      </c>
      <c r="AG6" s="116">
        <f>BBG_EUR!L6</f>
        <v>0.99967300000000003</v>
      </c>
      <c r="AH6" s="112">
        <f t="shared" si="43"/>
        <v>-1.4890516537092724E-3</v>
      </c>
      <c r="AI6" s="112">
        <f t="shared" si="43"/>
        <v>3.2262532391191812E-4</v>
      </c>
      <c r="AJ6" s="112">
        <f t="shared" si="44"/>
        <v>-1.5167794426150794E-3</v>
      </c>
      <c r="AK6" s="112">
        <f t="shared" si="45"/>
        <v>2.699994937973571E-4</v>
      </c>
      <c r="AL6" s="143">
        <f t="shared" si="18"/>
        <v>1.2423500000000003</v>
      </c>
      <c r="AM6" s="143">
        <f>BBG_GBP!AA6</f>
        <v>1.2423740939999999</v>
      </c>
      <c r="AN6" s="151">
        <f t="shared" si="19"/>
        <v>1.0000193938906101</v>
      </c>
      <c r="AO6" s="147"/>
      <c r="AP6" s="56" t="str">
        <f t="shared" si="2"/>
        <v>6Y</v>
      </c>
      <c r="AQ6" s="19" t="str">
        <f t="shared" si="2"/>
        <v>BPBS6</v>
      </c>
      <c r="AR6" s="38">
        <f t="shared" si="2"/>
        <v>46205</v>
      </c>
      <c r="AS6" s="47">
        <f t="shared" si="20"/>
        <v>94277.855592446649</v>
      </c>
      <c r="AT6" s="47">
        <f t="shared" si="21"/>
        <v>66861.848589411005</v>
      </c>
      <c r="AU6" s="47">
        <f t="shared" si="22"/>
        <v>6030.6451430616235</v>
      </c>
      <c r="AV6" s="49">
        <f t="shared" si="23"/>
        <v>161139.70418185764</v>
      </c>
      <c r="AW6" s="61">
        <f t="shared" si="24"/>
        <v>-298059.51115495694</v>
      </c>
      <c r="AX6" s="47">
        <f t="shared" si="25"/>
        <v>205451.00239522036</v>
      </c>
      <c r="AY6" s="47">
        <f t="shared" si="26"/>
        <v>-82915.378435727209</v>
      </c>
      <c r="AZ6" s="49">
        <f t="shared" si="27"/>
        <v>-175523.88719546379</v>
      </c>
      <c r="BA6" s="47">
        <f t="shared" si="28"/>
        <v>24305.459960457869</v>
      </c>
      <c r="BB6" s="63">
        <f t="shared" si="29"/>
        <v>-3.2500000099280615</v>
      </c>
      <c r="BC6" s="64">
        <f t="shared" si="3"/>
        <v>-3.25</v>
      </c>
      <c r="BD6" s="68">
        <f t="shared" si="30"/>
        <v>-9.9280614840324688E-9</v>
      </c>
      <c r="BF6" s="3" t="s">
        <v>8</v>
      </c>
      <c r="BG6" s="3" t="s">
        <v>430</v>
      </c>
      <c r="BH6" s="2">
        <v>44046</v>
      </c>
      <c r="BI6" s="5">
        <v>1.240356</v>
      </c>
      <c r="BJ6" s="5">
        <v>0.99994216712155903</v>
      </c>
      <c r="BK6" s="5">
        <v>0.999938137160581</v>
      </c>
      <c r="BM6" s="3" t="str">
        <f t="shared" si="31"/>
        <v>1M</v>
      </c>
      <c r="BN6" s="3" t="str">
        <f t="shared" si="4"/>
        <v>GBP1M</v>
      </c>
      <c r="BO6" s="2">
        <f t="shared" si="4"/>
        <v>44046</v>
      </c>
      <c r="BP6" s="5">
        <f t="shared" si="4"/>
        <v>1.240356</v>
      </c>
      <c r="BQ6" s="73">
        <f t="shared" si="32"/>
        <v>0.999938137160581</v>
      </c>
      <c r="BR6" s="73">
        <f t="shared" si="33"/>
        <v>1.0001445593548501</v>
      </c>
      <c r="BS6" s="76">
        <f t="shared" si="34"/>
        <v>8.8888888888888892E-2</v>
      </c>
      <c r="BT6" s="80">
        <f t="shared" si="35"/>
        <v>0.99994555732888701</v>
      </c>
      <c r="BU6" s="78">
        <f t="shared" si="46"/>
        <v>6.1268433757155627E-4</v>
      </c>
      <c r="BV6" s="79">
        <f t="shared" si="36"/>
        <v>-22.37538036579334</v>
      </c>
      <c r="BX6" s="2">
        <f t="shared" si="5"/>
        <v>44046</v>
      </c>
      <c r="BY6" s="14">
        <f t="shared" si="6"/>
        <v>8.8888888888888892E-2</v>
      </c>
      <c r="BZ6" s="18">
        <f t="shared" si="7"/>
        <v>1.0001445593548501</v>
      </c>
      <c r="CA6" s="5">
        <f t="shared" si="47"/>
        <v>-1.6248536990077778E-3</v>
      </c>
      <c r="CB6" s="13">
        <f t="shared" si="8"/>
        <v>0.99994216712155903</v>
      </c>
      <c r="CC6" s="5">
        <f t="shared" si="48"/>
        <v>6.508504080668942E-4</v>
      </c>
      <c r="CD6" s="149">
        <f t="shared" si="49"/>
        <v>-22.75704107074672</v>
      </c>
    </row>
    <row r="7" spans="1:82" x14ac:dyDescent="0.25">
      <c r="A7" s="38">
        <v>44473</v>
      </c>
      <c r="B7" s="22">
        <v>2.5753424657493E-5</v>
      </c>
      <c r="C7" s="22">
        <v>1.59003579173644E-4</v>
      </c>
      <c r="D7" s="22">
        <v>1.0000271711022899</v>
      </c>
      <c r="E7" s="22">
        <v>4.8445906375405002E-4</v>
      </c>
      <c r="F7" s="32">
        <v>0.99981182155658299</v>
      </c>
      <c r="G7" s="5">
        <f t="shared" si="0"/>
        <v>1.2749999999999999</v>
      </c>
      <c r="H7" s="5">
        <f t="shared" si="9"/>
        <v>-1.5065565605263398E-3</v>
      </c>
      <c r="I7" s="5">
        <f t="shared" si="10"/>
        <v>1.0019241568299306</v>
      </c>
      <c r="J7" s="32">
        <f t="shared" si="1"/>
        <v>1.24272</v>
      </c>
      <c r="K7" s="22" t="s">
        <v>445</v>
      </c>
      <c r="L7" s="40">
        <f t="shared" si="11"/>
        <v>-3.5</v>
      </c>
      <c r="M7" s="96">
        <v>44473</v>
      </c>
      <c r="N7" s="99">
        <f t="shared" si="37"/>
        <v>44379</v>
      </c>
      <c r="O7" s="38">
        <f t="shared" si="38"/>
        <v>44473</v>
      </c>
      <c r="P7" s="88">
        <f t="shared" si="39"/>
        <v>94</v>
      </c>
      <c r="Q7" s="45">
        <v>10000000</v>
      </c>
      <c r="R7" s="105">
        <f t="shared" si="12"/>
        <v>6.0894987768629616E-4</v>
      </c>
      <c r="S7" s="45">
        <f t="shared" si="40"/>
        <v>1590.0357917364399</v>
      </c>
      <c r="T7" s="45">
        <f t="shared" si="41"/>
        <v>257.53424657493002</v>
      </c>
      <c r="V7" s="61">
        <f t="shared" si="13"/>
        <v>-12423500.000000004</v>
      </c>
      <c r="W7" s="47">
        <f t="shared" si="14"/>
        <v>-12427200</v>
      </c>
      <c r="X7" s="107">
        <f t="shared" si="15"/>
        <v>1.8553751377814681E-3</v>
      </c>
      <c r="Y7" s="47">
        <f t="shared" si="16"/>
        <v>-6018.6771785484425</v>
      </c>
      <c r="Z7" s="47">
        <f t="shared" si="17"/>
        <v>3699.9999999962747</v>
      </c>
      <c r="AC7" s="122">
        <f t="shared" si="42"/>
        <v>1.2749999999999999</v>
      </c>
      <c r="AD7" s="113">
        <f>BBG_GBP!V7/100</f>
        <v>6.5299999999999993E-4</v>
      </c>
      <c r="AE7" s="113">
        <f>BBG_EUR!J7/100</f>
        <v>1.7496999999999999E-3</v>
      </c>
      <c r="AF7" s="116">
        <f>BBG_GBP!X7</f>
        <v>1.001968</v>
      </c>
      <c r="AG7" s="116">
        <f>BBG_EUR!L7</f>
        <v>0.99970999999999999</v>
      </c>
      <c r="AH7" s="112">
        <f t="shared" si="43"/>
        <v>-1.5408242780795556E-3</v>
      </c>
      <c r="AI7" s="112">
        <f t="shared" si="43"/>
        <v>2.2750984360175863E-4</v>
      </c>
      <c r="AJ7" s="112">
        <f t="shared" si="44"/>
        <v>-1.5065565605263398E-3</v>
      </c>
      <c r="AK7" s="112">
        <f t="shared" si="45"/>
        <v>1.4761571860000267E-4</v>
      </c>
      <c r="AL7" s="143">
        <f t="shared" si="18"/>
        <v>1.24272</v>
      </c>
      <c r="AM7" s="143">
        <f>BBG_GBP!AA7</f>
        <v>1.2428796150000001</v>
      </c>
      <c r="AN7" s="151">
        <f t="shared" si="19"/>
        <v>1.0001284400347625</v>
      </c>
      <c r="AO7" s="147"/>
      <c r="AP7" s="56" t="str">
        <f t="shared" si="2"/>
        <v>7Y</v>
      </c>
      <c r="AQ7" s="19" t="str">
        <f t="shared" si="2"/>
        <v>BPBS7</v>
      </c>
      <c r="AR7" s="38">
        <f t="shared" si="2"/>
        <v>46570</v>
      </c>
      <c r="AS7" s="47">
        <f t="shared" si="20"/>
        <v>127659.32098682136</v>
      </c>
      <c r="AT7" s="47">
        <f t="shared" si="21"/>
        <v>59586.960793711245</v>
      </c>
      <c r="AU7" s="47">
        <f t="shared" si="22"/>
        <v>7036.9178783926563</v>
      </c>
      <c r="AV7" s="49">
        <f t="shared" si="23"/>
        <v>187246.28178053262</v>
      </c>
      <c r="AW7" s="61">
        <f t="shared" si="24"/>
        <v>-408483.00922989397</v>
      </c>
      <c r="AX7" s="47">
        <f t="shared" si="25"/>
        <v>277442.94117689953</v>
      </c>
      <c r="AY7" s="47">
        <f t="shared" si="26"/>
        <v>-73893.790080280975</v>
      </c>
      <c r="AZ7" s="49">
        <f t="shared" si="27"/>
        <v>-204933.85813327541</v>
      </c>
      <c r="BA7" s="47">
        <f t="shared" si="28"/>
        <v>27270.255902763078</v>
      </c>
      <c r="BB7" s="63">
        <f t="shared" si="29"/>
        <v>-3.1250000099873625</v>
      </c>
      <c r="BC7" s="64">
        <f t="shared" si="3"/>
        <v>-3.125</v>
      </c>
      <c r="BD7" s="68">
        <f t="shared" si="30"/>
        <v>-9.9873624925805871E-9</v>
      </c>
      <c r="BF7" s="3" t="s">
        <v>9</v>
      </c>
      <c r="BG7" s="3" t="s">
        <v>431</v>
      </c>
      <c r="BH7" s="2">
        <v>44076</v>
      </c>
      <c r="BI7" s="5">
        <v>1.2405409999999999</v>
      </c>
      <c r="BJ7" s="5">
        <v>0.99989893837781096</v>
      </c>
      <c r="BK7" s="5">
        <v>0.99988634625197603</v>
      </c>
      <c r="BM7" s="3" t="str">
        <f t="shared" si="31"/>
        <v>2M</v>
      </c>
      <c r="BN7" s="3" t="str">
        <f t="shared" si="4"/>
        <v>GBP2M</v>
      </c>
      <c r="BO7" s="2">
        <f t="shared" si="4"/>
        <v>44076</v>
      </c>
      <c r="BP7" s="5">
        <f t="shared" si="4"/>
        <v>1.2405409999999999</v>
      </c>
      <c r="BQ7" s="73">
        <f t="shared" si="32"/>
        <v>0.99988634625197603</v>
      </c>
      <c r="BR7" s="73">
        <f t="shared" si="33"/>
        <v>1.0002419223173715</v>
      </c>
      <c r="BS7" s="76">
        <f t="shared" si="34"/>
        <v>0.17222222222222222</v>
      </c>
      <c r="BT7" s="80">
        <f t="shared" si="35"/>
        <v>0.99990232843857607</v>
      </c>
      <c r="BU7" s="78">
        <f t="shared" si="46"/>
        <v>5.6731375478169532E-4</v>
      </c>
      <c r="BV7" s="79">
        <f t="shared" si="36"/>
        <v>-19.708681915523442</v>
      </c>
      <c r="BX7" s="2">
        <f t="shared" si="5"/>
        <v>44076</v>
      </c>
      <c r="BY7" s="14">
        <f t="shared" si="6"/>
        <v>0.17222222222222222</v>
      </c>
      <c r="BZ7" s="18">
        <f t="shared" si="7"/>
        <v>1.0002419223173715</v>
      </c>
      <c r="CA7" s="5">
        <f t="shared" si="47"/>
        <v>-1.4035544367706487E-3</v>
      </c>
      <c r="CB7" s="13">
        <f t="shared" si="8"/>
        <v>0.99989893837781096</v>
      </c>
      <c r="CC7" s="5">
        <f t="shared" si="48"/>
        <v>5.8701129685245768E-4</v>
      </c>
      <c r="CD7" s="149">
        <f t="shared" si="49"/>
        <v>-19.905657336231066</v>
      </c>
    </row>
    <row r="8" spans="1:82" x14ac:dyDescent="0.25">
      <c r="A8" s="38">
        <v>44565</v>
      </c>
      <c r="B8" s="22">
        <v>2.5205479452061701E-5</v>
      </c>
      <c r="C8" s="22">
        <v>1.5562026107529501E-4</v>
      </c>
      <c r="D8" s="22">
        <v>1.0001854674249899</v>
      </c>
      <c r="E8" s="22">
        <v>4.6435820835899401E-4</v>
      </c>
      <c r="F8" s="32">
        <v>0.99989550619718304</v>
      </c>
      <c r="G8" s="5">
        <f t="shared" si="0"/>
        <v>1.5305555555555554</v>
      </c>
      <c r="H8" s="5">
        <f t="shared" si="9"/>
        <v>-1.6304608359208883E-3</v>
      </c>
      <c r="I8" s="5">
        <f t="shared" si="10"/>
        <v>1.0025006689909279</v>
      </c>
      <c r="J8" s="32">
        <f t="shared" si="1"/>
        <v>1.2433309999999997</v>
      </c>
      <c r="K8" s="22" t="s">
        <v>445</v>
      </c>
      <c r="L8" s="40">
        <f t="shared" si="11"/>
        <v>-3.5</v>
      </c>
      <c r="M8" s="96">
        <v>44565</v>
      </c>
      <c r="N8" s="99">
        <f t="shared" si="37"/>
        <v>44473</v>
      </c>
      <c r="O8" s="38">
        <f t="shared" si="38"/>
        <v>44565</v>
      </c>
      <c r="P8" s="88">
        <f t="shared" si="39"/>
        <v>92</v>
      </c>
      <c r="Q8" s="45">
        <v>10000000</v>
      </c>
      <c r="R8" s="105">
        <f t="shared" si="12"/>
        <v>6.0894884768593696E-4</v>
      </c>
      <c r="S8" s="45">
        <f t="shared" si="40"/>
        <v>1556.20261075295</v>
      </c>
      <c r="T8" s="45">
        <f t="shared" si="41"/>
        <v>252.05479452061701</v>
      </c>
      <c r="V8" s="61">
        <f t="shared" si="13"/>
        <v>-12427200</v>
      </c>
      <c r="W8" s="47">
        <f t="shared" si="14"/>
        <v>-12433309.999999998</v>
      </c>
      <c r="X8" s="107">
        <f t="shared" si="15"/>
        <v>1.8170538587960635E-3</v>
      </c>
      <c r="Y8" s="47">
        <f t="shared" si="16"/>
        <v>-5770.6723269188906</v>
      </c>
      <c r="Z8" s="47">
        <f t="shared" si="17"/>
        <v>6109.9999999981374</v>
      </c>
      <c r="AC8" s="122">
        <f t="shared" si="42"/>
        <v>1.5305555555555554</v>
      </c>
      <c r="AD8" s="113">
        <f>BBG_GBP!V8/100</f>
        <v>5.31E-4</v>
      </c>
      <c r="AE8" s="113">
        <f>BBG_EUR!J8/100</f>
        <v>1.7412E-3</v>
      </c>
      <c r="AF8" s="116">
        <f>BBG_GBP!X8</f>
        <v>1.0024409999999999</v>
      </c>
      <c r="AG8" s="116">
        <f>BBG_EUR!L8</f>
        <v>0.99979200000000001</v>
      </c>
      <c r="AH8" s="112">
        <f t="shared" si="43"/>
        <v>-1.5916343919846199E-3</v>
      </c>
      <c r="AI8" s="112">
        <f t="shared" si="43"/>
        <v>1.3592173851906253E-4</v>
      </c>
      <c r="AJ8" s="112">
        <f t="shared" si="44"/>
        <v>-1.6304608359208883E-3</v>
      </c>
      <c r="AK8" s="112">
        <f t="shared" si="45"/>
        <v>6.8277711148700959E-5</v>
      </c>
      <c r="AL8" s="143">
        <f t="shared" si="18"/>
        <v>1.2433309999999997</v>
      </c>
      <c r="AM8" s="143">
        <f>BBG_GBP!AA8</f>
        <v>1.243358969</v>
      </c>
      <c r="AN8" s="151">
        <f t="shared" si="19"/>
        <v>1.0000224952164791</v>
      </c>
      <c r="AO8" s="147"/>
      <c r="AP8" s="56" t="str">
        <f t="shared" si="2"/>
        <v>8Y</v>
      </c>
      <c r="AQ8" s="19" t="str">
        <f t="shared" si="2"/>
        <v>BPBS8</v>
      </c>
      <c r="AR8" s="38">
        <f t="shared" si="2"/>
        <v>46937</v>
      </c>
      <c r="AS8" s="47">
        <f t="shared" si="20"/>
        <v>166243.32593775319</v>
      </c>
      <c r="AT8" s="47">
        <f t="shared" si="21"/>
        <v>48320.965911829844</v>
      </c>
      <c r="AU8" s="47">
        <f t="shared" si="22"/>
        <v>8047.7198979765935</v>
      </c>
      <c r="AV8" s="49">
        <f t="shared" si="23"/>
        <v>214564.29184958304</v>
      </c>
      <c r="AW8" s="61">
        <f t="shared" si="24"/>
        <v>-530961.42170119483</v>
      </c>
      <c r="AX8" s="47">
        <f t="shared" si="25"/>
        <v>355990.50282242062</v>
      </c>
      <c r="AY8" s="47">
        <f t="shared" si="26"/>
        <v>-59922.829827262089</v>
      </c>
      <c r="AZ8" s="49">
        <f t="shared" si="27"/>
        <v>-234893.74870603631</v>
      </c>
      <c r="BA8" s="47">
        <f t="shared" si="28"/>
        <v>31187.429616631591</v>
      </c>
      <c r="BB8" s="63">
        <f t="shared" si="29"/>
        <v>-3.1250000099703805</v>
      </c>
      <c r="BC8" s="64">
        <f t="shared" si="3"/>
        <v>-3.125</v>
      </c>
      <c r="BD8" s="68">
        <f t="shared" si="30"/>
        <v>-9.9703805211959207E-9</v>
      </c>
      <c r="BF8" s="3" t="s">
        <v>10</v>
      </c>
      <c r="BG8" s="3" t="s">
        <v>432</v>
      </c>
      <c r="BH8" s="2">
        <v>44106</v>
      </c>
      <c r="BI8" s="5">
        <v>1.2407520000000001</v>
      </c>
      <c r="BJ8" s="5">
        <v>0.99985646995921096</v>
      </c>
      <c r="BK8" s="5">
        <v>0.99984158065616202</v>
      </c>
      <c r="BM8" s="3" t="str">
        <f t="shared" si="31"/>
        <v>3M</v>
      </c>
      <c r="BN8" s="3" t="str">
        <f t="shared" si="4"/>
        <v>GBP3M</v>
      </c>
      <c r="BO8" s="2">
        <f t="shared" si="4"/>
        <v>44106</v>
      </c>
      <c r="BP8" s="5">
        <f t="shared" si="4"/>
        <v>1.2407520000000001</v>
      </c>
      <c r="BQ8" s="73">
        <f t="shared" si="32"/>
        <v>0.99984158065616202</v>
      </c>
      <c r="BR8" s="73">
        <f t="shared" si="33"/>
        <v>1.0003672614162524</v>
      </c>
      <c r="BS8" s="76">
        <f t="shared" si="34"/>
        <v>0.25555555555555554</v>
      </c>
      <c r="BT8" s="80">
        <f t="shared" si="35"/>
        <v>0.99985985987599102</v>
      </c>
      <c r="BU8" s="78">
        <f t="shared" si="46"/>
        <v>5.4856323232210791E-4</v>
      </c>
      <c r="BV8" s="79">
        <f t="shared" si="36"/>
        <v>-19.843775200221181</v>
      </c>
      <c r="BX8" s="2">
        <f t="shared" si="5"/>
        <v>44106</v>
      </c>
      <c r="BY8" s="14">
        <f t="shared" si="6"/>
        <v>0.25555555555555554</v>
      </c>
      <c r="BZ8" s="18">
        <f t="shared" si="7"/>
        <v>1.0003672614162524</v>
      </c>
      <c r="CA8" s="5">
        <f t="shared" si="47"/>
        <v>-1.4358142877000102E-3</v>
      </c>
      <c r="CB8" s="13">
        <f t="shared" si="8"/>
        <v>0.99985646995921096</v>
      </c>
      <c r="CC8" s="5">
        <f t="shared" si="48"/>
        <v>5.6183737148041146E-4</v>
      </c>
      <c r="CD8" s="149">
        <f t="shared" si="49"/>
        <v>-19.976516591804216</v>
      </c>
    </row>
    <row r="9" spans="1:82" x14ac:dyDescent="0.25">
      <c r="A9" s="38">
        <v>44655</v>
      </c>
      <c r="B9" s="22">
        <v>2.4657534246630399E-5</v>
      </c>
      <c r="C9" s="22">
        <v>1.5223695442223499E-4</v>
      </c>
      <c r="D9" s="22">
        <v>1.0003403467691501</v>
      </c>
      <c r="E9" s="22">
        <v>4.5426117222491198E-4</v>
      </c>
      <c r="F9" s="32">
        <v>0.99997737838414902</v>
      </c>
      <c r="G9" s="5">
        <f t="shared" si="0"/>
        <v>1.7805555555555554</v>
      </c>
      <c r="H9" s="5">
        <f t="shared" si="9"/>
        <v>-1.6374577249210764E-3</v>
      </c>
      <c r="I9" s="5">
        <f t="shared" si="10"/>
        <v>1.002922235561682</v>
      </c>
      <c r="J9" s="32">
        <f t="shared" si="1"/>
        <v>1.2437519999999997</v>
      </c>
      <c r="K9" s="22" t="s">
        <v>445</v>
      </c>
      <c r="L9" s="40">
        <f t="shared" si="11"/>
        <v>-3.5</v>
      </c>
      <c r="M9" s="96">
        <v>44655</v>
      </c>
      <c r="N9" s="99">
        <f t="shared" si="37"/>
        <v>44565</v>
      </c>
      <c r="O9" s="38">
        <f t="shared" si="38"/>
        <v>44655</v>
      </c>
      <c r="P9" s="88">
        <f t="shared" si="39"/>
        <v>90</v>
      </c>
      <c r="Q9" s="45">
        <v>10000000</v>
      </c>
      <c r="R9" s="105">
        <f t="shared" si="12"/>
        <v>6.0894781768893998E-4</v>
      </c>
      <c r="S9" s="45">
        <f t="shared" si="40"/>
        <v>1522.36954422235</v>
      </c>
      <c r="T9" s="45">
        <f t="shared" si="41"/>
        <v>246.57534246630399</v>
      </c>
      <c r="V9" s="61">
        <f t="shared" si="13"/>
        <v>-12433309.999999998</v>
      </c>
      <c r="W9" s="47">
        <f t="shared" si="14"/>
        <v>-12437519.999999998</v>
      </c>
      <c r="X9" s="107">
        <f t="shared" si="15"/>
        <v>1.8170446888996479E-3</v>
      </c>
      <c r="Y9" s="47">
        <f t="shared" si="16"/>
        <v>-5647.9699752357192</v>
      </c>
      <c r="Z9" s="47">
        <f t="shared" si="17"/>
        <v>4210</v>
      </c>
      <c r="AC9" s="122">
        <f t="shared" si="42"/>
        <v>1.7805555555555554</v>
      </c>
      <c r="AD9" s="113">
        <f>BBG_GBP!V9/100</f>
        <v>5.3560000000000001E-4</v>
      </c>
      <c r="AE9" s="113">
        <f>BBG_EUR!J9/100</f>
        <v>1.9459000000000002E-3</v>
      </c>
      <c r="AF9" s="116">
        <f>BBG_GBP!X9</f>
        <v>1.0029140000000001</v>
      </c>
      <c r="AG9" s="116">
        <f>BBG_EUR!L9</f>
        <v>0.99985299999999999</v>
      </c>
      <c r="AH9" s="112">
        <f t="shared" si="43"/>
        <v>-1.6328534473402101E-3</v>
      </c>
      <c r="AI9" s="112">
        <f t="shared" si="43"/>
        <v>8.2567979532877089E-5</v>
      </c>
      <c r="AJ9" s="112">
        <f t="shared" si="44"/>
        <v>-1.6374577249210764E-3</v>
      </c>
      <c r="AK9" s="112">
        <f t="shared" si="45"/>
        <v>1.2705032066406829E-5</v>
      </c>
      <c r="AL9" s="143">
        <f t="shared" si="18"/>
        <v>1.2437519999999997</v>
      </c>
      <c r="AM9" s="143">
        <f>BBG_GBP!AA9</f>
        <v>1.2438738650000001</v>
      </c>
      <c r="AN9" s="151">
        <f t="shared" si="19"/>
        <v>1.0000979817519895</v>
      </c>
      <c r="AO9" s="147"/>
      <c r="AP9" s="56" t="str">
        <f t="shared" si="2"/>
        <v>9Y</v>
      </c>
      <c r="AQ9" s="19" t="str">
        <f t="shared" si="2"/>
        <v>BPBS9</v>
      </c>
      <c r="AR9" s="38">
        <f t="shared" si="2"/>
        <v>47301</v>
      </c>
      <c r="AS9" s="47">
        <f t="shared" si="20"/>
        <v>208718.90906340608</v>
      </c>
      <c r="AT9" s="47">
        <f t="shared" si="21"/>
        <v>32726.945802267641</v>
      </c>
      <c r="AU9" s="47">
        <f t="shared" si="22"/>
        <v>9048.8642261338464</v>
      </c>
      <c r="AV9" s="49">
        <f t="shared" si="23"/>
        <v>241445.85486567373</v>
      </c>
      <c r="AW9" s="61">
        <f t="shared" si="24"/>
        <v>-662562.92325147532</v>
      </c>
      <c r="AX9" s="47">
        <f t="shared" si="25"/>
        <v>440200.46794576448</v>
      </c>
      <c r="AY9" s="47">
        <f t="shared" si="26"/>
        <v>-40584.685489393771</v>
      </c>
      <c r="AZ9" s="49">
        <f t="shared" si="27"/>
        <v>-262947.14079510461</v>
      </c>
      <c r="BA9" s="47">
        <f t="shared" si="28"/>
        <v>36469.863823817344</v>
      </c>
      <c r="BB9" s="63">
        <f t="shared" si="29"/>
        <v>-3.2500000099473763</v>
      </c>
      <c r="BC9" s="64">
        <f t="shared" si="3"/>
        <v>-3.25</v>
      </c>
      <c r="BD9" s="68">
        <f t="shared" si="30"/>
        <v>-9.9473762560364776E-9</v>
      </c>
      <c r="BF9" s="3" t="s">
        <v>11</v>
      </c>
      <c r="BG9" s="3" t="s">
        <v>433</v>
      </c>
      <c r="BH9" s="2">
        <v>44137</v>
      </c>
      <c r="BI9" s="5">
        <v>1.2409079999999999</v>
      </c>
      <c r="BJ9" s="5">
        <v>0.99982071586465804</v>
      </c>
      <c r="BK9" s="5">
        <v>0.99980187259557696</v>
      </c>
      <c r="BM9" s="3" t="str">
        <f t="shared" si="31"/>
        <v>4M</v>
      </c>
      <c r="BN9" s="3" t="str">
        <f t="shared" si="4"/>
        <v>GBP4M</v>
      </c>
      <c r="BO9" s="2">
        <f t="shared" si="4"/>
        <v>44137</v>
      </c>
      <c r="BP9" s="5">
        <f t="shared" si="4"/>
        <v>1.2409079999999999</v>
      </c>
      <c r="BQ9" s="73">
        <f t="shared" si="32"/>
        <v>0.99980187259557696</v>
      </c>
      <c r="BR9" s="73">
        <f t="shared" si="33"/>
        <v>1.0004533038616501</v>
      </c>
      <c r="BS9" s="76">
        <f t="shared" si="34"/>
        <v>0.34166666666666667</v>
      </c>
      <c r="BT9" s="80">
        <f t="shared" si="35"/>
        <v>0.99982410566021729</v>
      </c>
      <c r="BU9" s="78">
        <f t="shared" si="46"/>
        <v>5.1499054555392831E-4</v>
      </c>
      <c r="BV9" s="79">
        <f t="shared" si="36"/>
        <v>-18.40553601370587</v>
      </c>
      <c r="BX9" s="2">
        <f t="shared" si="5"/>
        <v>44137</v>
      </c>
      <c r="BY9" s="14">
        <f t="shared" si="6"/>
        <v>0.34166666666666667</v>
      </c>
      <c r="BZ9" s="18">
        <f t="shared" si="7"/>
        <v>1.0004533038616501</v>
      </c>
      <c r="CA9" s="5">
        <f t="shared" si="47"/>
        <v>-1.3255630558166587E-3</v>
      </c>
      <c r="CB9" s="13">
        <f t="shared" si="8"/>
        <v>0.99982071586465804</v>
      </c>
      <c r="CC9" s="5">
        <f t="shared" si="48"/>
        <v>5.2491882021876712E-4</v>
      </c>
      <c r="CD9" s="149">
        <f t="shared" si="49"/>
        <v>-18.504818760354258</v>
      </c>
    </row>
    <row r="10" spans="1:82" x14ac:dyDescent="0.25">
      <c r="A10" s="39">
        <v>44747</v>
      </c>
      <c r="B10" s="11">
        <v>2.5205479452061701E-5</v>
      </c>
      <c r="C10" s="11">
        <v>1.5866999947999799E-4</v>
      </c>
      <c r="D10" s="11">
        <v>1.0004968565630601</v>
      </c>
      <c r="E10" s="11">
        <v>4.6592252471189201E-4</v>
      </c>
      <c r="F10" s="33">
        <v>1.00006107688192</v>
      </c>
      <c r="G10" s="11">
        <f t="shared" si="0"/>
        <v>2.036111111111111</v>
      </c>
      <c r="H10" s="11">
        <f t="shared" si="9"/>
        <v>-1.6832590370996188E-3</v>
      </c>
      <c r="I10" s="11">
        <f t="shared" si="10"/>
        <v>1.0034360800230859</v>
      </c>
      <c r="J10" s="33">
        <f t="shared" si="1"/>
        <v>1.2442850857833696</v>
      </c>
      <c r="K10" s="11" t="s">
        <v>445</v>
      </c>
      <c r="L10" s="41">
        <f t="shared" si="11"/>
        <v>-3.5</v>
      </c>
      <c r="M10" s="95">
        <v>44747</v>
      </c>
      <c r="N10" s="9">
        <f t="shared" si="37"/>
        <v>44655</v>
      </c>
      <c r="O10" s="39">
        <f t="shared" si="38"/>
        <v>44747</v>
      </c>
      <c r="P10" s="87">
        <f t="shared" si="39"/>
        <v>92</v>
      </c>
      <c r="Q10" s="46">
        <v>10000000</v>
      </c>
      <c r="R10" s="106">
        <f t="shared" si="12"/>
        <v>6.2088260666086175E-4</v>
      </c>
      <c r="S10" s="46">
        <f t="shared" si="40"/>
        <v>1586.6999947999798</v>
      </c>
      <c r="T10" s="46">
        <f t="shared" si="41"/>
        <v>252.05479452061701</v>
      </c>
      <c r="U10" s="50">
        <f>Q10</f>
        <v>10000000</v>
      </c>
      <c r="V10" s="62">
        <f t="shared" si="13"/>
        <v>-12437519.999999998</v>
      </c>
      <c r="W10" s="46">
        <f t="shared" si="14"/>
        <v>-12442850.857833697</v>
      </c>
      <c r="X10" s="106">
        <f t="shared" si="15"/>
        <v>1.8231750966987079E-3</v>
      </c>
      <c r="Y10" s="46">
        <f t="shared" si="16"/>
        <v>-5794.9207195546505</v>
      </c>
      <c r="Z10" s="46">
        <f t="shared" si="17"/>
        <v>5330.8578336983919</v>
      </c>
      <c r="AA10" s="50">
        <f>W10</f>
        <v>-12442850.857833697</v>
      </c>
      <c r="AC10" s="124">
        <f t="shared" si="42"/>
        <v>2.036111111111111</v>
      </c>
      <c r="AD10" s="125">
        <f>BBG_GBP!V10/100</f>
        <v>4.2549999999999999E-4</v>
      </c>
      <c r="AE10" s="125">
        <f>BBG_EUR!J10/100</f>
        <v>1.9970999999999999E-3</v>
      </c>
      <c r="AF10" s="118">
        <f>BBG_GBP!X10</f>
        <v>1.00342</v>
      </c>
      <c r="AG10" s="118">
        <f>BBG_EUR!L10</f>
        <v>0.999942</v>
      </c>
      <c r="AH10" s="126">
        <f t="shared" si="43"/>
        <v>-1.6754018150964001E-3</v>
      </c>
      <c r="AI10" s="126">
        <f t="shared" si="43"/>
        <v>2.848690716761304E-5</v>
      </c>
      <c r="AJ10" s="126">
        <f t="shared" si="44"/>
        <v>-1.6832590370996492E-3</v>
      </c>
      <c r="AK10" s="126">
        <f t="shared" si="45"/>
        <v>-2.9995465610221927E-5</v>
      </c>
      <c r="AL10" s="144">
        <f t="shared" si="18"/>
        <v>1.2442850857833696</v>
      </c>
      <c r="AM10" s="144">
        <f>BBG_GBP!AA10</f>
        <v>1.2443863420000001</v>
      </c>
      <c r="AN10" s="152">
        <f t="shared" si="19"/>
        <v>1.0000813770234711</v>
      </c>
      <c r="AO10" s="147"/>
      <c r="AP10" s="56" t="str">
        <f t="shared" si="2"/>
        <v>10Y</v>
      </c>
      <c r="AQ10" s="19" t="str">
        <f t="shared" si="2"/>
        <v>BPBS10</v>
      </c>
      <c r="AR10" s="38">
        <f t="shared" si="2"/>
        <v>47666</v>
      </c>
      <c r="AS10" s="47">
        <f t="shared" si="20"/>
        <v>255064.69515736777</v>
      </c>
      <c r="AT10" s="47">
        <f t="shared" si="21"/>
        <v>15503.349553328007</v>
      </c>
      <c r="AU10" s="47">
        <f t="shared" si="22"/>
        <v>10051.092830717673</v>
      </c>
      <c r="AV10" s="49">
        <f t="shared" si="23"/>
        <v>270568.04471069574</v>
      </c>
      <c r="AW10" s="61">
        <f t="shared" si="24"/>
        <v>-799786.48435303499</v>
      </c>
      <c r="AX10" s="47">
        <f t="shared" si="25"/>
        <v>527106.01678075816</v>
      </c>
      <c r="AY10" s="47">
        <f t="shared" si="26"/>
        <v>-19225.703781079501</v>
      </c>
      <c r="AZ10" s="49">
        <f t="shared" si="27"/>
        <v>-291906.17135335633</v>
      </c>
      <c r="BA10" s="47">
        <f t="shared" si="28"/>
        <v>43625.260892377468</v>
      </c>
      <c r="BB10" s="63">
        <f t="shared" si="29"/>
        <v>-3.500000009994257</v>
      </c>
      <c r="BC10" s="64">
        <f t="shared" si="3"/>
        <v>-3.5</v>
      </c>
      <c r="BD10" s="68">
        <f t="shared" si="30"/>
        <v>-9.9942569775635093E-9</v>
      </c>
      <c r="BF10" s="3" t="s">
        <v>12</v>
      </c>
      <c r="BG10" s="3" t="s">
        <v>434</v>
      </c>
      <c r="BH10" s="2">
        <v>44167</v>
      </c>
      <c r="BI10" s="5">
        <v>1.241044</v>
      </c>
      <c r="BJ10" s="5">
        <v>0.99979939933853101</v>
      </c>
      <c r="BK10" s="5">
        <v>0.99977055265820003</v>
      </c>
      <c r="BM10" s="3" t="str">
        <f t="shared" si="31"/>
        <v>5M</v>
      </c>
      <c r="BN10" s="3" t="str">
        <f t="shared" si="4"/>
        <v>GBP5M</v>
      </c>
      <c r="BO10" s="2">
        <f t="shared" si="4"/>
        <v>44167</v>
      </c>
      <c r="BP10" s="5">
        <f t="shared" si="4"/>
        <v>1.241044</v>
      </c>
      <c r="BQ10" s="73">
        <f t="shared" si="32"/>
        <v>0.99977055265820003</v>
      </c>
      <c r="BR10" s="73">
        <f t="shared" si="33"/>
        <v>1.0005316069293955</v>
      </c>
      <c r="BS10" s="76">
        <f t="shared" si="34"/>
        <v>0.42499999999999999</v>
      </c>
      <c r="BT10" s="80">
        <f t="shared" si="35"/>
        <v>0.99980278906181863</v>
      </c>
      <c r="BU10" s="78">
        <f t="shared" si="46"/>
        <v>4.6417919622632198E-4</v>
      </c>
      <c r="BV10" s="79">
        <f t="shared" si="36"/>
        <v>-17.13905111665359</v>
      </c>
      <c r="BX10" s="2">
        <f t="shared" si="5"/>
        <v>44167</v>
      </c>
      <c r="BY10" s="14">
        <f t="shared" si="6"/>
        <v>0.42499999999999999</v>
      </c>
      <c r="BZ10" s="18">
        <f t="shared" si="7"/>
        <v>1.0005316069293955</v>
      </c>
      <c r="CA10" s="5">
        <f t="shared" si="47"/>
        <v>-1.2497259154390372E-3</v>
      </c>
      <c r="CB10" s="13">
        <f t="shared" si="8"/>
        <v>0.99979939933853101</v>
      </c>
      <c r="CC10" s="5">
        <f t="shared" si="48"/>
        <v>4.7216033725927531E-4</v>
      </c>
      <c r="CD10" s="149">
        <f t="shared" si="49"/>
        <v>-17.218862526983123</v>
      </c>
    </row>
    <row r="11" spans="1:82" x14ac:dyDescent="0.25">
      <c r="A11" s="38">
        <v>44837</v>
      </c>
      <c r="B11" s="22">
        <v>2.4657534246630399E-5</v>
      </c>
      <c r="C11" s="22">
        <v>2.07133482839738E-4</v>
      </c>
      <c r="D11" s="22">
        <v>1.0006187297485201</v>
      </c>
      <c r="E11" s="22">
        <v>5.9505801947534699E-4</v>
      </c>
      <c r="F11" s="32">
        <v>1.00004593350556</v>
      </c>
      <c r="G11" s="5">
        <f t="shared" si="0"/>
        <v>2.286111111111111</v>
      </c>
      <c r="H11" s="5">
        <f t="shared" si="9"/>
        <v>-1.6890297297844964E-3</v>
      </c>
      <c r="I11" s="5">
        <f t="shared" si="10"/>
        <v>1.0038720513380377</v>
      </c>
      <c r="J11" s="32">
        <f t="shared" si="1"/>
        <v>1.2448445507902053</v>
      </c>
      <c r="K11" s="22" t="s">
        <v>446</v>
      </c>
      <c r="L11" s="40">
        <f t="shared" si="11"/>
        <v>-3.25</v>
      </c>
      <c r="M11" s="96">
        <v>44837</v>
      </c>
      <c r="N11" s="99">
        <f t="shared" si="37"/>
        <v>44747</v>
      </c>
      <c r="O11" s="38">
        <f t="shared" si="38"/>
        <v>44837</v>
      </c>
      <c r="P11" s="88">
        <f t="shared" si="39"/>
        <v>90</v>
      </c>
      <c r="Q11" s="45">
        <v>10000000</v>
      </c>
      <c r="R11" s="105">
        <f t="shared" si="12"/>
        <v>8.2853393135895199E-4</v>
      </c>
      <c r="S11" s="45">
        <f t="shared" si="40"/>
        <v>2071.3348283973801</v>
      </c>
      <c r="T11" s="45">
        <f t="shared" si="41"/>
        <v>246.57534246630399</v>
      </c>
      <c r="V11" s="61">
        <f t="shared" si="13"/>
        <v>-12442850.857833697</v>
      </c>
      <c r="W11" s="47">
        <f t="shared" si="14"/>
        <v>-12448445.507902052</v>
      </c>
      <c r="X11" s="107">
        <f t="shared" si="15"/>
        <v>2.380232077901388E-3</v>
      </c>
      <c r="Y11" s="47">
        <f t="shared" si="16"/>
        <v>-7404.2181880896414</v>
      </c>
      <c r="Z11" s="47">
        <f t="shared" si="17"/>
        <v>5594.6500683557242</v>
      </c>
      <c r="AC11" s="122">
        <f t="shared" si="42"/>
        <v>2.286111111111111</v>
      </c>
      <c r="AD11" s="113">
        <f>BBG_GBP!V11/100</f>
        <v>5.5849999999999997E-4</v>
      </c>
      <c r="AE11" s="113">
        <f>BBG_EUR!J11/100</f>
        <v>2.3408999999999999E-3</v>
      </c>
      <c r="AF11" s="116">
        <f>BBG_GBP!X11</f>
        <v>1.0038739999999999</v>
      </c>
      <c r="AG11" s="116">
        <f>BBG_EUR!L11</f>
        <v>0.99996799999999997</v>
      </c>
      <c r="AH11" s="112">
        <f t="shared" si="43"/>
        <v>-1.6898773982902959E-3</v>
      </c>
      <c r="AI11" s="112">
        <f t="shared" si="43"/>
        <v>1.3997891801897921E-5</v>
      </c>
      <c r="AJ11" s="112">
        <f t="shared" si="44"/>
        <v>-1.6890297297844636E-3</v>
      </c>
      <c r="AK11" s="112">
        <f t="shared" si="45"/>
        <v>-2.0091757129359067E-5</v>
      </c>
      <c r="AL11" s="143">
        <f t="shared" si="18"/>
        <v>1.2448445507902053</v>
      </c>
      <c r="AM11" s="143">
        <f>BBG_GBP!AA11</f>
        <v>1.2449200789999999</v>
      </c>
      <c r="AN11" s="151">
        <f t="shared" si="19"/>
        <v>1.0000606728042845</v>
      </c>
      <c r="AO11" s="147"/>
      <c r="AP11" s="56" t="str">
        <f t="shared" si="2"/>
        <v>12Y</v>
      </c>
      <c r="AQ11" s="19" t="str">
        <f t="shared" si="2"/>
        <v>BPBS12</v>
      </c>
      <c r="AR11" s="38">
        <f t="shared" si="2"/>
        <v>48397</v>
      </c>
      <c r="AS11" s="47">
        <f t="shared" si="20"/>
        <v>346871.54280287528</v>
      </c>
      <c r="AT11" s="47">
        <f t="shared" si="21"/>
        <v>-13303.146036725491</v>
      </c>
      <c r="AU11" s="47">
        <f t="shared" si="22"/>
        <v>12053.865713971136</v>
      </c>
      <c r="AV11" s="49">
        <f t="shared" si="23"/>
        <v>333568.39676614979</v>
      </c>
      <c r="AW11" s="61">
        <f t="shared" si="24"/>
        <v>-1085779.4837339618</v>
      </c>
      <c r="AX11" s="47">
        <f t="shared" si="25"/>
        <v>717284.57900002878</v>
      </c>
      <c r="AY11" s="47">
        <f t="shared" si="26"/>
        <v>16497.231400143355</v>
      </c>
      <c r="AZ11" s="49">
        <f t="shared" si="27"/>
        <v>-351997.67333378969</v>
      </c>
      <c r="BA11" s="47">
        <f t="shared" si="28"/>
        <v>61660.495495912677</v>
      </c>
      <c r="BB11" s="63">
        <f t="shared" si="29"/>
        <v>-4.1250000099908561</v>
      </c>
      <c r="BC11" s="64">
        <f t="shared" si="3"/>
        <v>-4.125</v>
      </c>
      <c r="BD11" s="68">
        <f t="shared" si="30"/>
        <v>-9.9908561423944775E-9</v>
      </c>
      <c r="BF11" s="3" t="s">
        <v>13</v>
      </c>
      <c r="BG11" s="3" t="s">
        <v>435</v>
      </c>
      <c r="BH11" s="2">
        <v>44200</v>
      </c>
      <c r="BI11" s="5">
        <v>1.241584</v>
      </c>
      <c r="BJ11" s="5">
        <v>0.99978154646637896</v>
      </c>
      <c r="BK11" s="5">
        <v>0.99973656941395905</v>
      </c>
      <c r="BM11" s="3" t="str">
        <f t="shared" si="31"/>
        <v>6M</v>
      </c>
      <c r="BN11" s="3" t="str">
        <f t="shared" si="4"/>
        <v>GBP6M</v>
      </c>
      <c r="BO11" s="2">
        <f t="shared" si="4"/>
        <v>44200</v>
      </c>
      <c r="BP11" s="5">
        <f t="shared" si="4"/>
        <v>1.241584</v>
      </c>
      <c r="BQ11" s="73">
        <f t="shared" si="32"/>
        <v>0.99973656941395905</v>
      </c>
      <c r="BR11" s="73">
        <f t="shared" si="33"/>
        <v>1.000932931859738</v>
      </c>
      <c r="BS11" s="76">
        <f t="shared" si="34"/>
        <v>0.51666666666666672</v>
      </c>
      <c r="BT11" s="80">
        <f t="shared" si="35"/>
        <v>0.9997849361291381</v>
      </c>
      <c r="BU11" s="78">
        <f t="shared" si="46"/>
        <v>4.1638408394972792E-4</v>
      </c>
      <c r="BV11" s="79">
        <f t="shared" si="36"/>
        <v>-22.195891576967107</v>
      </c>
      <c r="BX11" s="2">
        <f t="shared" si="5"/>
        <v>44200</v>
      </c>
      <c r="BY11" s="14">
        <f t="shared" si="6"/>
        <v>0.51666666666666672</v>
      </c>
      <c r="BZ11" s="18">
        <f t="shared" si="7"/>
        <v>1.000932931859738</v>
      </c>
      <c r="CA11" s="5">
        <f t="shared" si="47"/>
        <v>-1.8032050737469829E-3</v>
      </c>
      <c r="CB11" s="13">
        <f t="shared" si="8"/>
        <v>0.99978154646637896</v>
      </c>
      <c r="CC11" s="5">
        <f t="shared" si="48"/>
        <v>4.2294889780825073E-4</v>
      </c>
      <c r="CD11" s="149">
        <f t="shared" si="49"/>
        <v>-22.261539715552338</v>
      </c>
    </row>
    <row r="12" spans="1:82" x14ac:dyDescent="0.25">
      <c r="A12" s="38">
        <v>44929</v>
      </c>
      <c r="B12" s="22">
        <v>2.5205479452061701E-5</v>
      </c>
      <c r="C12" s="22">
        <v>2.11736936399864E-4</v>
      </c>
      <c r="D12" s="22">
        <v>1.00074332657123</v>
      </c>
      <c r="E12" s="22">
        <v>6.0828555204839297E-4</v>
      </c>
      <c r="F12" s="32">
        <v>1.0000304538467399</v>
      </c>
      <c r="G12" s="5">
        <f t="shared" si="0"/>
        <v>2.5416666666666665</v>
      </c>
      <c r="H12" s="5">
        <f t="shared" si="9"/>
        <v>-1.6949286600845934E-3</v>
      </c>
      <c r="I12" s="5">
        <f t="shared" si="10"/>
        <v>1.0043209069513315</v>
      </c>
      <c r="J12" s="32">
        <f t="shared" si="1"/>
        <v>1.2454204288674786</v>
      </c>
      <c r="K12" s="22" t="s">
        <v>446</v>
      </c>
      <c r="L12" s="40">
        <f t="shared" si="11"/>
        <v>-3.25</v>
      </c>
      <c r="M12" s="96">
        <v>44929</v>
      </c>
      <c r="N12" s="99">
        <f t="shared" si="37"/>
        <v>44837</v>
      </c>
      <c r="O12" s="38">
        <f t="shared" si="38"/>
        <v>44929</v>
      </c>
      <c r="P12" s="88">
        <f t="shared" si="39"/>
        <v>92</v>
      </c>
      <c r="Q12" s="45">
        <v>10000000</v>
      </c>
      <c r="R12" s="105">
        <f t="shared" si="12"/>
        <v>8.285358380864243E-4</v>
      </c>
      <c r="S12" s="45">
        <f t="shared" si="40"/>
        <v>2117.36936399864</v>
      </c>
      <c r="T12" s="45">
        <f t="shared" si="41"/>
        <v>252.05479452061701</v>
      </c>
      <c r="V12" s="61">
        <f t="shared" si="13"/>
        <v>-12448445.507902052</v>
      </c>
      <c r="W12" s="47">
        <f t="shared" si="14"/>
        <v>-12454204.288674787</v>
      </c>
      <c r="X12" s="107">
        <f t="shared" si="15"/>
        <v>2.3802478123632767E-3</v>
      </c>
      <c r="Y12" s="47">
        <f t="shared" si="16"/>
        <v>-7572.2095479185373</v>
      </c>
      <c r="Z12" s="47">
        <f t="shared" si="17"/>
        <v>5758.7807727344334</v>
      </c>
      <c r="AC12" s="122">
        <f t="shared" si="42"/>
        <v>2.5416666666666665</v>
      </c>
      <c r="AD12" s="113">
        <f>BBG_GBP!V12/100</f>
        <v>1.0360999999999999E-3</v>
      </c>
      <c r="AE12" s="113">
        <f>BBG_EUR!J12/100</f>
        <v>2.3674E-3</v>
      </c>
      <c r="AF12" s="116">
        <f>BBG_GBP!X12</f>
        <v>1.0043470000000001</v>
      </c>
      <c r="AG12" s="116">
        <f>BBG_EUR!L12</f>
        <v>1.0000009999999999</v>
      </c>
      <c r="AH12" s="112">
        <f t="shared" si="43"/>
        <v>-1.705133099312528E-3</v>
      </c>
      <c r="AI12" s="112">
        <f t="shared" si="43"/>
        <v>-3.9344234892269014E-7</v>
      </c>
      <c r="AJ12" s="112">
        <f t="shared" si="44"/>
        <v>-1.6949286600845825E-3</v>
      </c>
      <c r="AK12" s="112">
        <f t="shared" si="45"/>
        <v>-1.1981587117682047E-5</v>
      </c>
      <c r="AL12" s="143">
        <f t="shared" si="18"/>
        <v>1.2454204288674786</v>
      </c>
      <c r="AM12" s="143">
        <f>BBG_GBP!AA12</f>
        <v>1.2454602480000001</v>
      </c>
      <c r="AN12" s="151">
        <f t="shared" si="19"/>
        <v>1.0000319724420754</v>
      </c>
      <c r="AO12" s="147"/>
      <c r="AP12" s="56" t="str">
        <f t="shared" si="2"/>
        <v>15Y</v>
      </c>
      <c r="AQ12" s="19" t="str">
        <f t="shared" si="2"/>
        <v>BPBS15</v>
      </c>
      <c r="AR12" s="38">
        <f t="shared" si="2"/>
        <v>49492</v>
      </c>
      <c r="AS12" s="47">
        <f t="shared" si="20"/>
        <v>479576.91092264547</v>
      </c>
      <c r="AT12" s="47">
        <f t="shared" si="21"/>
        <v>-47175.994606522843</v>
      </c>
      <c r="AU12" s="47">
        <f t="shared" si="22"/>
        <v>15044.670911523828</v>
      </c>
      <c r="AV12" s="49">
        <f t="shared" si="23"/>
        <v>432400.91631612263</v>
      </c>
      <c r="AW12" s="61">
        <f t="shared" si="24"/>
        <v>-1510330.6716276295</v>
      </c>
      <c r="AX12" s="47">
        <f t="shared" si="25"/>
        <v>1013556.0506650161</v>
      </c>
      <c r="AY12" s="47">
        <f t="shared" si="26"/>
        <v>58502.950911551714</v>
      </c>
      <c r="AZ12" s="49">
        <f t="shared" si="27"/>
        <v>-438271.67005106178</v>
      </c>
      <c r="BA12" s="47">
        <f t="shared" si="28"/>
        <v>97948.706272561918</v>
      </c>
      <c r="BB12" s="63">
        <f t="shared" si="29"/>
        <v>-5.2500000099862936</v>
      </c>
      <c r="BC12" s="64">
        <f t="shared" si="3"/>
        <v>-5.25</v>
      </c>
      <c r="BD12" s="68">
        <f t="shared" si="30"/>
        <v>-9.986293569852478E-9</v>
      </c>
      <c r="BF12" s="3" t="s">
        <v>14</v>
      </c>
      <c r="BG12" s="3" t="s">
        <v>436</v>
      </c>
      <c r="BH12" s="2">
        <v>44229</v>
      </c>
      <c r="BI12" s="5">
        <v>1.2416929999999999</v>
      </c>
      <c r="BJ12" s="5">
        <v>0.99977102778304705</v>
      </c>
      <c r="BK12" s="5">
        <v>0.99972236876717302</v>
      </c>
      <c r="BM12" s="3" t="str">
        <f t="shared" si="31"/>
        <v>7M</v>
      </c>
      <c r="BN12" s="3" t="str">
        <f t="shared" si="4"/>
        <v>GBP7M</v>
      </c>
      <c r="BO12" s="2">
        <f t="shared" si="4"/>
        <v>44229</v>
      </c>
      <c r="BP12" s="5">
        <f t="shared" si="4"/>
        <v>1.2416929999999999</v>
      </c>
      <c r="BQ12" s="73">
        <f t="shared" si="32"/>
        <v>0.99972236876717302</v>
      </c>
      <c r="BR12" s="73">
        <f t="shared" si="33"/>
        <v>1.00100658595405</v>
      </c>
      <c r="BS12" s="76">
        <f t="shared" si="34"/>
        <v>0.59722222222222221</v>
      </c>
      <c r="BT12" s="80">
        <f t="shared" si="35"/>
        <v>0.99977441741014361</v>
      </c>
      <c r="BU12" s="78">
        <f t="shared" si="46"/>
        <v>3.7783365640287059E-4</v>
      </c>
      <c r="BV12" s="79">
        <f t="shared" si="36"/>
        <v>-20.610140609114147</v>
      </c>
      <c r="BX12" s="2">
        <f t="shared" si="5"/>
        <v>44229</v>
      </c>
      <c r="BY12" s="14">
        <f t="shared" si="6"/>
        <v>0.59722222222222221</v>
      </c>
      <c r="BZ12" s="18">
        <f t="shared" si="7"/>
        <v>1.00100658595405</v>
      </c>
      <c r="CA12" s="5">
        <f t="shared" si="47"/>
        <v>-1.6831804045085441E-3</v>
      </c>
      <c r="CB12" s="13">
        <f t="shared" si="8"/>
        <v>0.99977102778304705</v>
      </c>
      <c r="CC12" s="5">
        <f t="shared" si="48"/>
        <v>3.8351276237835741E-4</v>
      </c>
      <c r="CD12" s="149">
        <f t="shared" si="49"/>
        <v>-20.666931668869015</v>
      </c>
    </row>
    <row r="13" spans="1:82" x14ac:dyDescent="0.25">
      <c r="A13" s="38">
        <v>45019</v>
      </c>
      <c r="B13" s="22">
        <v>2.4657534246630399E-5</v>
      </c>
      <c r="C13" s="22">
        <v>2.07133482839738E-4</v>
      </c>
      <c r="D13" s="22">
        <v>1.0008652297798599</v>
      </c>
      <c r="E13" s="22">
        <v>5.9505801947512505E-4</v>
      </c>
      <c r="F13" s="32">
        <v>1.0000153109340899</v>
      </c>
      <c r="G13" s="5">
        <f t="shared" si="0"/>
        <v>2.7916666666666665</v>
      </c>
      <c r="H13" s="5">
        <f t="shared" si="9"/>
        <v>-1.7006993527694709E-3</v>
      </c>
      <c r="I13" s="5">
        <f t="shared" si="10"/>
        <v>1.0047631353909086</v>
      </c>
      <c r="J13" s="32">
        <f t="shared" si="1"/>
        <v>1.2459876869629138</v>
      </c>
      <c r="K13" s="22" t="s">
        <v>446</v>
      </c>
      <c r="L13" s="40">
        <f t="shared" si="11"/>
        <v>-3.25</v>
      </c>
      <c r="M13" s="96">
        <v>45019</v>
      </c>
      <c r="N13" s="99">
        <f t="shared" si="37"/>
        <v>44929</v>
      </c>
      <c r="O13" s="38">
        <f t="shared" si="38"/>
        <v>45019</v>
      </c>
      <c r="P13" s="88">
        <f t="shared" si="39"/>
        <v>90</v>
      </c>
      <c r="Q13" s="45">
        <v>10000000</v>
      </c>
      <c r="R13" s="105">
        <f t="shared" si="12"/>
        <v>8.2853393135895199E-4</v>
      </c>
      <c r="S13" s="45">
        <f t="shared" si="40"/>
        <v>2071.3348283973801</v>
      </c>
      <c r="T13" s="45">
        <f t="shared" si="41"/>
        <v>246.57534246630399</v>
      </c>
      <c r="V13" s="61">
        <f t="shared" si="13"/>
        <v>-12454204.288674787</v>
      </c>
      <c r="W13" s="47">
        <f t="shared" si="14"/>
        <v>-12459876.869629139</v>
      </c>
      <c r="X13" s="107">
        <f t="shared" si="15"/>
        <v>2.3802320779005002E-3</v>
      </c>
      <c r="Y13" s="47">
        <f t="shared" si="16"/>
        <v>-7410.9741381574268</v>
      </c>
      <c r="Z13" s="47">
        <f t="shared" si="17"/>
        <v>5672.5809543523937</v>
      </c>
      <c r="AC13" s="122">
        <f t="shared" si="42"/>
        <v>2.7916666666666665</v>
      </c>
      <c r="AD13" s="113">
        <f>BBG_GBP!V13/100</f>
        <v>1.0741000000000001E-3</v>
      </c>
      <c r="AE13" s="113">
        <f>BBG_EUR!J13/100</f>
        <v>2.3938000000000002E-3</v>
      </c>
      <c r="AF13" s="116">
        <f>BBG_GBP!X13</f>
        <v>1.004818</v>
      </c>
      <c r="AG13" s="116">
        <f>BBG_EUR!L13</f>
        <v>1.00004</v>
      </c>
      <c r="AH13" s="112">
        <f t="shared" si="43"/>
        <v>-1.7202251915174882E-3</v>
      </c>
      <c r="AI13" s="112">
        <f t="shared" si="43"/>
        <v>-1.4327969003136154E-5</v>
      </c>
      <c r="AJ13" s="112">
        <f t="shared" si="44"/>
        <v>-1.700699352769397E-3</v>
      </c>
      <c r="AK13" s="112">
        <f t="shared" si="45"/>
        <v>-5.4844566780287707E-6</v>
      </c>
      <c r="AL13" s="143">
        <f t="shared" si="18"/>
        <v>1.2459876869629138</v>
      </c>
      <c r="AM13" s="143">
        <f>BBG_GBP!AA13</f>
        <v>1.2460016759999999</v>
      </c>
      <c r="AN13" s="151">
        <f t="shared" si="19"/>
        <v>1.0000112272675183</v>
      </c>
      <c r="AO13" s="147"/>
      <c r="AP13" s="56" t="str">
        <f t="shared" si="2"/>
        <v>20Y</v>
      </c>
      <c r="AQ13" s="19" t="str">
        <f t="shared" si="2"/>
        <v>BPBS20</v>
      </c>
      <c r="AR13" s="38">
        <f t="shared" si="2"/>
        <v>51319</v>
      </c>
      <c r="AS13" s="47">
        <f t="shared" si="20"/>
        <v>667362.3247903256</v>
      </c>
      <c r="AT13" s="47">
        <f t="shared" si="21"/>
        <v>-58740.880078854039</v>
      </c>
      <c r="AU13" s="47">
        <f t="shared" si="22"/>
        <v>20023.410990818687</v>
      </c>
      <c r="AV13" s="49">
        <f t="shared" si="23"/>
        <v>608621.44471147156</v>
      </c>
      <c r="AW13" s="61">
        <f t="shared" si="24"/>
        <v>-2214925.641980208</v>
      </c>
      <c r="AX13" s="47">
        <f t="shared" si="25"/>
        <v>1573562.3630267235</v>
      </c>
      <c r="AY13" s="47">
        <f t="shared" si="26"/>
        <v>72844.565385784954</v>
      </c>
      <c r="AZ13" s="49">
        <f t="shared" si="27"/>
        <v>-568518.71356769954</v>
      </c>
      <c r="BA13" s="47">
        <f t="shared" si="28"/>
        <v>186232.74001899629</v>
      </c>
      <c r="BB13" s="63">
        <f t="shared" si="29"/>
        <v>-7.5000000099125712</v>
      </c>
      <c r="BC13" s="64">
        <f t="shared" si="3"/>
        <v>-7.5</v>
      </c>
      <c r="BD13" s="68">
        <f t="shared" si="30"/>
        <v>-9.9125712083036888E-9</v>
      </c>
      <c r="BF13" s="3" t="s">
        <v>15</v>
      </c>
      <c r="BG13" s="3" t="s">
        <v>437</v>
      </c>
      <c r="BH13" s="2">
        <v>44257</v>
      </c>
      <c r="BI13" s="5">
        <v>1.241805</v>
      </c>
      <c r="BJ13" s="5">
        <v>0.99977387862607403</v>
      </c>
      <c r="BK13" s="5">
        <v>0.99970983422061699</v>
      </c>
      <c r="BM13" s="3" t="str">
        <f t="shared" si="31"/>
        <v>8M</v>
      </c>
      <c r="BN13" s="3" t="str">
        <f t="shared" si="4"/>
        <v>GBP8M</v>
      </c>
      <c r="BO13" s="2">
        <f t="shared" si="4"/>
        <v>44257</v>
      </c>
      <c r="BP13" s="5">
        <f t="shared" si="4"/>
        <v>1.241805</v>
      </c>
      <c r="BQ13" s="73">
        <f t="shared" si="32"/>
        <v>0.99970983422061699</v>
      </c>
      <c r="BR13" s="73">
        <f t="shared" si="33"/>
        <v>1.0010843243966885</v>
      </c>
      <c r="BS13" s="76">
        <f t="shared" si="34"/>
        <v>0.67500000000000004</v>
      </c>
      <c r="BT13" s="80">
        <f t="shared" si="35"/>
        <v>0.99977726826283619</v>
      </c>
      <c r="BU13" s="78">
        <f t="shared" si="46"/>
        <v>3.3006415631797736E-4</v>
      </c>
      <c r="BV13" s="79">
        <f t="shared" si="36"/>
        <v>-19.343121823549581</v>
      </c>
      <c r="BX13" s="2">
        <f t="shared" si="5"/>
        <v>44257</v>
      </c>
      <c r="BY13" s="14">
        <f t="shared" si="6"/>
        <v>0.67500000000000004</v>
      </c>
      <c r="BZ13" s="18">
        <f t="shared" si="7"/>
        <v>1.0010843243966885</v>
      </c>
      <c r="CA13" s="5">
        <f t="shared" si="47"/>
        <v>-1.6042480260369807E-3</v>
      </c>
      <c r="CB13" s="13">
        <f t="shared" si="8"/>
        <v>0.99977387862607403</v>
      </c>
      <c r="CC13" s="5">
        <f t="shared" si="48"/>
        <v>3.3508863813080936E-4</v>
      </c>
      <c r="CD13" s="149">
        <f t="shared" si="49"/>
        <v>-19.3933666416779</v>
      </c>
    </row>
    <row r="14" spans="1:82" x14ac:dyDescent="0.25">
      <c r="A14" s="39">
        <v>45110</v>
      </c>
      <c r="B14" s="11">
        <v>2.4931506849234999E-5</v>
      </c>
      <c r="C14" s="11">
        <v>2.1575604295342901E-4</v>
      </c>
      <c r="D14" s="11">
        <v>1.0009830490506499</v>
      </c>
      <c r="E14" s="11">
        <v>6.0167176390413203E-4</v>
      </c>
      <c r="F14" s="33">
        <v>0.999999999999999</v>
      </c>
      <c r="G14" s="11">
        <f t="shared" si="0"/>
        <v>3.0444444444444443</v>
      </c>
      <c r="H14" s="11">
        <f t="shared" si="9"/>
        <v>-1.706534164261958E-3</v>
      </c>
      <c r="I14" s="11">
        <f t="shared" si="10"/>
        <v>1.005213429484757</v>
      </c>
      <c r="J14" s="33">
        <f t="shared" si="1"/>
        <v>1.2465651739040484</v>
      </c>
      <c r="K14" s="11" t="s">
        <v>446</v>
      </c>
      <c r="L14" s="41">
        <f t="shared" si="11"/>
        <v>-3.25</v>
      </c>
      <c r="M14" s="95">
        <v>45110</v>
      </c>
      <c r="N14" s="9">
        <f t="shared" si="37"/>
        <v>45019</v>
      </c>
      <c r="O14" s="39">
        <f t="shared" si="38"/>
        <v>45110</v>
      </c>
      <c r="P14" s="87">
        <f t="shared" si="39"/>
        <v>91</v>
      </c>
      <c r="Q14" s="46">
        <v>10000000</v>
      </c>
      <c r="R14" s="106">
        <f t="shared" si="12"/>
        <v>8.53540389705873E-4</v>
      </c>
      <c r="S14" s="46">
        <f t="shared" si="40"/>
        <v>2157.5604295342901</v>
      </c>
      <c r="T14" s="46">
        <f t="shared" si="41"/>
        <v>249.31506849234998</v>
      </c>
      <c r="U14" s="50">
        <f>Q14</f>
        <v>10000000</v>
      </c>
      <c r="V14" s="62">
        <f t="shared" si="13"/>
        <v>-12459876.869629139</v>
      </c>
      <c r="W14" s="46">
        <f t="shared" si="14"/>
        <v>-12465651.739040485</v>
      </c>
      <c r="X14" s="106">
        <f t="shared" si="15"/>
        <v>2.3802399451152475E-3</v>
      </c>
      <c r="Y14" s="46">
        <f t="shared" si="16"/>
        <v>-7496.7560941780594</v>
      </c>
      <c r="Z14" s="46">
        <f t="shared" si="17"/>
        <v>5774.8694113455713</v>
      </c>
      <c r="AA14" s="50">
        <f>W14</f>
        <v>-12465651.739040485</v>
      </c>
      <c r="AC14" s="122">
        <f t="shared" si="42"/>
        <v>3.0444444444444443</v>
      </c>
      <c r="AD14" s="113">
        <f>BBG_GBP!V14/100</f>
        <v>1.1218999999999999E-3</v>
      </c>
      <c r="AE14" s="113">
        <f>BBG_EUR!J14/100</f>
        <v>2.4201000000000001E-3</v>
      </c>
      <c r="AF14" s="116">
        <f>BBG_GBP!X14</f>
        <v>1.0053019999999999</v>
      </c>
      <c r="AG14" s="116">
        <f>BBG_EUR!L14</f>
        <v>1.000086</v>
      </c>
      <c r="AH14" s="112">
        <f t="shared" si="43"/>
        <v>-1.7354247034688797E-3</v>
      </c>
      <c r="AI14" s="112">
        <f t="shared" si="43"/>
        <v>-2.8246561638911594E-5</v>
      </c>
      <c r="AJ14" s="112">
        <f t="shared" si="44"/>
        <v>-1.7065341642618082E-3</v>
      </c>
      <c r="AK14" s="112">
        <f t="shared" si="45"/>
        <v>0</v>
      </c>
      <c r="AL14" s="143">
        <f t="shared" si="18"/>
        <v>1.2465651739040484</v>
      </c>
      <c r="AM14" s="143">
        <f>BBG_GBP!AA14</f>
        <v>1.2465443599999999</v>
      </c>
      <c r="AN14" s="151">
        <f t="shared" si="19"/>
        <v>0.99998330299571636</v>
      </c>
      <c r="AO14" s="147"/>
      <c r="AP14" s="56" t="s">
        <v>461</v>
      </c>
      <c r="AQ14" s="19" t="str">
        <f t="shared" si="2"/>
        <v>BPBS25</v>
      </c>
      <c r="AR14" s="38">
        <f t="shared" si="2"/>
        <v>53146</v>
      </c>
      <c r="AS14" s="47">
        <f t="shared" si="20"/>
        <v>816348.71091101982</v>
      </c>
      <c r="AT14" s="47">
        <f t="shared" si="21"/>
        <v>-38737.884262980893</v>
      </c>
      <c r="AU14" s="47">
        <f t="shared" si="22"/>
        <v>25004.165398979207</v>
      </c>
      <c r="AV14" s="49">
        <f t="shared" ref="AV14" si="50">(AS14+AT14)</f>
        <v>777610.82664803893</v>
      </c>
      <c r="AW14" s="61">
        <f t="shared" si="24"/>
        <v>-2847473.5012317356</v>
      </c>
      <c r="AX14" s="47">
        <f t="shared" si="25"/>
        <v>2075428.8728477915</v>
      </c>
      <c r="AY14" s="47">
        <f t="shared" ref="AY14" si="51">SUMPRODUCT($AA$3:$AA$202,$F$3:$F$202,1*($A$3:$A$202=$AR14))+AA$2</f>
        <v>48038.85027452372</v>
      </c>
      <c r="AZ14" s="49">
        <f t="shared" ref="AZ14" si="52">SUM(AW14:AY14)</f>
        <v>-724005.77810942032</v>
      </c>
      <c r="BA14" s="47">
        <f t="shared" ref="BA14" si="53">(AV14*$BI$2+AZ14)</f>
        <v>240309.40801681275</v>
      </c>
      <c r="BB14" s="63">
        <f t="shared" ref="BB14" si="54">-BA14/($BI$2*$AU14)</f>
        <v>-7.7500000098181649</v>
      </c>
      <c r="BC14" s="64">
        <f t="shared" si="3"/>
        <v>-7.75</v>
      </c>
      <c r="BD14" s="68">
        <f t="shared" ref="BD14" si="55">(BB14-BC14)</f>
        <v>-9.8181649477169231E-9</v>
      </c>
      <c r="BF14" s="3" t="s">
        <v>16</v>
      </c>
      <c r="BG14" s="3" t="s">
        <v>438</v>
      </c>
      <c r="BH14" s="2">
        <v>44292</v>
      </c>
      <c r="BI14" s="5">
        <v>1.2419819999999999</v>
      </c>
      <c r="BJ14" s="5">
        <v>0.99978487481440403</v>
      </c>
      <c r="BK14" s="5">
        <v>0.99970438670061001</v>
      </c>
      <c r="BM14" s="3" t="str">
        <f t="shared" si="31"/>
        <v>9M</v>
      </c>
      <c r="BN14" s="3" t="str">
        <f t="shared" si="4"/>
        <v>GBP9M</v>
      </c>
      <c r="BO14" s="2">
        <f t="shared" si="4"/>
        <v>44292</v>
      </c>
      <c r="BP14" s="5">
        <f t="shared" si="4"/>
        <v>1.2419819999999999</v>
      </c>
      <c r="BQ14" s="73">
        <f t="shared" si="32"/>
        <v>0.99970438670061001</v>
      </c>
      <c r="BR14" s="73">
        <f t="shared" si="33"/>
        <v>1.0012215576188994</v>
      </c>
      <c r="BS14" s="76">
        <f t="shared" si="34"/>
        <v>0.77222222222222225</v>
      </c>
      <c r="BT14" s="80">
        <f t="shared" si="35"/>
        <v>0.99978826448844771</v>
      </c>
      <c r="BU14" s="78">
        <f t="shared" si="46"/>
        <v>2.7425650447976402E-4</v>
      </c>
      <c r="BV14" s="79">
        <f t="shared" si="36"/>
        <v>-18.539153150665122</v>
      </c>
      <c r="BX14" s="2">
        <f t="shared" si="5"/>
        <v>44292</v>
      </c>
      <c r="BY14" s="14">
        <f t="shared" si="6"/>
        <v>0.77222222222222225</v>
      </c>
      <c r="BZ14" s="18">
        <f t="shared" si="7"/>
        <v>1.0012215576188994</v>
      </c>
      <c r="CA14" s="5">
        <f t="shared" si="47"/>
        <v>-1.5796588105867482E-3</v>
      </c>
      <c r="CB14" s="13">
        <f t="shared" si="8"/>
        <v>0.99978487481440403</v>
      </c>
      <c r="CC14" s="5">
        <f t="shared" si="48"/>
        <v>2.786481612375713E-4</v>
      </c>
      <c r="CD14" s="149">
        <f t="shared" si="49"/>
        <v>-18.583069718243195</v>
      </c>
    </row>
    <row r="15" spans="1:82" x14ac:dyDescent="0.25">
      <c r="A15" s="38">
        <v>45201</v>
      </c>
      <c r="B15" s="22">
        <v>2.4931506849234999E-5</v>
      </c>
      <c r="C15" s="22">
        <v>4.0118500373198502E-4</v>
      </c>
      <c r="D15" s="22">
        <v>1.00094090678486</v>
      </c>
      <c r="E15" s="22">
        <v>9.3679635753351998E-4</v>
      </c>
      <c r="F15" s="32">
        <v>0.99966606631668298</v>
      </c>
      <c r="G15" s="22">
        <f t="shared" si="0"/>
        <v>3.2972222222222221</v>
      </c>
      <c r="H15" s="22">
        <f t="shared" si="9"/>
        <v>-1.6694750369405822E-3</v>
      </c>
      <c r="I15" s="22">
        <f t="shared" si="10"/>
        <v>1.0055244339493901</v>
      </c>
      <c r="J15" s="32">
        <f t="shared" si="1"/>
        <v>1.247367388527139</v>
      </c>
      <c r="K15" s="22" t="s">
        <v>447</v>
      </c>
      <c r="L15" s="40">
        <f t="shared" si="11"/>
        <v>-3.25</v>
      </c>
      <c r="M15" s="96">
        <v>45201</v>
      </c>
      <c r="N15" s="99">
        <f t="shared" si="37"/>
        <v>45110</v>
      </c>
      <c r="O15" s="38">
        <f t="shared" si="38"/>
        <v>45201</v>
      </c>
      <c r="P15" s="88">
        <f t="shared" si="39"/>
        <v>91</v>
      </c>
      <c r="Q15" s="47">
        <v>10000000</v>
      </c>
      <c r="R15" s="107">
        <f t="shared" si="12"/>
        <v>1.5871055092693911E-3</v>
      </c>
      <c r="S15" s="47">
        <f t="shared" si="40"/>
        <v>4011.8500373198503</v>
      </c>
      <c r="T15" s="47">
        <f t="shared" si="41"/>
        <v>249.31506849234998</v>
      </c>
      <c r="V15" s="61">
        <f t="shared" si="13"/>
        <v>-12465651.739040485</v>
      </c>
      <c r="W15" s="47">
        <f t="shared" si="14"/>
        <v>-12473673.885271391</v>
      </c>
      <c r="X15" s="107">
        <f t="shared" si="15"/>
        <v>3.7060075682644749E-3</v>
      </c>
      <c r="Y15" s="47">
        <f t="shared" si="16"/>
        <v>-11677.777143414514</v>
      </c>
      <c r="Z15" s="47">
        <f t="shared" si="17"/>
        <v>8022.1462309062481</v>
      </c>
      <c r="AC15" s="122">
        <f t="shared" si="42"/>
        <v>3.2972222222222221</v>
      </c>
      <c r="AD15" s="113">
        <f>BBG_GBP!V15/100</f>
        <v>1.4788000000000002E-3</v>
      </c>
      <c r="AE15" s="113">
        <f>BBG_EUR!J15/100</f>
        <v>3.4394999999999998E-3</v>
      </c>
      <c r="AF15" s="116">
        <f>BBG_GBP!X15</f>
        <v>1.0056750000000001</v>
      </c>
      <c r="AG15" s="116">
        <f>BBG_EUR!L15</f>
        <v>0.99988699999999997</v>
      </c>
      <c r="AH15" s="112">
        <f t="shared" si="43"/>
        <v>-1.7148084261248142E-3</v>
      </c>
      <c r="AI15" s="112">
        <f t="shared" si="43"/>
        <v>3.4273795920469752E-5</v>
      </c>
      <c r="AJ15" s="112">
        <f t="shared" si="44"/>
        <v>-1.6694750369405931E-3</v>
      </c>
      <c r="AK15" s="112">
        <f t="shared" si="45"/>
        <v>1.0129931962143957E-4</v>
      </c>
      <c r="AL15" s="143">
        <f t="shared" si="18"/>
        <v>1.247367388527139</v>
      </c>
      <c r="AM15" s="143">
        <f>BBG_GBP!AA15</f>
        <v>1.247246656</v>
      </c>
      <c r="AN15" s="151">
        <f t="shared" si="19"/>
        <v>0.99990321013019134</v>
      </c>
      <c r="AO15" s="147"/>
      <c r="AP15" s="56" t="str">
        <f t="shared" ref="AP15:AR17" si="56">BF34</f>
        <v>30Y</v>
      </c>
      <c r="AQ15" s="19" t="str">
        <f t="shared" si="56"/>
        <v>BPBS30</v>
      </c>
      <c r="AR15" s="38">
        <f t="shared" si="56"/>
        <v>54974</v>
      </c>
      <c r="AS15" s="47">
        <f t="shared" si="20"/>
        <v>934247.6265567994</v>
      </c>
      <c r="AT15" s="47">
        <f t="shared" si="21"/>
        <v>-58328.105853790417</v>
      </c>
      <c r="AU15" s="47">
        <f t="shared" si="22"/>
        <v>29987.995891962582</v>
      </c>
      <c r="AV15" s="49">
        <f t="shared" si="23"/>
        <v>875919.52070300898</v>
      </c>
      <c r="AW15" s="61">
        <f t="shared" si="24"/>
        <v>-3449278.4878986804</v>
      </c>
      <c r="AX15" s="47">
        <f t="shared" si="25"/>
        <v>2509198.1745934431</v>
      </c>
      <c r="AY15" s="47">
        <f t="shared" si="26"/>
        <v>72332.684069285169</v>
      </c>
      <c r="AZ15" s="49">
        <f t="shared" si="27"/>
        <v>-867747.62923595216</v>
      </c>
      <c r="BA15" s="47">
        <f t="shared" si="28"/>
        <v>218480.16838784935</v>
      </c>
      <c r="BB15" s="63">
        <f t="shared" si="29"/>
        <v>-5.8750000098772261</v>
      </c>
      <c r="BC15" s="64">
        <f t="shared" si="3"/>
        <v>-5.875</v>
      </c>
      <c r="BD15" s="68">
        <f t="shared" si="30"/>
        <v>-9.8772261480917223E-9</v>
      </c>
      <c r="BF15" s="3" t="s">
        <v>17</v>
      </c>
      <c r="BG15" s="3" t="s">
        <v>439</v>
      </c>
      <c r="BH15" s="2">
        <v>44320</v>
      </c>
      <c r="BI15" s="5">
        <v>1.2420720000000001</v>
      </c>
      <c r="BJ15" s="5">
        <v>0.99980537806049696</v>
      </c>
      <c r="BK15" s="5">
        <v>0.99971201351566497</v>
      </c>
      <c r="BM15" s="3" t="str">
        <f t="shared" si="31"/>
        <v>10M</v>
      </c>
      <c r="BN15" s="3" t="str">
        <f t="shared" si="4"/>
        <v>GBP10M</v>
      </c>
      <c r="BO15" s="2">
        <f t="shared" si="4"/>
        <v>44320</v>
      </c>
      <c r="BP15" s="5">
        <f t="shared" si="4"/>
        <v>1.2420720000000001</v>
      </c>
      <c r="BQ15" s="73">
        <f t="shared" si="32"/>
        <v>0.99971201351566497</v>
      </c>
      <c r="BR15" s="73">
        <f t="shared" si="33"/>
        <v>1.001301749900354</v>
      </c>
      <c r="BS15" s="76">
        <f t="shared" si="34"/>
        <v>0.85</v>
      </c>
      <c r="BT15" s="80">
        <f t="shared" si="35"/>
        <v>0.99980876780405492</v>
      </c>
      <c r="BU15" s="78">
        <f t="shared" si="46"/>
        <v>2.2502588294170955E-4</v>
      </c>
      <c r="BV15" s="79">
        <f t="shared" si="36"/>
        <v>-17.543298434874455</v>
      </c>
      <c r="BX15" s="2">
        <f t="shared" si="5"/>
        <v>44320</v>
      </c>
      <c r="BY15" s="14">
        <f t="shared" si="6"/>
        <v>0.85</v>
      </c>
      <c r="BZ15" s="18">
        <f t="shared" si="7"/>
        <v>1.001301749900354</v>
      </c>
      <c r="CA15" s="5">
        <f t="shared" si="47"/>
        <v>-1.5293039605457359E-3</v>
      </c>
      <c r="CB15" s="13">
        <f t="shared" si="8"/>
        <v>0.99980537806049696</v>
      </c>
      <c r="CC15" s="5">
        <f t="shared" si="48"/>
        <v>2.2901549158627077E-4</v>
      </c>
      <c r="CD15" s="149">
        <f t="shared" si="49"/>
        <v>-17.583194521320067</v>
      </c>
    </row>
    <row r="16" spans="1:82" x14ac:dyDescent="0.25">
      <c r="A16" s="38">
        <v>45293</v>
      </c>
      <c r="B16" s="22">
        <v>2.5205479452061701E-5</v>
      </c>
      <c r="C16" s="22">
        <v>4.0559452408372998E-4</v>
      </c>
      <c r="D16" s="22">
        <v>1.0008983032208201</v>
      </c>
      <c r="E16" s="22">
        <v>9.4709569639306302E-4</v>
      </c>
      <c r="F16" s="32">
        <v>0.99932857638885397</v>
      </c>
      <c r="G16" s="22">
        <f t="shared" si="0"/>
        <v>3.5527777777777776</v>
      </c>
      <c r="H16" s="22">
        <f t="shared" si="9"/>
        <v>-1.6320086664618288E-3</v>
      </c>
      <c r="I16" s="22">
        <f t="shared" si="10"/>
        <v>1.0058197700469089</v>
      </c>
      <c r="J16" s="32">
        <f t="shared" si="1"/>
        <v>1.2481551376649731</v>
      </c>
      <c r="K16" s="22" t="s">
        <v>447</v>
      </c>
      <c r="L16" s="40">
        <f t="shared" si="11"/>
        <v>-3.25</v>
      </c>
      <c r="M16" s="96">
        <v>45293</v>
      </c>
      <c r="N16" s="99">
        <f t="shared" si="37"/>
        <v>45201</v>
      </c>
      <c r="O16" s="38">
        <f t="shared" si="38"/>
        <v>45293</v>
      </c>
      <c r="P16" s="88">
        <f t="shared" si="39"/>
        <v>92</v>
      </c>
      <c r="Q16" s="47">
        <v>10000000</v>
      </c>
      <c r="R16" s="107">
        <f t="shared" si="12"/>
        <v>1.5871090072841609E-3</v>
      </c>
      <c r="S16" s="47">
        <f t="shared" si="40"/>
        <v>4055.9452408372999</v>
      </c>
      <c r="T16" s="47">
        <f t="shared" si="41"/>
        <v>252.05479452061701</v>
      </c>
      <c r="V16" s="61">
        <f t="shared" si="13"/>
        <v>-12473673.885271391</v>
      </c>
      <c r="W16" s="47">
        <f t="shared" si="14"/>
        <v>-12481551.376649732</v>
      </c>
      <c r="X16" s="107">
        <f t="shared" si="15"/>
        <v>3.7060266380598119E-3</v>
      </c>
      <c r="Y16" s="47">
        <f t="shared" si="16"/>
        <v>-11813.762854951072</v>
      </c>
      <c r="Z16" s="47">
        <f t="shared" si="17"/>
        <v>7877.4913783408701</v>
      </c>
      <c r="AC16" s="122">
        <f t="shared" si="42"/>
        <v>3.5527777777777776</v>
      </c>
      <c r="AD16" s="113">
        <f>BBG_GBP!V16/100</f>
        <v>1.5671999999999999E-3</v>
      </c>
      <c r="AE16" s="113">
        <f>BBG_EUR!J16/100</f>
        <v>3.6175000000000001E-3</v>
      </c>
      <c r="AF16" s="116">
        <f>BBG_GBP!X16</f>
        <v>1.006041</v>
      </c>
      <c r="AG16" s="116">
        <f>BBG_EUR!L16</f>
        <v>0.99964399999999998</v>
      </c>
      <c r="AH16" s="112">
        <f t="shared" si="43"/>
        <v>-1.6938081955044648E-3</v>
      </c>
      <c r="AI16" s="112">
        <f t="shared" si="43"/>
        <v>1.0022614653903972E-4</v>
      </c>
      <c r="AJ16" s="112">
        <f t="shared" si="44"/>
        <v>-1.6320086664618483E-3</v>
      </c>
      <c r="AK16" s="112">
        <f t="shared" si="45"/>
        <v>1.8906687956299351E-4</v>
      </c>
      <c r="AL16" s="143">
        <f t="shared" si="18"/>
        <v>1.2481551376649731</v>
      </c>
      <c r="AM16" s="143">
        <f>BBG_GBP!AA16</f>
        <v>1.2479938210000001</v>
      </c>
      <c r="AN16" s="151">
        <f t="shared" si="19"/>
        <v>0.99987075591799046</v>
      </c>
      <c r="AO16" s="147"/>
      <c r="AP16" s="56" t="str">
        <f t="shared" si="56"/>
        <v>40Y</v>
      </c>
      <c r="AQ16" s="19" t="str">
        <f t="shared" si="56"/>
        <v>BPBS40</v>
      </c>
      <c r="AR16" s="38">
        <f t="shared" si="56"/>
        <v>58624</v>
      </c>
      <c r="AS16" s="47">
        <f t="shared" si="20"/>
        <v>1064824.604990666</v>
      </c>
      <c r="AT16" s="47">
        <f t="shared" si="21"/>
        <v>-46787.375347224995</v>
      </c>
      <c r="AU16" s="47">
        <f t="shared" si="22"/>
        <v>39934.29462481651</v>
      </c>
      <c r="AV16" s="49">
        <f t="shared" si="23"/>
        <v>1018037.229643441</v>
      </c>
      <c r="AW16" s="61">
        <f t="shared" si="24"/>
        <v>-4371655.7285850514</v>
      </c>
      <c r="AX16" s="47">
        <f t="shared" si="25"/>
        <v>3193543.9778769035</v>
      </c>
      <c r="AY16" s="47">
        <f t="shared" si="26"/>
        <v>58021.024168092757</v>
      </c>
      <c r="AZ16" s="49">
        <f t="shared" si="27"/>
        <v>-1120090.7265400551</v>
      </c>
      <c r="BA16" s="47">
        <f t="shared" si="28"/>
        <v>142377.24194077612</v>
      </c>
      <c r="BB16" s="63">
        <f t="shared" si="29"/>
        <v>-2.8750000099671955</v>
      </c>
      <c r="BC16" s="64">
        <f t="shared" si="3"/>
        <v>-2.875</v>
      </c>
      <c r="BD16" s="68">
        <f t="shared" si="30"/>
        <v>-9.967195513382876E-9</v>
      </c>
      <c r="BF16" s="3" t="s">
        <v>18</v>
      </c>
      <c r="BG16" s="3" t="s">
        <v>440</v>
      </c>
      <c r="BH16" s="2">
        <v>44349</v>
      </c>
      <c r="BI16" s="5">
        <v>1.2421899999999999</v>
      </c>
      <c r="BJ16" s="5">
        <v>0.99983633984087905</v>
      </c>
      <c r="BK16" s="5">
        <v>0.99971161097000205</v>
      </c>
      <c r="BM16" s="3" t="str">
        <f t="shared" si="31"/>
        <v>11M</v>
      </c>
      <c r="BN16" s="3" t="str">
        <f t="shared" si="4"/>
        <v>GBP11M</v>
      </c>
      <c r="BO16" s="2">
        <f t="shared" si="4"/>
        <v>44349</v>
      </c>
      <c r="BP16" s="5">
        <f t="shared" si="4"/>
        <v>1.2421899999999999</v>
      </c>
      <c r="BQ16" s="73">
        <f t="shared" si="32"/>
        <v>0.99971161097000205</v>
      </c>
      <c r="BR16" s="73">
        <f t="shared" si="33"/>
        <v>1.0013964728899498</v>
      </c>
      <c r="BS16" s="76">
        <f t="shared" si="34"/>
        <v>0.93055555555555558</v>
      </c>
      <c r="BT16" s="80">
        <f t="shared" si="35"/>
        <v>0.99983972968940993</v>
      </c>
      <c r="BU16" s="78">
        <f t="shared" si="46"/>
        <v>1.7225941969511993E-4</v>
      </c>
      <c r="BV16" s="79">
        <f t="shared" si="36"/>
        <v>-16.707759455403259</v>
      </c>
      <c r="BX16" s="2">
        <f t="shared" si="5"/>
        <v>44349</v>
      </c>
      <c r="BY16" s="14">
        <f t="shared" si="6"/>
        <v>0.93055555555555558</v>
      </c>
      <c r="BZ16" s="18">
        <f t="shared" si="7"/>
        <v>1.0013964728899498</v>
      </c>
      <c r="CA16" s="5">
        <f t="shared" si="47"/>
        <v>-1.498516525845206E-3</v>
      </c>
      <c r="CB16" s="13">
        <f t="shared" si="8"/>
        <v>0.99983633984087905</v>
      </c>
      <c r="CC16" s="5">
        <f t="shared" si="48"/>
        <v>1.7590346635354415E-4</v>
      </c>
      <c r="CD16" s="149">
        <f t="shared" si="49"/>
        <v>-16.744199921987502</v>
      </c>
    </row>
    <row r="17" spans="1:84" x14ac:dyDescent="0.25">
      <c r="A17" s="38">
        <v>45384</v>
      </c>
      <c r="B17" s="22">
        <v>2.4931506849234999E-5</v>
      </c>
      <c r="C17" s="22">
        <v>4.0118500373198502E-4</v>
      </c>
      <c r="D17" s="22">
        <v>1.0008561645229099</v>
      </c>
      <c r="E17" s="22">
        <v>9.3679635753351998E-4</v>
      </c>
      <c r="F17" s="32">
        <v>0.99899486691649697</v>
      </c>
      <c r="G17" s="22">
        <f t="shared" si="0"/>
        <v>3.8055555555555554</v>
      </c>
      <c r="H17" s="22">
        <f t="shared" si="9"/>
        <v>-1.5949495391404532E-3</v>
      </c>
      <c r="I17" s="22">
        <f t="shared" si="10"/>
        <v>1.006093001919276</v>
      </c>
      <c r="J17" s="32">
        <f t="shared" si="1"/>
        <v>1.2489112536995468</v>
      </c>
      <c r="K17" s="22" t="s">
        <v>447</v>
      </c>
      <c r="L17" s="40">
        <f t="shared" si="11"/>
        <v>-3.25</v>
      </c>
      <c r="M17" s="96">
        <v>45384</v>
      </c>
      <c r="N17" s="99">
        <f t="shared" si="37"/>
        <v>45293</v>
      </c>
      <c r="O17" s="38">
        <f t="shared" si="38"/>
        <v>45384</v>
      </c>
      <c r="P17" s="88">
        <f t="shared" si="39"/>
        <v>91</v>
      </c>
      <c r="Q17" s="47">
        <v>10000000</v>
      </c>
      <c r="R17" s="107">
        <f t="shared" si="12"/>
        <v>1.5871055092693911E-3</v>
      </c>
      <c r="S17" s="47">
        <f t="shared" si="40"/>
        <v>4011.8500373198503</v>
      </c>
      <c r="T17" s="47">
        <f t="shared" si="41"/>
        <v>249.31506849234998</v>
      </c>
      <c r="V17" s="61">
        <f t="shared" si="13"/>
        <v>-12481551.376649732</v>
      </c>
      <c r="W17" s="47">
        <f t="shared" si="14"/>
        <v>-12489112.536995469</v>
      </c>
      <c r="X17" s="107">
        <f t="shared" si="15"/>
        <v>3.7060075682644749E-3</v>
      </c>
      <c r="Y17" s="47">
        <f t="shared" si="16"/>
        <v>-11692.671866012961</v>
      </c>
      <c r="Z17" s="47">
        <f t="shared" si="17"/>
        <v>7561.160345736891</v>
      </c>
      <c r="AC17" s="122">
        <f t="shared" si="42"/>
        <v>3.8055555555555554</v>
      </c>
      <c r="AD17" s="113">
        <f>BBG_GBP!V17/100</f>
        <v>1.6554E-3</v>
      </c>
      <c r="AE17" s="113">
        <f>BBG_EUR!J17/100</f>
        <v>3.7948999999999999E-3</v>
      </c>
      <c r="AF17" s="116">
        <f>BBG_GBP!X17</f>
        <v>1.0063930000000001</v>
      </c>
      <c r="AG17" s="116">
        <f>BBG_EUR!L17</f>
        <v>0.99937100000000001</v>
      </c>
      <c r="AH17" s="112">
        <f t="shared" si="43"/>
        <v>-1.6731640435782014E-3</v>
      </c>
      <c r="AI17" s="112">
        <f t="shared" si="43"/>
        <v>1.6535034423159622E-4</v>
      </c>
      <c r="AJ17" s="112">
        <f t="shared" si="44"/>
        <v>-1.5949495391405222E-3</v>
      </c>
      <c r="AK17" s="112">
        <f t="shared" si="45"/>
        <v>2.6429030879637772E-4</v>
      </c>
      <c r="AL17" s="143">
        <f t="shared" si="18"/>
        <v>1.2489112536995468</v>
      </c>
      <c r="AM17" s="143">
        <f>BBG_GBP!AA17</f>
        <v>1.248760651</v>
      </c>
      <c r="AN17" s="151">
        <f t="shared" si="19"/>
        <v>0.99987941280927628</v>
      </c>
      <c r="AO17" s="147"/>
      <c r="AP17" s="57" t="str">
        <f t="shared" si="56"/>
        <v>50Y</v>
      </c>
      <c r="AQ17" s="6" t="str">
        <f t="shared" si="56"/>
        <v>BPBS50</v>
      </c>
      <c r="AR17" s="39">
        <f t="shared" si="56"/>
        <v>62276</v>
      </c>
      <c r="AS17" s="46">
        <f t="shared" si="20"/>
        <v>1171042.5752793604</v>
      </c>
      <c r="AT17" s="46">
        <f t="shared" si="21"/>
        <v>-453133.05794261768</v>
      </c>
      <c r="AU17" s="46">
        <f t="shared" si="22"/>
        <v>49696.331279413163</v>
      </c>
      <c r="AV17" s="50">
        <f t="shared" si="23"/>
        <v>717909.51733674272</v>
      </c>
      <c r="AW17" s="62">
        <f t="shared" si="24"/>
        <v>-4953525.7931763325</v>
      </c>
      <c r="AX17" s="46">
        <f t="shared" si="25"/>
        <v>3485908.7910713512</v>
      </c>
      <c r="AY17" s="46">
        <f t="shared" si="26"/>
        <v>561930.30515463836</v>
      </c>
      <c r="AZ17" s="50">
        <f t="shared" si="27"/>
        <v>-905686.69695034297</v>
      </c>
      <c r="BA17" s="46">
        <f t="shared" si="28"/>
        <v>-15407.104501048336</v>
      </c>
      <c r="BB17" s="65">
        <f t="shared" si="29"/>
        <v>0.2499999902017328</v>
      </c>
      <c r="BC17" s="66">
        <f t="shared" si="3"/>
        <v>0.25</v>
      </c>
      <c r="BD17" s="69">
        <f t="shared" si="30"/>
        <v>-9.7982671976026836E-9</v>
      </c>
      <c r="BF17" s="3" t="s">
        <v>19</v>
      </c>
      <c r="BG17" s="3" t="s">
        <v>441</v>
      </c>
      <c r="BH17" s="2">
        <v>44379</v>
      </c>
      <c r="BI17" s="5">
        <v>1.2423500000000001</v>
      </c>
      <c r="BJ17" s="5">
        <v>0.99986545943110205</v>
      </c>
      <c r="BK17" s="5">
        <v>0.99972632491855296</v>
      </c>
      <c r="BM17" s="3" t="str">
        <f t="shared" si="31"/>
        <v>12M</v>
      </c>
      <c r="BN17" s="3" t="str">
        <f t="shared" si="4"/>
        <v>GBP12M</v>
      </c>
      <c r="BO17" s="2">
        <f t="shared" si="4"/>
        <v>44379</v>
      </c>
      <c r="BP17" s="5">
        <f t="shared" si="4"/>
        <v>1.2423500000000001</v>
      </c>
      <c r="BQ17" s="73">
        <f t="shared" si="32"/>
        <v>0.99972632491855296</v>
      </c>
      <c r="BR17" s="73">
        <f t="shared" si="33"/>
        <v>1.0015401981796344</v>
      </c>
      <c r="BS17" s="76">
        <f t="shared" si="34"/>
        <v>1.0138888888888888</v>
      </c>
      <c r="BT17" s="80">
        <f t="shared" si="35"/>
        <v>0.99986884937836007</v>
      </c>
      <c r="BU17" s="78">
        <f t="shared" si="46"/>
        <v>1.2937088864650725E-4</v>
      </c>
      <c r="BV17" s="79">
        <f t="shared" si="36"/>
        <v>-16.461503312615868</v>
      </c>
      <c r="BX17" s="2">
        <f t="shared" si="5"/>
        <v>44379</v>
      </c>
      <c r="BY17" s="14">
        <f t="shared" si="6"/>
        <v>1.0138888888888888</v>
      </c>
      <c r="BZ17" s="18">
        <f t="shared" si="7"/>
        <v>1.0015401981796344</v>
      </c>
      <c r="CA17" s="5">
        <f t="shared" si="47"/>
        <v>-1.5167794426150794E-3</v>
      </c>
      <c r="CB17" s="13">
        <f t="shared" si="8"/>
        <v>0.99986545943110205</v>
      </c>
      <c r="CC17" s="5">
        <f t="shared" si="48"/>
        <v>1.3271528070246674E-4</v>
      </c>
      <c r="CD17" s="149">
        <f t="shared" si="49"/>
        <v>-16.494947233175459</v>
      </c>
    </row>
    <row r="18" spans="1:84" x14ac:dyDescent="0.25">
      <c r="A18" s="39">
        <v>45475</v>
      </c>
      <c r="B18" s="11">
        <v>2.4931506849234999E-5</v>
      </c>
      <c r="C18" s="11">
        <v>4.0587878903952602E-4</v>
      </c>
      <c r="D18" s="11">
        <v>1.00080534585595</v>
      </c>
      <c r="E18" s="11">
        <v>9.3679635753351998E-4</v>
      </c>
      <c r="F18" s="33">
        <v>0.99866126888097295</v>
      </c>
      <c r="G18" s="11">
        <f t="shared" si="0"/>
        <v>4.0583333333333336</v>
      </c>
      <c r="H18" s="11">
        <f t="shared" si="9"/>
        <v>-1.5578904118190775E-3</v>
      </c>
      <c r="I18" s="11">
        <f t="shared" si="10"/>
        <v>1.0063474286252729</v>
      </c>
      <c r="J18" s="33">
        <f t="shared" si="1"/>
        <v>1.2496443840628633</v>
      </c>
      <c r="K18" s="11" t="s">
        <v>447</v>
      </c>
      <c r="L18" s="41">
        <f t="shared" si="11"/>
        <v>-3.25</v>
      </c>
      <c r="M18" s="95">
        <v>45475</v>
      </c>
      <c r="N18" s="9">
        <f t="shared" si="37"/>
        <v>45384</v>
      </c>
      <c r="O18" s="39">
        <f t="shared" si="38"/>
        <v>45475</v>
      </c>
      <c r="P18" s="87">
        <f t="shared" si="39"/>
        <v>91</v>
      </c>
      <c r="Q18" s="46">
        <v>10000000</v>
      </c>
      <c r="R18" s="106">
        <f t="shared" si="12"/>
        <v>1.6056743302662569E-3</v>
      </c>
      <c r="S18" s="46">
        <f t="shared" si="40"/>
        <v>4058.7878903952601</v>
      </c>
      <c r="T18" s="46">
        <f t="shared" si="41"/>
        <v>249.31506849234998</v>
      </c>
      <c r="U18" s="50">
        <f>Q18</f>
        <v>10000000</v>
      </c>
      <c r="V18" s="62">
        <f t="shared" si="13"/>
        <v>-12489112.536995469</v>
      </c>
      <c r="W18" s="46">
        <f t="shared" si="14"/>
        <v>-12496443.840628633</v>
      </c>
      <c r="X18" s="106">
        <f t="shared" si="15"/>
        <v>3.7060075682644749E-3</v>
      </c>
      <c r="Y18" s="46">
        <f t="shared" si="16"/>
        <v>-11699.755133483573</v>
      </c>
      <c r="Z18" s="46">
        <f t="shared" si="17"/>
        <v>7331.3036331646144</v>
      </c>
      <c r="AA18" s="50">
        <f>W18</f>
        <v>-12496443.840628633</v>
      </c>
      <c r="AC18" s="122">
        <f t="shared" si="42"/>
        <v>4.0583333333333336</v>
      </c>
      <c r="AD18" s="113">
        <f>BBG_GBP!V18/100</f>
        <v>1.7458999999999999E-3</v>
      </c>
      <c r="AE18" s="113">
        <f>BBG_EUR!J18/100</f>
        <v>3.9709000000000003E-3</v>
      </c>
      <c r="AF18" s="116">
        <f>BBG_GBP!X18</f>
        <v>1.0067330000000001</v>
      </c>
      <c r="AG18" s="116">
        <f>BBG_EUR!L18</f>
        <v>0.99906499999999998</v>
      </c>
      <c r="AH18" s="112">
        <f t="shared" si="43"/>
        <v>-1.6521289055576593E-3</v>
      </c>
      <c r="AI18" s="112">
        <f t="shared" si="43"/>
        <v>2.3052448500049394E-4</v>
      </c>
      <c r="AJ18" s="112">
        <f t="shared" si="44"/>
        <v>-1.5578904118190851E-3</v>
      </c>
      <c r="AK18" s="112">
        <f t="shared" si="45"/>
        <v>3.3014763337280151E-4</v>
      </c>
      <c r="AL18" s="143">
        <f t="shared" si="18"/>
        <v>1.2496443840628633</v>
      </c>
      <c r="AM18" s="143">
        <f>BBG_GBP!AA18</f>
        <v>1.2495821460000001</v>
      </c>
      <c r="AN18" s="151">
        <f t="shared" si="19"/>
        <v>0.99995019538065633</v>
      </c>
      <c r="AO18" s="147"/>
      <c r="AR18" s="2"/>
      <c r="AS18" s="45"/>
      <c r="AT18" s="45"/>
      <c r="AU18" s="18"/>
      <c r="AW18" s="45"/>
      <c r="AX18" s="45"/>
      <c r="AY18" s="45"/>
      <c r="BB18" s="12"/>
      <c r="BC18" s="12"/>
      <c r="BD18" s="12"/>
      <c r="BF18" s="3" t="s">
        <v>20</v>
      </c>
      <c r="BG18" s="3" t="s">
        <v>442</v>
      </c>
      <c r="BH18" s="2">
        <v>44473</v>
      </c>
      <c r="BI18" s="5">
        <v>1.24272</v>
      </c>
      <c r="BJ18" s="5">
        <v>1.0000271711022899</v>
      </c>
      <c r="BK18" s="5">
        <v>0.99981182155658299</v>
      </c>
      <c r="BM18" s="3" t="str">
        <f t="shared" si="31"/>
        <v>15M</v>
      </c>
      <c r="BN18" s="3" t="str">
        <f t="shared" si="4"/>
        <v>GBP15M</v>
      </c>
      <c r="BO18" s="2">
        <f t="shared" si="4"/>
        <v>44473</v>
      </c>
      <c r="BP18" s="5">
        <f t="shared" si="4"/>
        <v>1.24272</v>
      </c>
      <c r="BQ18" s="73">
        <f t="shared" si="32"/>
        <v>0.99981182155658299</v>
      </c>
      <c r="BR18" s="73">
        <f t="shared" si="33"/>
        <v>1.0019241568299306</v>
      </c>
      <c r="BS18" s="76">
        <f t="shared" si="34"/>
        <v>1.2749999999999999</v>
      </c>
      <c r="BT18" s="80">
        <f t="shared" si="35"/>
        <v>1.0000305615978158</v>
      </c>
      <c r="BU18" s="78">
        <f t="shared" si="46"/>
        <v>-2.396922710190541E-5</v>
      </c>
      <c r="BV18" s="79">
        <f t="shared" si="36"/>
        <v>-14.825873334244344</v>
      </c>
      <c r="BX18" s="2">
        <f t="shared" si="5"/>
        <v>44473</v>
      </c>
      <c r="BY18" s="14">
        <f t="shared" si="6"/>
        <v>1.2749999999999999</v>
      </c>
      <c r="BZ18" s="18">
        <f t="shared" si="7"/>
        <v>1.0019241568299306</v>
      </c>
      <c r="CA18" s="5">
        <f t="shared" si="47"/>
        <v>-1.5065565605263398E-3</v>
      </c>
      <c r="CB18" s="13">
        <f t="shared" si="8"/>
        <v>1.0000271711022899</v>
      </c>
      <c r="CC18" s="5">
        <f t="shared" si="48"/>
        <v>-2.1310151886222428E-5</v>
      </c>
      <c r="CD18" s="149">
        <f t="shared" si="49"/>
        <v>-14.852464086401174</v>
      </c>
    </row>
    <row r="19" spans="1:84" x14ac:dyDescent="0.25">
      <c r="A19" s="38">
        <v>45567</v>
      </c>
      <c r="B19" s="22">
        <v>2.5205479452061701E-5</v>
      </c>
      <c r="C19" s="22">
        <v>5.1355763397897803E-4</v>
      </c>
      <c r="D19" s="22">
        <v>1.0005630972530399</v>
      </c>
      <c r="E19" s="22">
        <v>1.4206622116919E-3</v>
      </c>
      <c r="F19" s="32">
        <v>0.99786128505089799</v>
      </c>
      <c r="G19" s="22">
        <f t="shared" si="0"/>
        <v>4.3138888888888891</v>
      </c>
      <c r="H19" s="22">
        <f t="shared" si="9"/>
        <v>-1.5159491922267748E-3</v>
      </c>
      <c r="I19" s="22">
        <f t="shared" si="10"/>
        <v>1.0065660609492435</v>
      </c>
      <c r="J19" s="32">
        <f t="shared" si="1"/>
        <v>1.2509179290581334</v>
      </c>
      <c r="K19" s="22" t="s">
        <v>448</v>
      </c>
      <c r="L19" s="40">
        <f t="shared" si="11"/>
        <v>-3.25</v>
      </c>
      <c r="M19" s="96">
        <v>45567</v>
      </c>
      <c r="N19" s="99">
        <f t="shared" si="37"/>
        <v>45475</v>
      </c>
      <c r="O19" s="38">
        <f t="shared" si="38"/>
        <v>45567</v>
      </c>
      <c r="P19" s="88">
        <f t="shared" si="39"/>
        <v>92</v>
      </c>
      <c r="Q19" s="47">
        <v>10000000</v>
      </c>
      <c r="R19" s="107">
        <f t="shared" si="12"/>
        <v>2.0095733503525228E-3</v>
      </c>
      <c r="S19" s="47">
        <f t="shared" si="40"/>
        <v>5135.5763397897799</v>
      </c>
      <c r="T19" s="47">
        <f t="shared" si="41"/>
        <v>252.05479452061701</v>
      </c>
      <c r="V19" s="61">
        <f t="shared" si="13"/>
        <v>-12496443.840628633</v>
      </c>
      <c r="W19" s="47">
        <f t="shared" si="14"/>
        <v>-12509179.290581334</v>
      </c>
      <c r="X19" s="107">
        <f t="shared" si="15"/>
        <v>5.5591130022726518E-3</v>
      </c>
      <c r="Y19" s="47">
        <f t="shared" si="16"/>
        <v>-17753.225544911096</v>
      </c>
      <c r="Z19" s="47">
        <f t="shared" si="17"/>
        <v>12735.449952701107</v>
      </c>
      <c r="AC19" s="122">
        <f t="shared" si="42"/>
        <v>4.3138888888888891</v>
      </c>
      <c r="AD19" s="113">
        <f>BBG_GBP!V19/100</f>
        <v>1.8978000000000001E-3</v>
      </c>
      <c r="AE19" s="113">
        <f>BBG_EUR!J19/100</f>
        <v>5.1314000000000004E-3</v>
      </c>
      <c r="AF19" s="116">
        <f>BBG_GBP!X19</f>
        <v>1.0069520000000001</v>
      </c>
      <c r="AG19" s="116">
        <f>BBG_EUR!L19</f>
        <v>0.99837200000000004</v>
      </c>
      <c r="AH19" s="112">
        <f t="shared" si="43"/>
        <v>-1.6046742062337804E-3</v>
      </c>
      <c r="AI19" s="112">
        <f t="shared" si="43"/>
        <v>3.7776456593308083E-4</v>
      </c>
      <c r="AJ19" s="112">
        <f t="shared" si="44"/>
        <v>-1.515949192226862E-3</v>
      </c>
      <c r="AK19" s="112">
        <f t="shared" si="45"/>
        <v>4.9642832838103779E-4</v>
      </c>
      <c r="AL19" s="143">
        <f t="shared" si="18"/>
        <v>1.2509179290581334</v>
      </c>
      <c r="AM19" s="143">
        <f>BBG_GBP!AA19</f>
        <v>1.2507317279999999</v>
      </c>
      <c r="AN19" s="151">
        <f t="shared" si="19"/>
        <v>0.99985114846161516</v>
      </c>
      <c r="AO19" s="147"/>
      <c r="AR19" s="2"/>
      <c r="AS19" s="45"/>
      <c r="AT19" s="45"/>
      <c r="AU19" s="18"/>
      <c r="BB19" s="3"/>
      <c r="BC19" s="3"/>
      <c r="BD19" s="3"/>
      <c r="BF19" s="3" t="s">
        <v>21</v>
      </c>
      <c r="BG19" s="3" t="s">
        <v>443</v>
      </c>
      <c r="BH19" s="2">
        <v>44565</v>
      </c>
      <c r="BI19" s="5">
        <v>1.243331</v>
      </c>
      <c r="BJ19" s="5">
        <v>1.0001854674249899</v>
      </c>
      <c r="BK19" s="5">
        <v>0.99989550619718304</v>
      </c>
      <c r="BM19" s="3" t="str">
        <f t="shared" si="31"/>
        <v>18M</v>
      </c>
      <c r="BN19" s="3" t="str">
        <f t="shared" si="4"/>
        <v>GBP18M</v>
      </c>
      <c r="BO19" s="2">
        <f t="shared" si="4"/>
        <v>44565</v>
      </c>
      <c r="BP19" s="5">
        <f t="shared" si="4"/>
        <v>1.243331</v>
      </c>
      <c r="BQ19" s="73">
        <f t="shared" si="32"/>
        <v>0.99989550619718304</v>
      </c>
      <c r="BR19" s="73">
        <f t="shared" si="33"/>
        <v>1.0025006689909282</v>
      </c>
      <c r="BS19" s="76">
        <f t="shared" si="34"/>
        <v>1.5305555555555554</v>
      </c>
      <c r="BT19" s="80">
        <f t="shared" si="35"/>
        <v>1.0001888584572041</v>
      </c>
      <c r="BU19" s="78">
        <f t="shared" si="46"/>
        <v>-1.2337283404317834E-4</v>
      </c>
      <c r="BV19" s="79">
        <f t="shared" si="36"/>
        <v>-15.0708800187771</v>
      </c>
      <c r="BX19" s="2">
        <f t="shared" si="5"/>
        <v>44565</v>
      </c>
      <c r="BY19" s="14">
        <f t="shared" si="6"/>
        <v>1.5305555555555554</v>
      </c>
      <c r="BZ19" s="18">
        <f t="shared" si="7"/>
        <v>1.0025006689909282</v>
      </c>
      <c r="CA19" s="5">
        <f t="shared" si="47"/>
        <v>-1.6304608359208883E-3</v>
      </c>
      <c r="CB19" s="13">
        <f t="shared" si="8"/>
        <v>1.0001854674249899</v>
      </c>
      <c r="CC19" s="5">
        <f t="shared" si="48"/>
        <v>-1.2115796303346915E-4</v>
      </c>
      <c r="CD19" s="149">
        <f t="shared" si="49"/>
        <v>-15.093028728874192</v>
      </c>
    </row>
    <row r="20" spans="1:84" x14ac:dyDescent="0.25">
      <c r="A20" s="38">
        <v>45659</v>
      </c>
      <c r="B20" s="22">
        <v>2.5205479452061701E-5</v>
      </c>
      <c r="C20" s="22">
        <v>5.1355763397897803E-4</v>
      </c>
      <c r="D20" s="22">
        <v>1.0003209072872901</v>
      </c>
      <c r="E20" s="22">
        <v>1.4206622116919E-3</v>
      </c>
      <c r="F20" s="32">
        <v>0.99706194205285303</v>
      </c>
      <c r="G20" s="22">
        <f t="shared" si="0"/>
        <v>4.5694444444444446</v>
      </c>
      <c r="H20" s="22">
        <f t="shared" si="9"/>
        <v>-1.4740079726344724E-3</v>
      </c>
      <c r="I20" s="22">
        <f t="shared" si="10"/>
        <v>1.0067631338345102</v>
      </c>
      <c r="J20" s="32">
        <f t="shared" si="1"/>
        <v>1.2521658982366366</v>
      </c>
      <c r="K20" s="22" t="s">
        <v>448</v>
      </c>
      <c r="L20" s="40">
        <f t="shared" si="11"/>
        <v>-3.25</v>
      </c>
      <c r="M20" s="96">
        <v>45659</v>
      </c>
      <c r="N20" s="99">
        <f t="shared" si="37"/>
        <v>45567</v>
      </c>
      <c r="O20" s="38">
        <f t="shared" si="38"/>
        <v>45659</v>
      </c>
      <c r="P20" s="88">
        <f t="shared" si="39"/>
        <v>92</v>
      </c>
      <c r="Q20" s="47">
        <v>10000000</v>
      </c>
      <c r="R20" s="107">
        <f t="shared" si="12"/>
        <v>2.0095733503525228E-3</v>
      </c>
      <c r="S20" s="47">
        <f t="shared" si="40"/>
        <v>5135.5763397897799</v>
      </c>
      <c r="T20" s="47">
        <f t="shared" si="41"/>
        <v>252.05479452061701</v>
      </c>
      <c r="V20" s="61">
        <f t="shared" si="13"/>
        <v>-12509179.290581334</v>
      </c>
      <c r="W20" s="47">
        <f t="shared" si="14"/>
        <v>-12521658.982366366</v>
      </c>
      <c r="X20" s="107">
        <f t="shared" si="15"/>
        <v>5.5591130022726518E-3</v>
      </c>
      <c r="Y20" s="47">
        <f t="shared" si="16"/>
        <v>-17771.318317407789</v>
      </c>
      <c r="Z20" s="47">
        <f t="shared" si="17"/>
        <v>12479.69178503193</v>
      </c>
      <c r="AC20" s="122">
        <f t="shared" si="42"/>
        <v>4.5694444444444446</v>
      </c>
      <c r="AD20" s="113">
        <f>BBG_GBP!V20/100</f>
        <v>1.9941E-3</v>
      </c>
      <c r="AE20" s="113">
        <f>BBG_EUR!J20/100</f>
        <v>5.4222999999999997E-3</v>
      </c>
      <c r="AF20" s="116">
        <f>BBG_GBP!X20</f>
        <v>1.0071429999999999</v>
      </c>
      <c r="AG20" s="116">
        <f>BBG_EUR!L20</f>
        <v>0.99759200000000003</v>
      </c>
      <c r="AH20" s="112">
        <f t="shared" si="43"/>
        <v>-1.5564406554926524E-3</v>
      </c>
      <c r="AI20" s="112">
        <f t="shared" si="43"/>
        <v>5.2775343905442362E-4</v>
      </c>
      <c r="AJ20" s="112">
        <f t="shared" si="44"/>
        <v>-1.4740079726345279E-3</v>
      </c>
      <c r="AK20" s="112">
        <f t="shared" si="45"/>
        <v>6.4413302075849721E-4</v>
      </c>
      <c r="AL20" s="143">
        <f t="shared" si="18"/>
        <v>1.2521658982366366</v>
      </c>
      <c r="AM20" s="143">
        <f>BBG_GBP!AA20</f>
        <v>1.2519319259999999</v>
      </c>
      <c r="AN20" s="151">
        <f t="shared" si="19"/>
        <v>0.99981314597613125</v>
      </c>
      <c r="AO20" s="147"/>
      <c r="AR20" s="2"/>
      <c r="AS20" s="45"/>
      <c r="AT20" s="45"/>
      <c r="AU20" s="18"/>
      <c r="AV20" s="1"/>
      <c r="BF20" s="6" t="s">
        <v>22</v>
      </c>
      <c r="BG20" s="6" t="s">
        <v>444</v>
      </c>
      <c r="BH20" s="9">
        <v>44655</v>
      </c>
      <c r="BI20" s="11">
        <v>1.243752</v>
      </c>
      <c r="BJ20" s="11">
        <v>1.0003403467691501</v>
      </c>
      <c r="BK20" s="11">
        <v>0.99997737838414902</v>
      </c>
      <c r="BL20" s="70"/>
      <c r="BM20" s="6" t="str">
        <f t="shared" si="31"/>
        <v>21M</v>
      </c>
      <c r="BN20" s="6" t="str">
        <f t="shared" si="4"/>
        <v>GBP21M</v>
      </c>
      <c r="BO20" s="9">
        <f t="shared" si="4"/>
        <v>44655</v>
      </c>
      <c r="BP20" s="11">
        <f t="shared" si="4"/>
        <v>1.243752</v>
      </c>
      <c r="BQ20" s="71">
        <f t="shared" si="32"/>
        <v>0.99997737838414902</v>
      </c>
      <c r="BR20" s="71">
        <f t="shared" si="33"/>
        <v>1.0029222355616823</v>
      </c>
      <c r="BS20" s="81">
        <f t="shared" si="34"/>
        <v>1.7805555555555554</v>
      </c>
      <c r="BT20" s="71">
        <f t="shared" si="35"/>
        <v>1.0003437383264677</v>
      </c>
      <c r="BU20" s="82">
        <f t="shared" si="46"/>
        <v>-1.9299936747529944E-4</v>
      </c>
      <c r="BV20" s="83">
        <f t="shared" si="36"/>
        <v>-14.44458357445777</v>
      </c>
      <c r="BW20" s="70"/>
      <c r="BX20" s="9">
        <f t="shared" si="5"/>
        <v>44655</v>
      </c>
      <c r="BY20" s="16">
        <f t="shared" si="6"/>
        <v>1.7805555555555554</v>
      </c>
      <c r="BZ20" s="24">
        <f>BR20</f>
        <v>1.0029222355616823</v>
      </c>
      <c r="CA20" s="11">
        <f t="shared" si="47"/>
        <v>-1.6374577249210764E-3</v>
      </c>
      <c r="CB20" s="20">
        <f t="shared" si="8"/>
        <v>1.0003403467691501</v>
      </c>
      <c r="CC20" s="11">
        <f t="shared" si="48"/>
        <v>-1.9109560966812378E-4</v>
      </c>
      <c r="CD20" s="150">
        <f t="shared" si="49"/>
        <v>-14.463621152529527</v>
      </c>
    </row>
    <row r="21" spans="1:84" x14ac:dyDescent="0.25">
      <c r="A21" s="38">
        <v>45749</v>
      </c>
      <c r="B21" s="22">
        <v>2.4657534246630399E-5</v>
      </c>
      <c r="C21" s="22">
        <v>5.0239053364431398E-4</v>
      </c>
      <c r="D21" s="22">
        <v>1.0000840390461001</v>
      </c>
      <c r="E21" s="22">
        <v>1.38975680001585E-3</v>
      </c>
      <c r="F21" s="32">
        <v>0.99628059567013705</v>
      </c>
      <c r="G21" s="22">
        <f t="shared" si="0"/>
        <v>4.8194444444444446</v>
      </c>
      <c r="H21" s="22">
        <f t="shared" si="9"/>
        <v>-1.4329785186854808E-3</v>
      </c>
      <c r="I21" s="22">
        <f t="shared" si="10"/>
        <v>1.0069350501378644</v>
      </c>
      <c r="J21" s="32">
        <f t="shared" si="1"/>
        <v>1.2533619154110307</v>
      </c>
      <c r="K21" s="22" t="s">
        <v>448</v>
      </c>
      <c r="L21" s="40">
        <f t="shared" si="11"/>
        <v>-3.25</v>
      </c>
      <c r="M21" s="96">
        <v>45749</v>
      </c>
      <c r="N21" s="99">
        <f t="shared" si="37"/>
        <v>45659</v>
      </c>
      <c r="O21" s="38">
        <f t="shared" si="38"/>
        <v>45749</v>
      </c>
      <c r="P21" s="88">
        <f t="shared" si="39"/>
        <v>90</v>
      </c>
      <c r="Q21" s="47">
        <v>10000000</v>
      </c>
      <c r="R21" s="107">
        <f t="shared" si="12"/>
        <v>2.0095621345772559E-3</v>
      </c>
      <c r="S21" s="47">
        <f t="shared" si="40"/>
        <v>5023.9053364431402</v>
      </c>
      <c r="T21" s="47">
        <f t="shared" si="41"/>
        <v>246.57534246630399</v>
      </c>
      <c r="V21" s="61">
        <f t="shared" si="13"/>
        <v>-12521658.982366366</v>
      </c>
      <c r="W21" s="47">
        <f t="shared" si="14"/>
        <v>-12533619.154110307</v>
      </c>
      <c r="X21" s="107">
        <f t="shared" si="15"/>
        <v>5.5590272000633992E-3</v>
      </c>
      <c r="Y21" s="47">
        <f t="shared" si="16"/>
        <v>-17402.060718223205</v>
      </c>
      <c r="Z21" s="47">
        <f t="shared" si="17"/>
        <v>11960.171743940562</v>
      </c>
      <c r="AC21" s="122">
        <f t="shared" si="42"/>
        <v>4.8194444444444446</v>
      </c>
      <c r="AD21" s="113">
        <f>BBG_GBP!V21/100</f>
        <v>2.0891E-3</v>
      </c>
      <c r="AE21" s="113">
        <f>BBG_EUR!J21/100</f>
        <v>5.7088000000000009E-3</v>
      </c>
      <c r="AF21" s="116">
        <f>BBG_GBP!X21</f>
        <v>1.007306</v>
      </c>
      <c r="AG21" s="116">
        <f>BBG_EUR!L21</f>
        <v>0.996757</v>
      </c>
      <c r="AH21" s="112">
        <f t="shared" si="43"/>
        <v>-1.5092913237120253E-3</v>
      </c>
      <c r="AI21" s="112">
        <f t="shared" si="43"/>
        <v>6.7421979017212585E-4</v>
      </c>
      <c r="AJ21" s="112">
        <f t="shared" si="44"/>
        <v>-1.4329785186854016E-3</v>
      </c>
      <c r="AK21" s="112">
        <f t="shared" si="45"/>
        <v>7.7348738193361299E-4</v>
      </c>
      <c r="AL21" s="143">
        <f t="shared" si="18"/>
        <v>1.2533619154110307</v>
      </c>
      <c r="AM21" s="143">
        <f>BBG_GBP!AA21</f>
        <v>1.253196065</v>
      </c>
      <c r="AN21" s="151">
        <f t="shared" si="19"/>
        <v>0.99986767556202927</v>
      </c>
      <c r="AO21" s="147"/>
      <c r="AR21" s="2"/>
      <c r="AS21" s="45"/>
      <c r="AT21" s="45"/>
      <c r="AU21" s="18"/>
      <c r="AV21" s="5"/>
      <c r="AW21" s="5"/>
      <c r="AX21" s="84"/>
      <c r="BF21" s="3" t="s">
        <v>23</v>
      </c>
      <c r="BG21" s="3" t="s">
        <v>445</v>
      </c>
      <c r="BH21" s="2">
        <v>44747</v>
      </c>
      <c r="BI21" s="5">
        <v>-3.5E-4</v>
      </c>
      <c r="BJ21" s="5">
        <v>1.0004968565630601</v>
      </c>
      <c r="BK21" s="5">
        <v>1.00006107688192</v>
      </c>
      <c r="BS21" s="14"/>
      <c r="BX21" s="2">
        <f t="shared" si="5"/>
        <v>44747</v>
      </c>
      <c r="BY21" s="14">
        <f t="shared" si="6"/>
        <v>2.036111111111111</v>
      </c>
      <c r="BZ21" s="18"/>
      <c r="CA21" s="5">
        <v>-1.6832590370996188E-3</v>
      </c>
      <c r="CB21" s="13">
        <f t="shared" si="8"/>
        <v>1.0004968565630601</v>
      </c>
      <c r="CC21" s="5">
        <f t="shared" si="48"/>
        <v>-2.4393196470728906E-4</v>
      </c>
      <c r="CD21" s="149">
        <f t="shared" si="49"/>
        <v>-14.393270723923298</v>
      </c>
      <c r="CF21" s="29"/>
    </row>
    <row r="22" spans="1:84" x14ac:dyDescent="0.25">
      <c r="A22" s="39">
        <v>45840</v>
      </c>
      <c r="B22" s="11">
        <v>2.4931506849234999E-5</v>
      </c>
      <c r="C22" s="11">
        <v>5.1331747427751896E-4</v>
      </c>
      <c r="D22" s="11">
        <v>0.99984311052183095</v>
      </c>
      <c r="E22" s="11">
        <v>1.4052093866283499E-3</v>
      </c>
      <c r="F22" s="33">
        <v>0.99549119020310095</v>
      </c>
      <c r="G22" s="11">
        <f t="shared" si="0"/>
        <v>5.072222222222222</v>
      </c>
      <c r="H22" s="11">
        <f t="shared" si="9"/>
        <v>-1.3914931819148336E-3</v>
      </c>
      <c r="I22" s="11">
        <f t="shared" si="10"/>
        <v>1.0070878786988766</v>
      </c>
      <c r="J22" s="33">
        <f t="shared" si="1"/>
        <v>1.254546188519938</v>
      </c>
      <c r="K22" s="11" t="s">
        <v>448</v>
      </c>
      <c r="L22" s="41">
        <f t="shared" si="11"/>
        <v>-3.25</v>
      </c>
      <c r="M22" s="95">
        <v>45840</v>
      </c>
      <c r="N22" s="9">
        <f t="shared" si="37"/>
        <v>45749</v>
      </c>
      <c r="O22" s="39">
        <f t="shared" si="38"/>
        <v>45840</v>
      </c>
      <c r="P22" s="87">
        <f t="shared" si="39"/>
        <v>91</v>
      </c>
      <c r="Q22" s="46">
        <v>10000000</v>
      </c>
      <c r="R22" s="106">
        <f t="shared" si="12"/>
        <v>2.0307064916473276E-3</v>
      </c>
      <c r="S22" s="46">
        <f t="shared" si="40"/>
        <v>5133.1747427751898</v>
      </c>
      <c r="T22" s="46">
        <f t="shared" si="41"/>
        <v>249.31506849234998</v>
      </c>
      <c r="U22" s="50">
        <f>Q22</f>
        <v>10000000</v>
      </c>
      <c r="V22" s="62">
        <f t="shared" si="13"/>
        <v>-12533619.154110307</v>
      </c>
      <c r="W22" s="46">
        <f t="shared" si="14"/>
        <v>-12545461.885199381</v>
      </c>
      <c r="X22" s="106">
        <f t="shared" si="15"/>
        <v>5.5590701009473184E-3</v>
      </c>
      <c r="Y22" s="46">
        <f t="shared" si="16"/>
        <v>-17612.359283780683</v>
      </c>
      <c r="Z22" s="46">
        <f t="shared" si="17"/>
        <v>11842.731089074165</v>
      </c>
      <c r="AA22" s="50">
        <f>W22</f>
        <v>-12545461.885199381</v>
      </c>
      <c r="AC22" s="122">
        <f t="shared" si="42"/>
        <v>5.072222222222222</v>
      </c>
      <c r="AD22" s="113">
        <f>BBG_GBP!V22/100</f>
        <v>2.1944E-3</v>
      </c>
      <c r="AE22" s="113">
        <f>BBG_EUR!J22/100</f>
        <v>5.9925999999999998E-3</v>
      </c>
      <c r="AF22" s="116">
        <f>BBG_GBP!X22</f>
        <v>1.007447</v>
      </c>
      <c r="AG22" s="116">
        <f>BBG_EUR!L22</f>
        <v>0.99583999999999995</v>
      </c>
      <c r="AH22" s="112">
        <f t="shared" si="43"/>
        <v>-1.4616836438764436E-3</v>
      </c>
      <c r="AI22" s="112">
        <f t="shared" si="43"/>
        <v>8.222018282395549E-4</v>
      </c>
      <c r="AJ22" s="112">
        <f t="shared" si="44"/>
        <v>-1.3914931819147824E-3</v>
      </c>
      <c r="AK22" s="112">
        <f t="shared" si="45"/>
        <v>8.9132900734467668E-4</v>
      </c>
      <c r="AL22" s="143">
        <f t="shared" si="18"/>
        <v>1.254546188519938</v>
      </c>
      <c r="AM22" s="143">
        <f>BBG_GBP!AA22</f>
        <v>1.254524097</v>
      </c>
      <c r="AN22" s="151">
        <f t="shared" si="19"/>
        <v>0.99998239082774298</v>
      </c>
      <c r="AO22" s="147"/>
      <c r="AR22" s="2"/>
      <c r="AS22" s="45"/>
      <c r="AT22" s="45"/>
      <c r="AU22" s="18"/>
      <c r="AV22" s="5"/>
      <c r="AW22" s="5"/>
      <c r="AX22" s="84"/>
      <c r="BF22" s="3" t="s">
        <v>24</v>
      </c>
      <c r="BG22" s="3" t="s">
        <v>446</v>
      </c>
      <c r="BH22" s="2">
        <v>45110</v>
      </c>
      <c r="BI22" s="5">
        <v>-3.2499999999999999E-4</v>
      </c>
      <c r="BJ22" s="5">
        <v>1.0009830490506499</v>
      </c>
      <c r="BK22" s="5">
        <v>0.999999999999999</v>
      </c>
      <c r="BS22" s="14"/>
      <c r="BX22" s="2">
        <f t="shared" si="5"/>
        <v>45110</v>
      </c>
      <c r="BY22" s="14">
        <f t="shared" si="6"/>
        <v>3.0444444444444443</v>
      </c>
      <c r="BZ22" s="18"/>
      <c r="CA22" s="5">
        <v>-1.706534164261958E-3</v>
      </c>
      <c r="CB22" s="13">
        <f t="shared" si="8"/>
        <v>1.0009830490506499</v>
      </c>
      <c r="CC22" s="5">
        <f t="shared" si="48"/>
        <v>-3.2268863902629175E-4</v>
      </c>
      <c r="CD22" s="149">
        <f t="shared" si="49"/>
        <v>-13.838455252356663</v>
      </c>
      <c r="CF22" s="29"/>
    </row>
    <row r="23" spans="1:84" x14ac:dyDescent="0.25">
      <c r="A23" s="38">
        <v>45932</v>
      </c>
      <c r="B23" s="22">
        <v>2.5205479452061701E-5</v>
      </c>
      <c r="C23" s="22">
        <v>7.5938522260132703E-4</v>
      </c>
      <c r="D23" s="22">
        <v>0.99953278349232</v>
      </c>
      <c r="E23" s="22">
        <v>1.9152928592265301E-3</v>
      </c>
      <c r="F23" s="32">
        <v>0.99416174569617399</v>
      </c>
      <c r="G23" s="22">
        <f t="shared" si="0"/>
        <v>5.3277777777777775</v>
      </c>
      <c r="H23" s="22">
        <f t="shared" si="9"/>
        <v>-1.3165946976076356E-3</v>
      </c>
      <c r="I23" s="22">
        <f t="shared" si="10"/>
        <v>1.0070438376131203</v>
      </c>
      <c r="J23" s="32">
        <f t="shared" si="1"/>
        <v>1.2561688964902975</v>
      </c>
      <c r="K23" s="22" t="s">
        <v>449</v>
      </c>
      <c r="L23" s="40">
        <f t="shared" si="11"/>
        <v>-3.25</v>
      </c>
      <c r="M23" s="96">
        <v>45932</v>
      </c>
      <c r="N23" s="99">
        <f t="shared" si="37"/>
        <v>45840</v>
      </c>
      <c r="O23" s="38">
        <f t="shared" si="38"/>
        <v>45932</v>
      </c>
      <c r="P23" s="88">
        <f t="shared" si="39"/>
        <v>92</v>
      </c>
      <c r="Q23" s="47">
        <v>10000000</v>
      </c>
      <c r="R23" s="107">
        <f t="shared" si="12"/>
        <v>2.971507392787801E-3</v>
      </c>
      <c r="S23" s="47">
        <f t="shared" si="40"/>
        <v>7593.8522260132704</v>
      </c>
      <c r="T23" s="47">
        <f t="shared" si="41"/>
        <v>252.05479452061701</v>
      </c>
      <c r="V23" s="61">
        <f t="shared" si="13"/>
        <v>-12545461.885199381</v>
      </c>
      <c r="W23" s="47">
        <f t="shared" si="14"/>
        <v>-12561688.964902975</v>
      </c>
      <c r="X23" s="107">
        <f t="shared" si="15"/>
        <v>7.4946242317559869E-3</v>
      </c>
      <c r="Y23" s="47">
        <f t="shared" si="16"/>
        <v>-24028.233564420978</v>
      </c>
      <c r="Z23" s="47">
        <f t="shared" si="17"/>
        <v>16227.079703593627</v>
      </c>
      <c r="AC23" s="122">
        <f t="shared" si="42"/>
        <v>5.3277777777777775</v>
      </c>
      <c r="AD23" s="113">
        <f>BBG_GBP!V23/100</f>
        <v>2.8010000000000001E-3</v>
      </c>
      <c r="AE23" s="113">
        <f>BBG_EUR!J23/100</f>
        <v>6.9771000000000008E-3</v>
      </c>
      <c r="AF23" s="116">
        <f>BBG_GBP!X23</f>
        <v>1.007539</v>
      </c>
      <c r="AG23" s="116">
        <f>BBG_EUR!L23</f>
        <v>0.99479099999999998</v>
      </c>
      <c r="AH23" s="112">
        <f t="shared" si="43"/>
        <v>-1.4087359727847915E-3</v>
      </c>
      <c r="AI23" s="112">
        <f t="shared" si="43"/>
        <v>9.8074186952845643E-4</v>
      </c>
      <c r="AJ23" s="112">
        <f t="shared" si="44"/>
        <v>-1.3165946976075871E-3</v>
      </c>
      <c r="AK23" s="112">
        <f t="shared" si="45"/>
        <v>1.0996296308332099E-3</v>
      </c>
      <c r="AL23" s="143">
        <f t="shared" si="18"/>
        <v>1.2561688964902975</v>
      </c>
      <c r="AM23" s="143">
        <f>BBG_GBP!AA23</f>
        <v>1.2559587650000001</v>
      </c>
      <c r="AN23" s="151">
        <f t="shared" si="19"/>
        <v>0.99983272035242676</v>
      </c>
      <c r="AO23" s="147"/>
      <c r="AR23" s="2"/>
      <c r="AS23" s="45"/>
      <c r="AT23" s="45"/>
      <c r="AU23" s="18"/>
      <c r="AV23" s="5"/>
      <c r="AW23" s="5"/>
      <c r="AX23" s="84"/>
      <c r="BF23" s="3" t="s">
        <v>25</v>
      </c>
      <c r="BG23" s="3" t="s">
        <v>447</v>
      </c>
      <c r="BH23" s="2">
        <v>45475</v>
      </c>
      <c r="BI23" s="5">
        <v>-3.2499999999999999E-4</v>
      </c>
      <c r="BJ23" s="5">
        <v>1.00080534585595</v>
      </c>
      <c r="BK23" s="5">
        <v>0.99866126888097295</v>
      </c>
      <c r="BS23" s="14"/>
      <c r="BX23" s="2">
        <f t="shared" si="5"/>
        <v>45475</v>
      </c>
      <c r="BY23" s="14">
        <f t="shared" si="6"/>
        <v>4.0583333333333336</v>
      </c>
      <c r="BZ23" s="18"/>
      <c r="CA23" s="5">
        <v>-1.5578904118190775E-3</v>
      </c>
      <c r="CB23" s="13">
        <f t="shared" si="8"/>
        <v>1.00080534585595</v>
      </c>
      <c r="CC23" s="5">
        <f t="shared" si="48"/>
        <v>-1.9834297358678477E-4</v>
      </c>
      <c r="CD23" s="149">
        <f t="shared" si="49"/>
        <v>-13.595474382322926</v>
      </c>
      <c r="CF23" s="29"/>
    </row>
    <row r="24" spans="1:84" x14ac:dyDescent="0.25">
      <c r="A24" s="38">
        <v>46024</v>
      </c>
      <c r="B24" s="22">
        <v>2.5205479452061701E-5</v>
      </c>
      <c r="C24" s="22">
        <v>7.5938522260132703E-4</v>
      </c>
      <c r="D24" s="22">
        <v>0.99922255278078598</v>
      </c>
      <c r="E24" s="22">
        <v>1.9152928592265301E-3</v>
      </c>
      <c r="F24" s="32">
        <v>0.99283407661701095</v>
      </c>
      <c r="G24" s="22">
        <f t="shared" si="0"/>
        <v>5.583333333333333</v>
      </c>
      <c r="H24" s="22">
        <f t="shared" si="9"/>
        <v>-1.2416962133004377E-3</v>
      </c>
      <c r="I24" s="22">
        <f t="shared" si="10"/>
        <v>1.006961229137384</v>
      </c>
      <c r="J24" s="32">
        <f t="shared" si="1"/>
        <v>1.257745528344685</v>
      </c>
      <c r="K24" s="22" t="s">
        <v>449</v>
      </c>
      <c r="L24" s="40">
        <f t="shared" si="11"/>
        <v>-3.25</v>
      </c>
      <c r="M24" s="96">
        <v>46024</v>
      </c>
      <c r="N24" s="99">
        <f t="shared" si="37"/>
        <v>45932</v>
      </c>
      <c r="O24" s="38">
        <f t="shared" si="38"/>
        <v>46024</v>
      </c>
      <c r="P24" s="88">
        <f t="shared" si="39"/>
        <v>92</v>
      </c>
      <c r="Q24" s="47">
        <v>10000000</v>
      </c>
      <c r="R24" s="107">
        <f t="shared" si="12"/>
        <v>2.971507392787801E-3</v>
      </c>
      <c r="S24" s="47">
        <f t="shared" si="40"/>
        <v>7593.8522260132704</v>
      </c>
      <c r="T24" s="47">
        <f t="shared" si="41"/>
        <v>252.05479452061701</v>
      </c>
      <c r="V24" s="61">
        <f t="shared" si="13"/>
        <v>-12561688.964902975</v>
      </c>
      <c r="W24" s="47">
        <f t="shared" si="14"/>
        <v>-12577455.28344685</v>
      </c>
      <c r="X24" s="107">
        <f t="shared" si="15"/>
        <v>7.4946242317559869E-3</v>
      </c>
      <c r="Y24" s="47">
        <f t="shared" si="16"/>
        <v>-24059.31317430337</v>
      </c>
      <c r="Z24" s="47">
        <f t="shared" si="17"/>
        <v>15766.31854387559</v>
      </c>
      <c r="AC24" s="122">
        <f t="shared" si="42"/>
        <v>5.583333333333333</v>
      </c>
      <c r="AD24" s="113">
        <f>BBG_GBP!V24/100</f>
        <v>2.9459E-3</v>
      </c>
      <c r="AE24" s="113">
        <f>BBG_EUR!J24/100</f>
        <v>7.3273999999999995E-3</v>
      </c>
      <c r="AF24" s="116">
        <f>BBG_GBP!X24</f>
        <v>1.007606</v>
      </c>
      <c r="AG24" s="116">
        <f>BBG_EUR!L24</f>
        <v>0.99366200000000005</v>
      </c>
      <c r="AH24" s="112">
        <f t="shared" si="43"/>
        <v>-1.3561936068468006E-3</v>
      </c>
      <c r="AI24" s="112">
        <f t="shared" si="43"/>
        <v>1.1394254394352377E-3</v>
      </c>
      <c r="AJ24" s="112">
        <f t="shared" si="44"/>
        <v>-1.2416962133003917E-3</v>
      </c>
      <c r="AK24" s="112">
        <f t="shared" si="45"/>
        <v>1.2888995178421681E-3</v>
      </c>
      <c r="AL24" s="143">
        <f t="shared" si="18"/>
        <v>1.257745528344685</v>
      </c>
      <c r="AM24" s="143">
        <f>BBG_GBP!AA24</f>
        <v>1.2574514699999999</v>
      </c>
      <c r="AN24" s="151">
        <f t="shared" si="19"/>
        <v>0.99976620203526212</v>
      </c>
      <c r="AO24" s="147"/>
      <c r="AR24" s="2"/>
      <c r="AS24" s="45"/>
      <c r="AT24" s="45"/>
      <c r="AU24" s="18"/>
      <c r="AV24" s="5"/>
      <c r="AW24" s="5"/>
      <c r="AX24" s="84"/>
      <c r="BF24" s="3" t="s">
        <v>26</v>
      </c>
      <c r="BG24" s="3" t="s">
        <v>448</v>
      </c>
      <c r="BH24" s="2">
        <v>45840</v>
      </c>
      <c r="BI24" s="5">
        <v>-3.2499999999999999E-4</v>
      </c>
      <c r="BJ24" s="5">
        <v>0.99984311052183095</v>
      </c>
      <c r="BK24" s="5">
        <v>0.99549119020310095</v>
      </c>
      <c r="BS24" s="14"/>
      <c r="BX24" s="2">
        <f t="shared" ref="BX24:BX36" si="57">BH24</f>
        <v>45840</v>
      </c>
      <c r="BY24" s="14">
        <f t="shared" si="6"/>
        <v>5.072222222222222</v>
      </c>
      <c r="BZ24" s="18"/>
      <c r="CA24" s="5">
        <v>-1.3914931819148336E-3</v>
      </c>
      <c r="CB24" s="13">
        <f t="shared" ref="CB24:CB36" si="58">BJ24</f>
        <v>0.99984311052183095</v>
      </c>
      <c r="CC24" s="5">
        <f t="shared" ref="CC24:CC36" si="59">CB24^(-1/BY24)-1</f>
        <v>3.0934017975825512E-5</v>
      </c>
      <c r="CD24" s="149">
        <f t="shared" ref="CD24:CD36" si="60">(CA24-CC24)*10000</f>
        <v>-14.224271998906591</v>
      </c>
      <c r="CF24" s="29"/>
    </row>
    <row r="25" spans="1:84" x14ac:dyDescent="0.25">
      <c r="A25" s="38">
        <v>46114</v>
      </c>
      <c r="B25" s="22">
        <v>2.4657534246630399E-5</v>
      </c>
      <c r="C25" s="22">
        <v>7.4287071793777105E-4</v>
      </c>
      <c r="D25" s="22">
        <v>0.99891915938636999</v>
      </c>
      <c r="E25" s="22">
        <v>1.8736170768363001E-3</v>
      </c>
      <c r="F25" s="32">
        <v>0.99153698558437897</v>
      </c>
      <c r="G25" s="22">
        <f t="shared" si="0"/>
        <v>5.833333333333333</v>
      </c>
      <c r="H25" s="22">
        <f t="shared" si="9"/>
        <v>-1.1684259569129617E-3</v>
      </c>
      <c r="I25" s="22">
        <f t="shared" si="10"/>
        <v>1.006843110887556</v>
      </c>
      <c r="J25" s="32">
        <f t="shared" si="1"/>
        <v>1.2592431346126569</v>
      </c>
      <c r="K25" s="22" t="s">
        <v>449</v>
      </c>
      <c r="L25" s="40">
        <f t="shared" si="11"/>
        <v>-3.25</v>
      </c>
      <c r="M25" s="96">
        <v>46114</v>
      </c>
      <c r="N25" s="99">
        <f t="shared" si="37"/>
        <v>46024</v>
      </c>
      <c r="O25" s="38">
        <f t="shared" si="38"/>
        <v>46114</v>
      </c>
      <c r="P25" s="88">
        <f t="shared" si="39"/>
        <v>90</v>
      </c>
      <c r="Q25" s="47">
        <v>10000000</v>
      </c>
      <c r="R25" s="107">
        <f t="shared" si="12"/>
        <v>2.9714828717510842E-3</v>
      </c>
      <c r="S25" s="47">
        <f t="shared" si="40"/>
        <v>7428.7071793777104</v>
      </c>
      <c r="T25" s="47">
        <f t="shared" si="41"/>
        <v>246.57534246630399</v>
      </c>
      <c r="V25" s="61">
        <f t="shared" si="13"/>
        <v>-12577455.28344685</v>
      </c>
      <c r="W25" s="47">
        <f t="shared" si="14"/>
        <v>-12592431.346126569</v>
      </c>
      <c r="X25" s="107">
        <f t="shared" si="15"/>
        <v>7.4944683073451994E-3</v>
      </c>
      <c r="Y25" s="47">
        <f t="shared" si="16"/>
        <v>-23565.335002210966</v>
      </c>
      <c r="Z25" s="47">
        <f t="shared" si="17"/>
        <v>14976.06267971918</v>
      </c>
      <c r="AC25" s="122">
        <f t="shared" si="42"/>
        <v>5.833333333333333</v>
      </c>
      <c r="AD25" s="113">
        <f>BBG_GBP!V25/100</f>
        <v>3.0888999999999999E-3</v>
      </c>
      <c r="AE25" s="113">
        <f>BBG_EUR!J25/100</f>
        <v>7.6717999999999995E-3</v>
      </c>
      <c r="AF25" s="116">
        <f>BBG_GBP!X25</f>
        <v>1.0076449999999999</v>
      </c>
      <c r="AG25" s="116">
        <f>BBG_EUR!L25</f>
        <v>0.992483</v>
      </c>
      <c r="AH25" s="112">
        <f t="shared" si="43"/>
        <v>-1.3047352482171704E-3</v>
      </c>
      <c r="AI25" s="112">
        <f t="shared" si="43"/>
        <v>1.2943332181645228E-3</v>
      </c>
      <c r="AJ25" s="112">
        <f t="shared" si="44"/>
        <v>-1.1684259569129107E-3</v>
      </c>
      <c r="AK25" s="112">
        <f t="shared" si="45"/>
        <v>1.4580383162574595E-3</v>
      </c>
      <c r="AL25" s="143">
        <f t="shared" si="18"/>
        <v>1.2592431346126569</v>
      </c>
      <c r="AM25" s="143">
        <f>BBG_GBP!AA25</f>
        <v>1.2590108390000001</v>
      </c>
      <c r="AN25" s="151">
        <f t="shared" si="19"/>
        <v>0.99981552759251036</v>
      </c>
      <c r="AO25" s="147"/>
      <c r="AR25" s="2"/>
      <c r="AS25" s="45"/>
      <c r="AT25" s="45"/>
      <c r="AU25" s="18"/>
      <c r="AV25" s="5"/>
      <c r="AW25" s="5"/>
      <c r="AX25" s="84"/>
      <c r="BF25" s="3" t="s">
        <v>27</v>
      </c>
      <c r="BG25" s="3" t="s">
        <v>449</v>
      </c>
      <c r="BH25" s="2">
        <v>46205</v>
      </c>
      <c r="BI25" s="5">
        <v>-3.2499999999999999E-4</v>
      </c>
      <c r="BJ25" s="5">
        <v>0.99861029227304898</v>
      </c>
      <c r="BK25" s="5">
        <v>0.99022720535700504</v>
      </c>
      <c r="BS25" s="14"/>
      <c r="BX25" s="2">
        <f t="shared" si="57"/>
        <v>46205</v>
      </c>
      <c r="BY25" s="14">
        <f t="shared" si="6"/>
        <v>6.0861111111111112</v>
      </c>
      <c r="BZ25" s="18"/>
      <c r="CA25" s="5">
        <v>-1.0943415865656246E-3</v>
      </c>
      <c r="CB25" s="13">
        <f t="shared" si="58"/>
        <v>0.99861029227304898</v>
      </c>
      <c r="CC25" s="5">
        <f t="shared" si="59"/>
        <v>2.2852575927578833E-4</v>
      </c>
      <c r="CD25" s="149">
        <f t="shared" si="60"/>
        <v>-13.228673458414129</v>
      </c>
      <c r="CF25" s="29"/>
    </row>
    <row r="26" spans="1:84" x14ac:dyDescent="0.25">
      <c r="A26" s="39">
        <v>46205</v>
      </c>
      <c r="B26" s="11">
        <v>2.4931506849234999E-5</v>
      </c>
      <c r="C26" s="11">
        <v>7.5278175865123298E-4</v>
      </c>
      <c r="D26" s="11">
        <v>0.99861029227304898</v>
      </c>
      <c r="E26" s="11">
        <v>1.89445475133309E-3</v>
      </c>
      <c r="F26" s="33">
        <v>0.99022720535700504</v>
      </c>
      <c r="G26" s="11">
        <f t="shared" si="0"/>
        <v>6.0861111111111112</v>
      </c>
      <c r="H26" s="11">
        <f t="shared" si="9"/>
        <v>-1.0943415865656246E-3</v>
      </c>
      <c r="I26" s="11">
        <f t="shared" si="10"/>
        <v>1.006686184858941</v>
      </c>
      <c r="J26" s="33">
        <f t="shared" si="1"/>
        <v>1.2607122194683513</v>
      </c>
      <c r="K26" s="11" t="s">
        <v>449</v>
      </c>
      <c r="L26" s="41">
        <f t="shared" si="11"/>
        <v>-3.25</v>
      </c>
      <c r="M26" s="95">
        <v>46205</v>
      </c>
      <c r="N26" s="9">
        <f t="shared" si="37"/>
        <v>46114</v>
      </c>
      <c r="O26" s="39">
        <f t="shared" si="38"/>
        <v>46205</v>
      </c>
      <c r="P26" s="87">
        <f t="shared" si="39"/>
        <v>91</v>
      </c>
      <c r="Q26" s="46">
        <v>10000000</v>
      </c>
      <c r="R26" s="106">
        <f t="shared" si="12"/>
        <v>2.9780377265323501E-3</v>
      </c>
      <c r="S26" s="46">
        <f t="shared" si="40"/>
        <v>7527.8175865123294</v>
      </c>
      <c r="T26" s="46">
        <f t="shared" si="41"/>
        <v>249.31506849234998</v>
      </c>
      <c r="U26" s="50">
        <f>Q26</f>
        <v>10000000</v>
      </c>
      <c r="V26" s="62">
        <f t="shared" si="13"/>
        <v>-12592431.346126569</v>
      </c>
      <c r="W26" s="46">
        <f t="shared" si="14"/>
        <v>-12607122.194683513</v>
      </c>
      <c r="X26" s="106">
        <f t="shared" si="15"/>
        <v>7.4945462690100264E-3</v>
      </c>
      <c r="Y26" s="46">
        <f t="shared" si="16"/>
        <v>-23855.791394505217</v>
      </c>
      <c r="Z26" s="46">
        <f t="shared" si="17"/>
        <v>14690.848556943238</v>
      </c>
      <c r="AA26" s="50">
        <f>W26</f>
        <v>-12607122.194683513</v>
      </c>
      <c r="AC26" s="122">
        <f t="shared" si="42"/>
        <v>6.0861111111111112</v>
      </c>
      <c r="AD26" s="113">
        <f>BBG_GBP!V26/100</f>
        <v>3.2257000000000002E-3</v>
      </c>
      <c r="AE26" s="113">
        <f>BBG_EUR!J26/100</f>
        <v>8.0125999999999999E-3</v>
      </c>
      <c r="AF26" s="116">
        <f>BBG_GBP!X26</f>
        <v>1.0076590000000001</v>
      </c>
      <c r="AG26" s="116">
        <f>BBG_EUR!L26</f>
        <v>0.99121400000000004</v>
      </c>
      <c r="AH26" s="112">
        <f t="shared" si="43"/>
        <v>-1.2528588590176026E-3</v>
      </c>
      <c r="AI26" s="112">
        <f t="shared" si="43"/>
        <v>1.4510457296261769E-3</v>
      </c>
      <c r="AJ26" s="112">
        <f t="shared" si="44"/>
        <v>-1.0943415865656281E-3</v>
      </c>
      <c r="AK26" s="112">
        <f t="shared" si="45"/>
        <v>1.614954053942963E-3</v>
      </c>
      <c r="AL26" s="143">
        <f t="shared" si="18"/>
        <v>1.2607122194683513</v>
      </c>
      <c r="AM26" s="143">
        <f>BBG_GBP!AA26</f>
        <v>1.2606367470000002</v>
      </c>
      <c r="AN26" s="151">
        <f t="shared" si="19"/>
        <v>0.99994013505446711</v>
      </c>
      <c r="AO26" s="147"/>
      <c r="AR26" s="2"/>
      <c r="AS26" s="45"/>
      <c r="AT26" s="45"/>
      <c r="AU26" s="18"/>
      <c r="AV26" s="5"/>
      <c r="AW26" s="5"/>
      <c r="AX26" s="84"/>
      <c r="BF26" s="3" t="s">
        <v>28</v>
      </c>
      <c r="BG26" s="3" t="s">
        <v>450</v>
      </c>
      <c r="BH26" s="2">
        <v>46570</v>
      </c>
      <c r="BI26" s="5">
        <v>-3.1250000000000001E-4</v>
      </c>
      <c r="BJ26" s="5">
        <v>0.99697612736734098</v>
      </c>
      <c r="BK26" s="5">
        <v>0.98381533746739303</v>
      </c>
      <c r="BS26" s="14"/>
      <c r="BX26" s="2">
        <f t="shared" si="57"/>
        <v>46570</v>
      </c>
      <c r="BY26" s="14">
        <f t="shared" si="6"/>
        <v>7.1</v>
      </c>
      <c r="BZ26" s="18"/>
      <c r="CA26" s="5">
        <v>-8.3641244285613818E-4</v>
      </c>
      <c r="CB26" s="13">
        <f t="shared" si="58"/>
        <v>0.99697612736734098</v>
      </c>
      <c r="CC26" s="5">
        <f t="shared" si="59"/>
        <v>4.2663376724294544E-4</v>
      </c>
      <c r="CD26" s="149">
        <f t="shared" si="60"/>
        <v>-12.630462100990837</v>
      </c>
      <c r="CF26" s="29"/>
    </row>
    <row r="27" spans="1:84" x14ac:dyDescent="0.25">
      <c r="A27" s="38">
        <v>46297</v>
      </c>
      <c r="B27" s="22">
        <v>2.5205479452061701E-5</v>
      </c>
      <c r="C27" s="22">
        <v>8.3546451170701797E-4</v>
      </c>
      <c r="D27" s="22">
        <v>0.99819935276036897</v>
      </c>
      <c r="E27" s="22">
        <v>2.2336498231729702E-3</v>
      </c>
      <c r="F27" s="32">
        <v>0.98860713494963304</v>
      </c>
      <c r="G27" s="22">
        <f t="shared" si="0"/>
        <v>6.3416666666666668</v>
      </c>
      <c r="H27" s="22">
        <f t="shared" si="9"/>
        <v>-1.029329309247069E-3</v>
      </c>
      <c r="I27" s="22">
        <f t="shared" si="10"/>
        <v>1.0065523988848508</v>
      </c>
      <c r="J27" s="32">
        <f t="shared" si="1"/>
        <v>1.2626103795221923</v>
      </c>
      <c r="K27" s="22" t="s">
        <v>450</v>
      </c>
      <c r="L27" s="40">
        <f t="shared" si="11"/>
        <v>-3.125</v>
      </c>
      <c r="M27" s="96">
        <v>46297</v>
      </c>
      <c r="N27" s="99">
        <f t="shared" si="37"/>
        <v>46205</v>
      </c>
      <c r="O27" s="38">
        <f t="shared" si="38"/>
        <v>46297</v>
      </c>
      <c r="P27" s="88">
        <f t="shared" si="39"/>
        <v>92</v>
      </c>
      <c r="Q27" s="47">
        <v>10000000</v>
      </c>
      <c r="R27" s="107">
        <f t="shared" si="12"/>
        <v>3.2692089588535482E-3</v>
      </c>
      <c r="S27" s="47">
        <f t="shared" si="40"/>
        <v>8354.6451170701803</v>
      </c>
      <c r="T27" s="47">
        <f t="shared" si="41"/>
        <v>252.05479452061701</v>
      </c>
      <c r="V27" s="61">
        <f t="shared" si="13"/>
        <v>-12607122.194683513</v>
      </c>
      <c r="W27" s="47">
        <f t="shared" si="14"/>
        <v>-12626103.795221923</v>
      </c>
      <c r="X27" s="107">
        <f t="shared" si="15"/>
        <v>8.740368873285536E-3</v>
      </c>
      <c r="Y27" s="47">
        <f t="shared" si="16"/>
        <v>-28159.896260874855</v>
      </c>
      <c r="Z27" s="47">
        <f t="shared" si="17"/>
        <v>18981.600538410246</v>
      </c>
      <c r="AC27" s="122">
        <f t="shared" si="42"/>
        <v>6.3416666666666668</v>
      </c>
      <c r="AD27" s="113">
        <f>BBG_GBP!V27/100</f>
        <v>3.1327999999999998E-3</v>
      </c>
      <c r="AE27" s="113">
        <f>BBG_EUR!J27/100</f>
        <v>8.2462000000000004E-3</v>
      </c>
      <c r="AF27" s="116">
        <f>BBG_GBP!X27</f>
        <v>1.007622</v>
      </c>
      <c r="AG27" s="116">
        <f>BBG_EUR!L27</f>
        <v>0.98981699999999995</v>
      </c>
      <c r="AH27" s="112">
        <f t="shared" si="43"/>
        <v>-1.1966184585187056E-3</v>
      </c>
      <c r="AI27" s="112">
        <f t="shared" si="43"/>
        <v>1.6152639385933476E-3</v>
      </c>
      <c r="AJ27" s="112">
        <f t="shared" si="44"/>
        <v>-1.0293293092470401E-3</v>
      </c>
      <c r="AK27" s="112">
        <f t="shared" si="45"/>
        <v>1.8084549798325078E-3</v>
      </c>
      <c r="AL27" s="143">
        <f t="shared" si="18"/>
        <v>1.2626103795221923</v>
      </c>
      <c r="AM27" s="143">
        <f>BBG_GBP!AA27</f>
        <v>1.2623692419999999</v>
      </c>
      <c r="AN27" s="151">
        <f t="shared" si="19"/>
        <v>0.99980901667996447</v>
      </c>
      <c r="AO27" s="147"/>
      <c r="AR27" s="2"/>
      <c r="AS27" s="45"/>
      <c r="AT27" s="45"/>
      <c r="AU27" s="18"/>
      <c r="AV27" s="5"/>
      <c r="AW27" s="5"/>
      <c r="AX27" s="84"/>
      <c r="BF27" s="3" t="s">
        <v>29</v>
      </c>
      <c r="BG27" s="3" t="s">
        <v>451</v>
      </c>
      <c r="BH27" s="2">
        <v>46937</v>
      </c>
      <c r="BI27" s="5">
        <v>-3.1250000000000001E-4</v>
      </c>
      <c r="BJ27" s="5">
        <v>0.99445736453028299</v>
      </c>
      <c r="BK27" s="5">
        <v>0.97653648690217199</v>
      </c>
      <c r="BS27" s="14"/>
      <c r="BX27" s="2">
        <f t="shared" si="57"/>
        <v>46937</v>
      </c>
      <c r="BY27" s="14">
        <f t="shared" si="6"/>
        <v>8.1194444444444436</v>
      </c>
      <c r="BZ27" s="18"/>
      <c r="CA27" s="5">
        <v>-5.9351706438593723E-4</v>
      </c>
      <c r="CB27" s="13">
        <f t="shared" si="58"/>
        <v>0.99445736453028299</v>
      </c>
      <c r="CC27" s="5">
        <f t="shared" si="59"/>
        <v>6.8477045257053781E-4</v>
      </c>
      <c r="CD27" s="149">
        <f t="shared" si="60"/>
        <v>-12.782875169564749</v>
      </c>
      <c r="CF27" s="29"/>
    </row>
    <row r="28" spans="1:84" x14ac:dyDescent="0.25">
      <c r="A28" s="38">
        <v>46391</v>
      </c>
      <c r="B28" s="22">
        <v>2.5753424657493E-5</v>
      </c>
      <c r="C28" s="22">
        <v>8.5363453349063202E-4</v>
      </c>
      <c r="D28" s="22">
        <v>0.99777965444008798</v>
      </c>
      <c r="E28" s="22">
        <v>2.2822627969740698E-3</v>
      </c>
      <c r="F28" s="32">
        <v>0.98695458317578899</v>
      </c>
      <c r="G28" s="22">
        <f t="shared" si="0"/>
        <v>6.6027777777777779</v>
      </c>
      <c r="H28" s="22">
        <f t="shared" si="9"/>
        <v>-9.6290372155202319E-4</v>
      </c>
      <c r="I28" s="22">
        <f t="shared" si="10"/>
        <v>1.006381175756617</v>
      </c>
      <c r="J28" s="32">
        <f t="shared" si="1"/>
        <v>1.2645093475729814</v>
      </c>
      <c r="K28" s="22" t="s">
        <v>450</v>
      </c>
      <c r="L28" s="40">
        <f t="shared" si="11"/>
        <v>-3.125</v>
      </c>
      <c r="M28" s="96">
        <v>46391</v>
      </c>
      <c r="N28" s="99">
        <f t="shared" si="37"/>
        <v>46297</v>
      </c>
      <c r="O28" s="38">
        <f t="shared" si="38"/>
        <v>46391</v>
      </c>
      <c r="P28" s="88">
        <f t="shared" si="39"/>
        <v>94</v>
      </c>
      <c r="Q28" s="47">
        <v>10000000</v>
      </c>
      <c r="R28" s="107">
        <f t="shared" si="12"/>
        <v>3.2692386389002927E-3</v>
      </c>
      <c r="S28" s="47">
        <f t="shared" si="40"/>
        <v>8536.3453349063202</v>
      </c>
      <c r="T28" s="47">
        <f t="shared" si="41"/>
        <v>257.53424657493002</v>
      </c>
      <c r="V28" s="61">
        <f t="shared" si="13"/>
        <v>-12626103.795221923</v>
      </c>
      <c r="W28" s="47">
        <f t="shared" si="14"/>
        <v>-12645093.475729814</v>
      </c>
      <c r="X28" s="107">
        <f t="shared" si="15"/>
        <v>8.7405809245815445E-3</v>
      </c>
      <c r="Y28" s="47">
        <f t="shared" si="16"/>
        <v>-28816.086962568104</v>
      </c>
      <c r="Z28" s="47">
        <f t="shared" si="17"/>
        <v>18989.68050789088</v>
      </c>
      <c r="AC28" s="122">
        <f t="shared" si="42"/>
        <v>6.6027777777777779</v>
      </c>
      <c r="AD28" s="113">
        <f>BBG_GBP!V28/100</f>
        <v>3.2586999999999998E-3</v>
      </c>
      <c r="AE28" s="113">
        <f>BBG_EUR!J28/100</f>
        <v>8.5838000000000008E-3</v>
      </c>
      <c r="AF28" s="116">
        <f>BBG_GBP!X28</f>
        <v>1.0075529999999999</v>
      </c>
      <c r="AG28" s="116">
        <f>BBG_EUR!L28</f>
        <v>0.98830600000000002</v>
      </c>
      <c r="AH28" s="112">
        <f t="shared" si="43"/>
        <v>-1.1389650256988793E-3</v>
      </c>
      <c r="AI28" s="112">
        <f t="shared" si="43"/>
        <v>1.7830975204524702E-3</v>
      </c>
      <c r="AJ28" s="112">
        <f t="shared" si="44"/>
        <v>-9.629037215521663E-4</v>
      </c>
      <c r="AK28" s="112">
        <f t="shared" si="45"/>
        <v>1.9907260403440041E-3</v>
      </c>
      <c r="AL28" s="143">
        <f t="shared" si="18"/>
        <v>1.2645093475729814</v>
      </c>
      <c r="AM28" s="143">
        <f>BBG_GBP!AA28</f>
        <v>1.2641517499999999</v>
      </c>
      <c r="AN28" s="151">
        <f t="shared" si="19"/>
        <v>0.99971720448435764</v>
      </c>
      <c r="AO28" s="147"/>
      <c r="AR28" s="2"/>
      <c r="AS28" s="45"/>
      <c r="AT28" s="45"/>
      <c r="AU28" s="18"/>
      <c r="BF28" s="3" t="s">
        <v>30</v>
      </c>
      <c r="BG28" s="3" t="s">
        <v>452</v>
      </c>
      <c r="BH28" s="2">
        <v>47301</v>
      </c>
      <c r="BI28" s="5">
        <v>-3.2499999999999999E-4</v>
      </c>
      <c r="BJ28" s="5">
        <v>0.99151149175346498</v>
      </c>
      <c r="BK28" s="5">
        <v>0.96844249206339905</v>
      </c>
      <c r="BS28" s="14"/>
      <c r="BX28" s="2">
        <f t="shared" si="57"/>
        <v>47301</v>
      </c>
      <c r="BY28" s="14">
        <f t="shared" si="6"/>
        <v>9.1305555555555564</v>
      </c>
      <c r="BZ28" s="18"/>
      <c r="CA28" s="5">
        <v>-3.5778397197974243E-4</v>
      </c>
      <c r="CB28" s="13">
        <f t="shared" si="58"/>
        <v>0.99151149175346498</v>
      </c>
      <c r="CC28" s="5">
        <f t="shared" si="59"/>
        <v>9.3408572639530618E-4</v>
      </c>
      <c r="CD28" s="149">
        <f t="shared" si="60"/>
        <v>-12.918696983750484</v>
      </c>
      <c r="CF28" s="29"/>
    </row>
    <row r="29" spans="1:84" x14ac:dyDescent="0.25">
      <c r="A29" s="38">
        <v>46479</v>
      </c>
      <c r="B29" s="22">
        <v>2.4109589041198998E-5</v>
      </c>
      <c r="C29" s="22">
        <v>7.99125457738192E-4</v>
      </c>
      <c r="D29" s="22">
        <v>0.99738690530410301</v>
      </c>
      <c r="E29" s="22">
        <v>2.1364309489759702E-3</v>
      </c>
      <c r="F29" s="32">
        <v>0.98541001706047604</v>
      </c>
      <c r="G29" s="22">
        <f t="shared" si="0"/>
        <v>6.8472222222222223</v>
      </c>
      <c r="H29" s="22">
        <f t="shared" si="9"/>
        <v>-9.007180649864483E-4</v>
      </c>
      <c r="I29" s="22">
        <f t="shared" si="10"/>
        <v>1.0061892708422404</v>
      </c>
      <c r="J29" s="32">
        <f t="shared" si="1"/>
        <v>1.266249878901814</v>
      </c>
      <c r="K29" s="22" t="s">
        <v>450</v>
      </c>
      <c r="L29" s="40">
        <f t="shared" si="11"/>
        <v>-3.125</v>
      </c>
      <c r="M29" s="96">
        <v>46479</v>
      </c>
      <c r="N29" s="99">
        <f t="shared" si="37"/>
        <v>46391</v>
      </c>
      <c r="O29" s="38">
        <f t="shared" si="38"/>
        <v>46479</v>
      </c>
      <c r="P29" s="88">
        <f t="shared" si="39"/>
        <v>88</v>
      </c>
      <c r="Q29" s="47">
        <v>10000000</v>
      </c>
      <c r="R29" s="107">
        <f t="shared" si="12"/>
        <v>3.2691495998380584E-3</v>
      </c>
      <c r="S29" s="47">
        <f t="shared" si="40"/>
        <v>7991.2545773819202</v>
      </c>
      <c r="T29" s="47">
        <f t="shared" si="41"/>
        <v>241.09589041198998</v>
      </c>
      <c r="V29" s="61">
        <f t="shared" si="13"/>
        <v>-12645093.475729814</v>
      </c>
      <c r="W29" s="47">
        <f t="shared" si="14"/>
        <v>-12662498.789018139</v>
      </c>
      <c r="X29" s="107">
        <f t="shared" si="15"/>
        <v>8.7399447912653323E-3</v>
      </c>
      <c r="Y29" s="47">
        <f t="shared" si="16"/>
        <v>-27015.369054243296</v>
      </c>
      <c r="Z29" s="47">
        <f t="shared" si="17"/>
        <v>17405.313288325444</v>
      </c>
      <c r="AC29" s="122">
        <f t="shared" si="42"/>
        <v>6.8472222222222223</v>
      </c>
      <c r="AD29" s="113">
        <f>BBG_GBP!V29/100</f>
        <v>3.3816000000000002E-3</v>
      </c>
      <c r="AE29" s="113">
        <f>BBG_EUR!J29/100</f>
        <v>8.9110999999999999E-3</v>
      </c>
      <c r="AF29" s="116">
        <f>BBG_GBP!X29</f>
        <v>1.0074609999999999</v>
      </c>
      <c r="AG29" s="116">
        <f>BBG_EUR!L29</f>
        <v>0.98681700000000006</v>
      </c>
      <c r="AH29" s="112">
        <f t="shared" si="43"/>
        <v>-1.0850051093234114E-3</v>
      </c>
      <c r="AI29" s="112">
        <f t="shared" si="43"/>
        <v>1.9399889412310412E-3</v>
      </c>
      <c r="AJ29" s="112">
        <f t="shared" si="44"/>
        <v>-9.0071806498648321E-4</v>
      </c>
      <c r="AK29" s="112">
        <f t="shared" si="45"/>
        <v>2.1487908831612224E-3</v>
      </c>
      <c r="AL29" s="143">
        <f t="shared" si="18"/>
        <v>1.266249878901814</v>
      </c>
      <c r="AM29" s="143">
        <f>BBG_GBP!AA29</f>
        <v>1.2660021289999999</v>
      </c>
      <c r="AN29" s="151">
        <f t="shared" si="19"/>
        <v>0.99980434359288628</v>
      </c>
      <c r="AO29" s="147"/>
      <c r="AR29" s="2"/>
      <c r="AS29" s="45"/>
      <c r="AT29" s="45"/>
      <c r="AU29" s="18"/>
      <c r="BF29" s="3" t="s">
        <v>31</v>
      </c>
      <c r="BG29" s="3" t="s">
        <v>453</v>
      </c>
      <c r="BH29" s="2">
        <v>47666</v>
      </c>
      <c r="BI29" s="5">
        <v>-3.5E-4</v>
      </c>
      <c r="BJ29" s="5">
        <v>0.98867229133784695</v>
      </c>
      <c r="BK29" s="5">
        <v>0.96003760698525897</v>
      </c>
      <c r="BS29" s="14"/>
      <c r="BX29" s="2">
        <f t="shared" si="57"/>
        <v>47666</v>
      </c>
      <c r="BY29" s="14">
        <f t="shared" si="6"/>
        <v>10.144444444444444</v>
      </c>
      <c r="BZ29" s="18"/>
      <c r="CA29" s="5">
        <v>-1.5269600606554416E-4</v>
      </c>
      <c r="CB29" s="13">
        <f t="shared" si="58"/>
        <v>0.98867229133784695</v>
      </c>
      <c r="CC29" s="5">
        <f t="shared" si="59"/>
        <v>1.1236450815128585E-3</v>
      </c>
      <c r="CD29" s="149">
        <f t="shared" si="60"/>
        <v>-12.763410875784027</v>
      </c>
      <c r="CF29" s="29"/>
    </row>
    <row r="30" spans="1:84" x14ac:dyDescent="0.25">
      <c r="A30" s="39">
        <v>46570</v>
      </c>
      <c r="B30" s="11">
        <v>2.4931506849234999E-5</v>
      </c>
      <c r="C30" s="11">
        <v>8.2911410491548401E-4</v>
      </c>
      <c r="D30" s="11">
        <v>0.99697612736734098</v>
      </c>
      <c r="E30" s="11">
        <v>2.20934422046936E-3</v>
      </c>
      <c r="F30" s="33">
        <v>0.98381533746739303</v>
      </c>
      <c r="G30" s="11">
        <f t="shared" si="0"/>
        <v>7.1</v>
      </c>
      <c r="H30" s="11">
        <f t="shared" si="9"/>
        <v>-8.3641244285613818E-4</v>
      </c>
      <c r="I30" s="11">
        <f t="shared" si="10"/>
        <v>1.0059586960793712</v>
      </c>
      <c r="J30" s="33">
        <f t="shared" si="1"/>
        <v>1.2680117207965098</v>
      </c>
      <c r="K30" s="11" t="s">
        <v>450</v>
      </c>
      <c r="L30" s="41">
        <f t="shared" si="11"/>
        <v>-3.125</v>
      </c>
      <c r="M30" s="95">
        <v>46570</v>
      </c>
      <c r="N30" s="9">
        <f t="shared" si="37"/>
        <v>46479</v>
      </c>
      <c r="O30" s="39">
        <f t="shared" si="38"/>
        <v>46570</v>
      </c>
      <c r="P30" s="87">
        <f t="shared" si="39"/>
        <v>91</v>
      </c>
      <c r="Q30" s="46">
        <v>10000000</v>
      </c>
      <c r="R30" s="106">
        <f t="shared" si="12"/>
        <v>3.2800118436216948E-3</v>
      </c>
      <c r="S30" s="46">
        <f t="shared" si="40"/>
        <v>8291.1410491548395</v>
      </c>
      <c r="T30" s="46">
        <f t="shared" si="41"/>
        <v>249.31506849234998</v>
      </c>
      <c r="U30" s="50">
        <f>Q30</f>
        <v>10000000</v>
      </c>
      <c r="V30" s="62">
        <f t="shared" si="13"/>
        <v>-12662498.789018139</v>
      </c>
      <c r="W30" s="46">
        <f t="shared" si="14"/>
        <v>-12680117.207965098</v>
      </c>
      <c r="X30" s="106">
        <f t="shared" si="15"/>
        <v>8.7402628502084578E-3</v>
      </c>
      <c r="Y30" s="46">
        <f t="shared" si="16"/>
        <v>-27975.818516217496</v>
      </c>
      <c r="Z30" s="46">
        <f t="shared" si="17"/>
        <v>17618.418946959078</v>
      </c>
      <c r="AA30" s="50">
        <f>W30</f>
        <v>-12680117.207965098</v>
      </c>
      <c r="AC30" s="122">
        <f t="shared" si="42"/>
        <v>7.1</v>
      </c>
      <c r="AD30" s="113">
        <f>BBG_GBP!V30/100</f>
        <v>3.5022999999999999E-3</v>
      </c>
      <c r="AE30" s="113">
        <f>BBG_EUR!J30/100</f>
        <v>9.2318000000000001E-3</v>
      </c>
      <c r="AF30" s="116">
        <f>BBG_GBP!X30</f>
        <v>1.0073380000000001</v>
      </c>
      <c r="AG30" s="116">
        <f>BBG_EUR!L30</f>
        <v>0.98520200000000002</v>
      </c>
      <c r="AH30" s="112">
        <f t="shared" si="43"/>
        <v>-1.0292175785546753E-3</v>
      </c>
      <c r="AI30" s="112">
        <f t="shared" si="43"/>
        <v>2.1020065040040503E-3</v>
      </c>
      <c r="AJ30" s="112">
        <f t="shared" si="44"/>
        <v>-8.3641244285614924E-4</v>
      </c>
      <c r="AK30" s="112">
        <f t="shared" si="45"/>
        <v>2.3008209646375732E-3</v>
      </c>
      <c r="AL30" s="143">
        <f t="shared" si="18"/>
        <v>1.2680117207965098</v>
      </c>
      <c r="AM30" s="143">
        <f>BBG_GBP!AA30</f>
        <v>1.2679202189999998</v>
      </c>
      <c r="AN30" s="151">
        <f t="shared" si="19"/>
        <v>0.99992783836694155</v>
      </c>
      <c r="AO30" s="147"/>
      <c r="AR30" s="2"/>
      <c r="AS30" s="45"/>
      <c r="AT30" s="45"/>
      <c r="AU30" s="18"/>
      <c r="BF30" s="3" t="s">
        <v>32</v>
      </c>
      <c r="BG30" s="3" t="s">
        <v>454</v>
      </c>
      <c r="BH30" s="2">
        <v>48397</v>
      </c>
      <c r="BI30" s="5">
        <v>-4.125E-4</v>
      </c>
      <c r="BJ30" s="5">
        <v>0.98247992728215605</v>
      </c>
      <c r="BK30" s="5">
        <v>0.94269440641014302</v>
      </c>
      <c r="BS30" s="14"/>
      <c r="BX30" s="2">
        <f t="shared" si="57"/>
        <v>48397</v>
      </c>
      <c r="BY30" s="14">
        <f t="shared" si="6"/>
        <v>12.175000000000001</v>
      </c>
      <c r="BZ30" s="18"/>
      <c r="CA30" s="5">
        <v>1.0934480790883649E-4</v>
      </c>
      <c r="CB30" s="13">
        <f t="shared" si="58"/>
        <v>0.98247992728215605</v>
      </c>
      <c r="CC30" s="5">
        <f t="shared" si="59"/>
        <v>1.4528297524811773E-3</v>
      </c>
      <c r="CD30" s="149">
        <f t="shared" si="60"/>
        <v>-13.434849445723408</v>
      </c>
      <c r="CF30" s="29"/>
    </row>
    <row r="31" spans="1:84" x14ac:dyDescent="0.25">
      <c r="A31" s="38">
        <v>46664</v>
      </c>
      <c r="B31" s="22">
        <v>2.5753424657493E-5</v>
      </c>
      <c r="C31" s="22">
        <v>9.8216668911299499E-4</v>
      </c>
      <c r="D31" s="22">
        <v>0.99633136021414104</v>
      </c>
      <c r="E31" s="22">
        <v>2.5204012262429699E-3</v>
      </c>
      <c r="F31" s="32">
        <v>0.98194584727190504</v>
      </c>
      <c r="G31" s="22">
        <f t="shared" si="0"/>
        <v>7.3611111111111107</v>
      </c>
      <c r="H31" s="22">
        <f t="shared" si="9"/>
        <v>-7.7419945763488782E-4</v>
      </c>
      <c r="I31" s="22">
        <f t="shared" si="10"/>
        <v>1.0057174580675126</v>
      </c>
      <c r="J31" s="32">
        <f t="shared" si="1"/>
        <v>1.2701211815443119</v>
      </c>
      <c r="K31" s="22" t="s">
        <v>451</v>
      </c>
      <c r="L31" s="40">
        <f t="shared" si="11"/>
        <v>-3.125</v>
      </c>
      <c r="M31" s="96">
        <v>46664</v>
      </c>
      <c r="N31" s="99">
        <f t="shared" si="37"/>
        <v>46570</v>
      </c>
      <c r="O31" s="38">
        <f t="shared" si="38"/>
        <v>46664</v>
      </c>
      <c r="P31" s="88">
        <f t="shared" si="39"/>
        <v>94</v>
      </c>
      <c r="Q31" s="47">
        <v>10000000</v>
      </c>
      <c r="R31" s="107">
        <f t="shared" si="12"/>
        <v>3.7614894476667893E-3</v>
      </c>
      <c r="S31" s="47">
        <f t="shared" si="40"/>
        <v>9821.6668911299494</v>
      </c>
      <c r="T31" s="47">
        <f t="shared" si="41"/>
        <v>257.53424657493002</v>
      </c>
      <c r="V31" s="61">
        <f t="shared" si="13"/>
        <v>-12680117.207965098</v>
      </c>
      <c r="W31" s="47">
        <f t="shared" si="14"/>
        <v>-12701211.815443119</v>
      </c>
      <c r="X31" s="107">
        <f t="shared" si="15"/>
        <v>9.6526004409305238E-3</v>
      </c>
      <c r="Y31" s="47">
        <f t="shared" si="16"/>
        <v>-31958.982959859819</v>
      </c>
      <c r="Z31" s="47">
        <f t="shared" si="17"/>
        <v>21094.607478020713</v>
      </c>
      <c r="AC31" s="122">
        <f t="shared" si="42"/>
        <v>7.3611111111111107</v>
      </c>
      <c r="AD31" s="113">
        <f>BBG_GBP!V31/100</f>
        <v>3.6332999999999999E-3</v>
      </c>
      <c r="AE31" s="113">
        <f>BBG_EUR!J31/100</f>
        <v>9.1912999999999995E-3</v>
      </c>
      <c r="AF31" s="116">
        <f>BBG_GBP!X31</f>
        <v>1.0070220000000001</v>
      </c>
      <c r="AG31" s="116">
        <f>BBG_EUR!L31</f>
        <v>0.98337799999999997</v>
      </c>
      <c r="AH31" s="112">
        <f t="shared" si="43"/>
        <v>-9.5014674128102161E-4</v>
      </c>
      <c r="AI31" s="112">
        <f t="shared" si="43"/>
        <v>2.279655008173842E-3</v>
      </c>
      <c r="AJ31" s="112">
        <f t="shared" si="44"/>
        <v>-7.7419945763501641E-4</v>
      </c>
      <c r="AK31" s="112">
        <f t="shared" si="45"/>
        <v>2.4781153881121565E-3</v>
      </c>
      <c r="AL31" s="143">
        <f t="shared" si="18"/>
        <v>1.2701211815443119</v>
      </c>
      <c r="AM31" s="143">
        <f>BBG_GBP!AA31</f>
        <v>1.269832179</v>
      </c>
      <c r="AN31" s="151">
        <f t="shared" si="19"/>
        <v>0.99977246065295877</v>
      </c>
      <c r="AO31" s="147"/>
      <c r="AR31" s="2"/>
      <c r="AS31" s="45"/>
      <c r="AT31" s="45"/>
      <c r="AU31" s="18"/>
      <c r="BF31" s="3" t="s">
        <v>33</v>
      </c>
      <c r="BG31" s="3" t="s">
        <v>455</v>
      </c>
      <c r="BH31" s="2">
        <v>49492</v>
      </c>
      <c r="BI31" s="5">
        <v>-5.2499999999999997E-4</v>
      </c>
      <c r="BJ31" s="5">
        <v>0.97406658331408302</v>
      </c>
      <c r="BK31" s="5">
        <v>0.917228473853274</v>
      </c>
      <c r="BS31" s="14"/>
      <c r="BX31" s="2">
        <f t="shared" si="57"/>
        <v>49492</v>
      </c>
      <c r="BY31" s="14">
        <f t="shared" si="6"/>
        <v>15.216666666666667</v>
      </c>
      <c r="BZ31" s="18"/>
      <c r="CA31" s="5">
        <v>3.1081033677425233E-4</v>
      </c>
      <c r="CB31" s="13">
        <f t="shared" si="58"/>
        <v>0.97406658331408302</v>
      </c>
      <c r="CC31" s="5">
        <f t="shared" si="59"/>
        <v>1.7282573470018825E-3</v>
      </c>
      <c r="CD31" s="149">
        <f t="shared" si="60"/>
        <v>-14.174470102276302</v>
      </c>
      <c r="CF31" s="29"/>
    </row>
    <row r="32" spans="1:84" x14ac:dyDescent="0.25">
      <c r="A32" s="38">
        <v>46756</v>
      </c>
      <c r="B32" s="22">
        <v>2.5205479452061701E-5</v>
      </c>
      <c r="C32" s="22">
        <v>9.6125948496816795E-4</v>
      </c>
      <c r="D32" s="22">
        <v>0.99570071528478699</v>
      </c>
      <c r="E32" s="22">
        <v>2.4667095838044602E-3</v>
      </c>
      <c r="F32" s="32">
        <v>0.98011957342614298</v>
      </c>
      <c r="G32" s="22">
        <f t="shared" si="0"/>
        <v>7.6166666666666663</v>
      </c>
      <c r="H32" s="22">
        <f t="shared" si="9"/>
        <v>-7.1331015295025976E-4</v>
      </c>
      <c r="I32" s="22">
        <f t="shared" si="10"/>
        <v>1.0054497806312521</v>
      </c>
      <c r="J32" s="32">
        <f t="shared" si="1"/>
        <v>1.2721491405403229</v>
      </c>
      <c r="K32" s="22" t="s">
        <v>451</v>
      </c>
      <c r="L32" s="40">
        <f t="shared" si="11"/>
        <v>-3.125</v>
      </c>
      <c r="M32" s="96">
        <v>46756</v>
      </c>
      <c r="N32" s="99">
        <f t="shared" si="37"/>
        <v>46664</v>
      </c>
      <c r="O32" s="38">
        <f t="shared" si="38"/>
        <v>46756</v>
      </c>
      <c r="P32" s="88">
        <f t="shared" si="39"/>
        <v>92</v>
      </c>
      <c r="Q32" s="47">
        <v>10000000</v>
      </c>
      <c r="R32" s="107">
        <f t="shared" si="12"/>
        <v>3.761450158571092E-3</v>
      </c>
      <c r="S32" s="47">
        <f t="shared" si="40"/>
        <v>9612.59484968168</v>
      </c>
      <c r="T32" s="47">
        <f t="shared" si="41"/>
        <v>252.05479452061701</v>
      </c>
      <c r="V32" s="61">
        <f t="shared" si="13"/>
        <v>-12701211.815443119</v>
      </c>
      <c r="W32" s="47">
        <f t="shared" si="14"/>
        <v>-12721491.405403228</v>
      </c>
      <c r="X32" s="107">
        <f t="shared" si="15"/>
        <v>9.6523418496696264E-3</v>
      </c>
      <c r="Y32" s="47">
        <f t="shared" si="16"/>
        <v>-31330.200911083986</v>
      </c>
      <c r="Z32" s="47">
        <f t="shared" si="17"/>
        <v>20279.589960109442</v>
      </c>
      <c r="AC32" s="122">
        <f t="shared" si="42"/>
        <v>7.6166666666666663</v>
      </c>
      <c r="AD32" s="113">
        <f>BBG_GBP!V32/100</f>
        <v>3.7584000000000003E-3</v>
      </c>
      <c r="AE32" s="113">
        <f>BBG_EUR!J32/100</f>
        <v>9.4950999999999994E-3</v>
      </c>
      <c r="AF32" s="116">
        <f>BBG_GBP!X32</f>
        <v>1.0066679999999999</v>
      </c>
      <c r="AG32" s="116">
        <f>BBG_EUR!L32</f>
        <v>0.98150599999999999</v>
      </c>
      <c r="AH32" s="112">
        <f t="shared" si="43"/>
        <v>-8.7216218764962772E-4</v>
      </c>
      <c r="AI32" s="112">
        <f t="shared" si="43"/>
        <v>2.4538353473690933E-3</v>
      </c>
      <c r="AJ32" s="112">
        <f t="shared" si="44"/>
        <v>-7.133101529502861E-4</v>
      </c>
      <c r="AK32" s="112">
        <f t="shared" si="45"/>
        <v>2.6398942946981308E-3</v>
      </c>
      <c r="AL32" s="143">
        <f t="shared" si="18"/>
        <v>1.2721491405403229</v>
      </c>
      <c r="AM32" s="143">
        <f>BBG_GBP!AA32</f>
        <v>1.2717820689999999</v>
      </c>
      <c r="AN32" s="151">
        <f t="shared" si="19"/>
        <v>0.99971145557653163</v>
      </c>
      <c r="AO32" s="147"/>
      <c r="AR32" s="2"/>
      <c r="AS32" s="45"/>
      <c r="AT32" s="45"/>
      <c r="AU32" s="18"/>
      <c r="BF32" s="3" t="s">
        <v>34</v>
      </c>
      <c r="BG32" s="3" t="s">
        <v>456</v>
      </c>
      <c r="BH32" s="2">
        <v>51319</v>
      </c>
      <c r="BI32" s="5">
        <v>-7.5000000000000002E-4</v>
      </c>
      <c r="BJ32" s="5">
        <v>0.96257498428154697</v>
      </c>
      <c r="BK32" s="5">
        <v>0.87545313441693096</v>
      </c>
      <c r="BS32" s="14"/>
      <c r="BX32" s="2">
        <f t="shared" si="57"/>
        <v>51319</v>
      </c>
      <c r="BY32" s="14">
        <f t="shared" si="6"/>
        <v>20.291666666666668</v>
      </c>
      <c r="BZ32" s="18"/>
      <c r="CA32" s="5">
        <v>2.9037849616156565E-4</v>
      </c>
      <c r="CB32" s="13">
        <f t="shared" si="58"/>
        <v>0.96257498428154697</v>
      </c>
      <c r="CC32" s="5">
        <f t="shared" si="59"/>
        <v>1.8815202909989726E-3</v>
      </c>
      <c r="CD32" s="149">
        <f t="shared" si="60"/>
        <v>-15.911417948374069</v>
      </c>
      <c r="CF32" s="29"/>
    </row>
    <row r="33" spans="1:84" x14ac:dyDescent="0.25">
      <c r="A33" s="38">
        <v>46846</v>
      </c>
      <c r="B33" s="22">
        <v>2.4657534246630399E-5</v>
      </c>
      <c r="C33" s="22">
        <v>9.4035271750558802E-4</v>
      </c>
      <c r="D33" s="22">
        <v>0.99508416628471397</v>
      </c>
      <c r="E33" s="22">
        <v>2.4130208169108598E-3</v>
      </c>
      <c r="F33" s="32">
        <v>0.97833628787285398</v>
      </c>
      <c r="G33" s="22">
        <f t="shared" si="0"/>
        <v>7.8666666666666663</v>
      </c>
      <c r="H33" s="22">
        <f t="shared" si="9"/>
        <v>-6.5374452880225409E-4</v>
      </c>
      <c r="I33" s="22">
        <f t="shared" si="10"/>
        <v>1.0051577275792865</v>
      </c>
      <c r="J33" s="32">
        <f t="shared" si="1"/>
        <v>1.2740977856205917</v>
      </c>
      <c r="K33" s="22" t="s">
        <v>451</v>
      </c>
      <c r="L33" s="40">
        <f t="shared" si="11"/>
        <v>-3.125</v>
      </c>
      <c r="M33" s="96">
        <v>46846</v>
      </c>
      <c r="N33" s="99">
        <f t="shared" si="37"/>
        <v>46756</v>
      </c>
      <c r="O33" s="38">
        <f t="shared" si="38"/>
        <v>46846</v>
      </c>
      <c r="P33" s="88">
        <f t="shared" si="39"/>
        <v>90</v>
      </c>
      <c r="Q33" s="47">
        <v>10000000</v>
      </c>
      <c r="R33" s="107">
        <f t="shared" si="12"/>
        <v>3.7614108700223521E-3</v>
      </c>
      <c r="S33" s="47">
        <f t="shared" si="40"/>
        <v>9403.5271750558804</v>
      </c>
      <c r="T33" s="47">
        <f t="shared" si="41"/>
        <v>246.57534246630399</v>
      </c>
      <c r="V33" s="61">
        <f t="shared" si="13"/>
        <v>-12721491.405403228</v>
      </c>
      <c r="W33" s="47">
        <f t="shared" si="14"/>
        <v>-12740977.856205918</v>
      </c>
      <c r="X33" s="107">
        <f t="shared" si="15"/>
        <v>9.6520832676434392E-3</v>
      </c>
      <c r="Y33" s="47">
        <f t="shared" si="16"/>
        <v>-30697.22358339058</v>
      </c>
      <c r="Z33" s="47">
        <f t="shared" si="17"/>
        <v>19486.450802689418</v>
      </c>
      <c r="AC33" s="122">
        <f t="shared" si="42"/>
        <v>7.8666666666666663</v>
      </c>
      <c r="AD33" s="113">
        <f>BBG_GBP!V33/100</f>
        <v>3.8804E-3</v>
      </c>
      <c r="AE33" s="113">
        <f>BBG_EUR!J33/100</f>
        <v>9.7902000000000006E-3</v>
      </c>
      <c r="AF33" s="116">
        <f>BBG_GBP!X33</f>
        <v>1.006283</v>
      </c>
      <c r="AG33" s="116">
        <f>BBG_EUR!L33</f>
        <v>0.97959799999999997</v>
      </c>
      <c r="AH33" s="112">
        <f t="shared" si="43"/>
        <v>-7.9587095419453302E-4</v>
      </c>
      <c r="AI33" s="112">
        <f t="shared" si="43"/>
        <v>2.6237320213551296E-3</v>
      </c>
      <c r="AJ33" s="112">
        <f t="shared" si="44"/>
        <v>-6.5374452880229139E-4</v>
      </c>
      <c r="AK33" s="112">
        <f t="shared" si="45"/>
        <v>2.7880083655322796E-3</v>
      </c>
      <c r="AL33" s="143">
        <f t="shared" si="18"/>
        <v>1.2740977856205917</v>
      </c>
      <c r="AM33" s="143">
        <f>BBG_GBP!AA33</f>
        <v>1.273792144</v>
      </c>
      <c r="AN33" s="151">
        <f t="shared" si="19"/>
        <v>0.99976011133208043</v>
      </c>
      <c r="AO33" s="147"/>
      <c r="AR33" s="2"/>
      <c r="AS33" s="45"/>
      <c r="AT33" s="45"/>
      <c r="AU33" s="18"/>
      <c r="BF33" s="3" t="s">
        <v>461</v>
      </c>
      <c r="BG33" s="3" t="s">
        <v>457</v>
      </c>
      <c r="BH33" s="2">
        <v>53146</v>
      </c>
      <c r="BI33" s="5">
        <v>-7.7499999999999997E-4</v>
      </c>
      <c r="BJ33" s="5">
        <v>0.95465055373791097</v>
      </c>
      <c r="BK33" s="5">
        <v>0.842218766575211</v>
      </c>
      <c r="BS33" s="14"/>
      <c r="BX33" s="2">
        <f t="shared" si="57"/>
        <v>53146</v>
      </c>
      <c r="BY33" s="14">
        <f t="shared" si="6"/>
        <v>25.366666666666667</v>
      </c>
      <c r="BZ33" s="18"/>
      <c r="CA33" s="5">
        <v>1.5302002351097189E-4</v>
      </c>
      <c r="CB33" s="13">
        <f t="shared" si="58"/>
        <v>0.95465055373791097</v>
      </c>
      <c r="CC33" s="5">
        <f t="shared" si="59"/>
        <v>1.831237790543172E-3</v>
      </c>
      <c r="CD33" s="149">
        <f t="shared" si="60"/>
        <v>-16.782177670322003</v>
      </c>
      <c r="CF33" s="29"/>
    </row>
    <row r="34" spans="1:84" x14ac:dyDescent="0.25">
      <c r="A34" s="39">
        <v>46937</v>
      </c>
      <c r="B34" s="11">
        <v>2.4931506849234999E-5</v>
      </c>
      <c r="C34" s="11">
        <v>9.5430607106505795E-4</v>
      </c>
      <c r="D34" s="11">
        <v>0.99445736453028299</v>
      </c>
      <c r="E34" s="11">
        <v>2.4398648409242798E-3</v>
      </c>
      <c r="F34" s="33">
        <v>0.97653648690217199</v>
      </c>
      <c r="G34" s="11">
        <f t="shared" si="0"/>
        <v>8.1194444444444436</v>
      </c>
      <c r="H34" s="11">
        <f t="shared" si="9"/>
        <v>-5.9351706438593723E-4</v>
      </c>
      <c r="I34" s="11">
        <f t="shared" si="10"/>
        <v>1.004832096591183</v>
      </c>
      <c r="J34" s="33">
        <f t="shared" si="1"/>
        <v>1.2760324879776437</v>
      </c>
      <c r="K34" s="11" t="s">
        <v>451</v>
      </c>
      <c r="L34" s="41">
        <f t="shared" si="11"/>
        <v>-3.125</v>
      </c>
      <c r="M34" s="95">
        <v>46937</v>
      </c>
      <c r="N34" s="9">
        <f t="shared" si="37"/>
        <v>46846</v>
      </c>
      <c r="O34" s="39">
        <f t="shared" si="38"/>
        <v>46937</v>
      </c>
      <c r="P34" s="87">
        <f t="shared" si="39"/>
        <v>91</v>
      </c>
      <c r="Q34" s="46">
        <v>10000000</v>
      </c>
      <c r="R34" s="106">
        <f t="shared" si="12"/>
        <v>3.7752767646529765E-3</v>
      </c>
      <c r="S34" s="46">
        <f t="shared" si="40"/>
        <v>9543.0607106505795</v>
      </c>
      <c r="T34" s="46">
        <f t="shared" si="41"/>
        <v>249.31506849234998</v>
      </c>
      <c r="U34" s="50">
        <f>Q34</f>
        <v>10000000</v>
      </c>
      <c r="V34" s="62">
        <f t="shared" si="13"/>
        <v>-12740977.856205918</v>
      </c>
      <c r="W34" s="46">
        <f t="shared" si="14"/>
        <v>-12760324.879776437</v>
      </c>
      <c r="X34" s="106">
        <f t="shared" si="15"/>
        <v>9.652212557502645E-3</v>
      </c>
      <c r="Y34" s="46">
        <f t="shared" si="16"/>
        <v>-31086.263910351623</v>
      </c>
      <c r="Z34" s="46">
        <f t="shared" si="17"/>
        <v>19347.023570518941</v>
      </c>
      <c r="AA34" s="50">
        <f>W34</f>
        <v>-12760324.879776437</v>
      </c>
      <c r="AC34" s="122">
        <f t="shared" si="42"/>
        <v>8.1194444444444436</v>
      </c>
      <c r="AD34" s="113">
        <f>BBG_GBP!V34/100</f>
        <v>3.9995999999999999E-3</v>
      </c>
      <c r="AE34" s="113">
        <f>BBG_EUR!J34/100</f>
        <v>1.00818E-2</v>
      </c>
      <c r="AF34" s="116">
        <f>BBG_GBP!X34</f>
        <v>1.0058560000000001</v>
      </c>
      <c r="AG34" s="116">
        <f>BBG_EUR!L34</f>
        <v>0.97759099999999999</v>
      </c>
      <c r="AH34" s="112">
        <f t="shared" si="43"/>
        <v>-7.1886954288746807E-4</v>
      </c>
      <c r="AI34" s="112">
        <f t="shared" si="43"/>
        <v>2.79521061180521E-3</v>
      </c>
      <c r="AJ34" s="112">
        <f t="shared" si="44"/>
        <v>-5.9351706438592888E-4</v>
      </c>
      <c r="AK34" s="112">
        <f t="shared" si="45"/>
        <v>2.9285148395985505E-3</v>
      </c>
      <c r="AL34" s="143">
        <f t="shared" si="18"/>
        <v>1.2760324879776437</v>
      </c>
      <c r="AM34" s="143">
        <f>BBG_GBP!AA34</f>
        <v>1.2758621649999999</v>
      </c>
      <c r="AN34" s="151">
        <f t="shared" si="19"/>
        <v>0.99986652144106947</v>
      </c>
      <c r="AO34" s="147"/>
      <c r="AR34" s="2"/>
      <c r="AS34" s="45"/>
      <c r="AT34" s="45"/>
      <c r="AU34" s="18"/>
      <c r="BF34" s="3" t="s">
        <v>35</v>
      </c>
      <c r="BG34" s="3" t="s">
        <v>458</v>
      </c>
      <c r="BH34" s="2">
        <v>54974</v>
      </c>
      <c r="BI34" s="5">
        <v>-5.8750000000000002E-4</v>
      </c>
      <c r="BJ34" s="5">
        <v>0.95096873618394895</v>
      </c>
      <c r="BK34" s="5">
        <v>0.81150505185601496</v>
      </c>
      <c r="BS34" s="14"/>
      <c r="BX34" s="2">
        <f t="shared" si="57"/>
        <v>54974</v>
      </c>
      <c r="BY34" s="14">
        <f t="shared" si="6"/>
        <v>30.444444444444443</v>
      </c>
      <c r="BZ34" s="18"/>
      <c r="CA34" s="5">
        <v>1.9216806325983633E-4</v>
      </c>
      <c r="CB34" s="13">
        <f t="shared" si="58"/>
        <v>0.95096873618394895</v>
      </c>
      <c r="CC34" s="5">
        <f t="shared" si="59"/>
        <v>1.6527029875985644E-3</v>
      </c>
      <c r="CD34" s="149">
        <f t="shared" si="60"/>
        <v>-14.60534924338728</v>
      </c>
      <c r="CF34" s="29"/>
    </row>
    <row r="35" spans="1:84" x14ac:dyDescent="0.25">
      <c r="A35" s="38">
        <v>47028</v>
      </c>
      <c r="B35" s="22">
        <v>2.4931506849234999E-5</v>
      </c>
      <c r="C35" s="22">
        <v>1.05697889881062E-3</v>
      </c>
      <c r="D35" s="22">
        <v>0.99371984988245499</v>
      </c>
      <c r="E35" s="22">
        <v>2.6472264500389999E-3</v>
      </c>
      <c r="F35" s="32">
        <v>0.97450666821750398</v>
      </c>
      <c r="G35" s="22">
        <f t="shared" si="0"/>
        <v>8.3722222222222218</v>
      </c>
      <c r="H35" s="22">
        <f t="shared" ref="H35:H66" si="61">RE_MATH_LinearInterpolation($BY$3:$BY$36,$CA$3:$CA$36,$G35)</f>
        <v>-5.3458379128438853E-4</v>
      </c>
      <c r="I35" s="22">
        <f t="shared" si="10"/>
        <v>1.0044868870983168</v>
      </c>
      <c r="J35" s="32">
        <f t="shared" si="1"/>
        <v>1.2782510672493397</v>
      </c>
      <c r="K35" s="22" t="s">
        <v>452</v>
      </c>
      <c r="L35" s="40">
        <f t="shared" ref="L35:L66" si="62">VLOOKUP($K35,$BG$21:$BI$36,3,FALSE)*10000</f>
        <v>-3.25</v>
      </c>
      <c r="M35" s="96">
        <v>47028</v>
      </c>
      <c r="N35" s="99">
        <f t="shared" si="37"/>
        <v>46937</v>
      </c>
      <c r="O35" s="38">
        <f t="shared" si="38"/>
        <v>47028</v>
      </c>
      <c r="P35" s="88">
        <f t="shared" si="39"/>
        <v>91</v>
      </c>
      <c r="Q35" s="47">
        <v>10000000</v>
      </c>
      <c r="R35" s="107">
        <f t="shared" si="12"/>
        <v>4.1814549843057491E-3</v>
      </c>
      <c r="S35" s="47">
        <f t="shared" si="40"/>
        <v>10569.7889881062</v>
      </c>
      <c r="T35" s="47">
        <f t="shared" si="41"/>
        <v>249.31506849234998</v>
      </c>
      <c r="V35" s="61">
        <f t="shared" si="13"/>
        <v>-12760324.879776437</v>
      </c>
      <c r="W35" s="47">
        <f t="shared" si="14"/>
        <v>-12782510.672493396</v>
      </c>
      <c r="X35" s="107">
        <f t="shared" si="15"/>
        <v>1.0472544197956483E-2</v>
      </c>
      <c r="Y35" s="47">
        <f t="shared" si="16"/>
        <v>-33779.469532834904</v>
      </c>
      <c r="Z35" s="47">
        <f t="shared" si="17"/>
        <v>22185.792716959491</v>
      </c>
      <c r="AC35" s="122">
        <f t="shared" si="42"/>
        <v>8.3722222222222218</v>
      </c>
      <c r="AD35" s="113">
        <f>BBG_GBP!V35/100</f>
        <v>4.0660000000000002E-3</v>
      </c>
      <c r="AE35" s="113">
        <f>BBG_EUR!J35/100</f>
        <v>1.0072600000000001E-2</v>
      </c>
      <c r="AF35" s="116">
        <f>BBG_GBP!X35</f>
        <v>1.0057199999999999</v>
      </c>
      <c r="AG35" s="116">
        <f>BBG_EUR!L35</f>
        <v>0.97582800000000003</v>
      </c>
      <c r="AH35" s="112">
        <f t="shared" si="43"/>
        <v>-6.8103310442058085E-4</v>
      </c>
      <c r="AI35" s="112">
        <f t="shared" si="43"/>
        <v>2.9269086135486067E-3</v>
      </c>
      <c r="AJ35" s="112">
        <f t="shared" si="44"/>
        <v>-5.3458379128445976E-4</v>
      </c>
      <c r="AK35" s="112">
        <f t="shared" si="45"/>
        <v>3.0892377518725311E-3</v>
      </c>
      <c r="AL35" s="143">
        <f t="shared" si="18"/>
        <v>1.2782510672493397</v>
      </c>
      <c r="AM35" s="143">
        <f>BBG_GBP!AA35</f>
        <v>1.277991906</v>
      </c>
      <c r="AN35" s="151">
        <f t="shared" si="19"/>
        <v>0.99979725325017932</v>
      </c>
      <c r="AO35" s="147"/>
      <c r="AR35" s="2"/>
      <c r="AS35" s="45"/>
      <c r="AT35" s="45"/>
      <c r="AU35" s="18"/>
      <c r="BF35" s="3" t="s">
        <v>36</v>
      </c>
      <c r="BG35" s="3" t="s">
        <v>459</v>
      </c>
      <c r="BH35" s="2">
        <v>58624</v>
      </c>
      <c r="BI35" s="5">
        <v>-2.875E-4</v>
      </c>
      <c r="BJ35" s="5">
        <v>0.95151929503363197</v>
      </c>
      <c r="BK35" s="5">
        <v>0.76856853269770697</v>
      </c>
      <c r="BS35" s="14"/>
      <c r="BX35" s="2">
        <f t="shared" si="57"/>
        <v>58624</v>
      </c>
      <c r="BY35" s="14">
        <f t="shared" si="6"/>
        <v>40.583333333333336</v>
      </c>
      <c r="BZ35" s="18"/>
      <c r="CA35" s="5">
        <v>1.1556438762510422E-4</v>
      </c>
      <c r="CB35" s="13">
        <f t="shared" si="58"/>
        <v>0.95151929503363197</v>
      </c>
      <c r="CC35" s="5">
        <f t="shared" si="59"/>
        <v>1.2252752257964072E-3</v>
      </c>
      <c r="CD35" s="149">
        <f t="shared" si="60"/>
        <v>-11.097108381713031</v>
      </c>
      <c r="CF35" s="29"/>
    </row>
    <row r="36" spans="1:84" x14ac:dyDescent="0.25">
      <c r="A36" s="38">
        <v>47120</v>
      </c>
      <c r="B36" s="22">
        <v>2.5205479452061701E-5</v>
      </c>
      <c r="C36" s="22">
        <v>1.06860025532506E-3</v>
      </c>
      <c r="D36" s="22">
        <v>0.99297478668483996</v>
      </c>
      <c r="E36" s="22">
        <v>2.6763557442257501E-3</v>
      </c>
      <c r="F36" s="32">
        <v>0.97245883276189204</v>
      </c>
      <c r="G36" s="22">
        <f t="shared" si="0"/>
        <v>8.6277777777777782</v>
      </c>
      <c r="H36" s="22">
        <f t="shared" si="61"/>
        <v>-4.7500289979710838E-4</v>
      </c>
      <c r="I36" s="22">
        <f t="shared" si="10"/>
        <v>1.0041076062885292</v>
      </c>
      <c r="J36" s="32">
        <f t="shared" si="1"/>
        <v>1.2804591830606495</v>
      </c>
      <c r="K36" s="22" t="s">
        <v>452</v>
      </c>
      <c r="L36" s="40">
        <f t="shared" si="62"/>
        <v>-3.25</v>
      </c>
      <c r="M36" s="96">
        <v>47120</v>
      </c>
      <c r="N36" s="99">
        <f t="shared" si="37"/>
        <v>47028</v>
      </c>
      <c r="O36" s="38">
        <f t="shared" si="38"/>
        <v>47120</v>
      </c>
      <c r="P36" s="88">
        <f t="shared" si="39"/>
        <v>92</v>
      </c>
      <c r="Q36" s="47">
        <v>10000000</v>
      </c>
      <c r="R36" s="107">
        <f t="shared" si="12"/>
        <v>4.1814792599676257E-3</v>
      </c>
      <c r="S36" s="47">
        <f t="shared" si="40"/>
        <v>10686.002553250601</v>
      </c>
      <c r="T36" s="47">
        <f t="shared" si="41"/>
        <v>252.05479452061701</v>
      </c>
      <c r="V36" s="61">
        <f t="shared" si="13"/>
        <v>-12782510.672493396</v>
      </c>
      <c r="W36" s="47">
        <f t="shared" si="14"/>
        <v>-12804591.830606496</v>
      </c>
      <c r="X36" s="107">
        <f t="shared" si="15"/>
        <v>1.0472696390448588E-2</v>
      </c>
      <c r="Y36" s="47">
        <f t="shared" si="16"/>
        <v>-34210.545863954656</v>
      </c>
      <c r="Z36" s="47">
        <f t="shared" si="17"/>
        <v>22081.158113099635</v>
      </c>
      <c r="AC36" s="122">
        <f t="shared" si="42"/>
        <v>8.6277777777777782</v>
      </c>
      <c r="AD36" s="113">
        <f>BBG_GBP!V36/100</f>
        <v>4.1843999999999996E-3</v>
      </c>
      <c r="AE36" s="113">
        <f>BBG_EUR!J36/100</f>
        <v>1.0346200000000002E-2</v>
      </c>
      <c r="AF36" s="116">
        <f>BBG_GBP!X36</f>
        <v>1.0055730000000001</v>
      </c>
      <c r="AG36" s="116">
        <f>BBG_EUR!L36</f>
        <v>0.973997</v>
      </c>
      <c r="AH36" s="112">
        <f t="shared" si="43"/>
        <v>-6.4393623659642074E-4</v>
      </c>
      <c r="AI36" s="112">
        <f t="shared" si="43"/>
        <v>3.0584150073189598E-3</v>
      </c>
      <c r="AJ36" s="112">
        <f t="shared" si="44"/>
        <v>-4.7500289979707233E-4</v>
      </c>
      <c r="AK36" s="112">
        <f t="shared" si="45"/>
        <v>3.2421771911217423E-3</v>
      </c>
      <c r="AL36" s="143">
        <f t="shared" si="18"/>
        <v>1.2804591830606495</v>
      </c>
      <c r="AM36" s="143">
        <f>BBG_GBP!AA36</f>
        <v>1.2801810869999999</v>
      </c>
      <c r="AN36" s="151">
        <f t="shared" si="19"/>
        <v>0.99978281536473113</v>
      </c>
      <c r="AO36" s="147"/>
      <c r="AR36" s="2"/>
      <c r="AS36" s="45"/>
      <c r="AT36" s="45"/>
      <c r="AU36" s="18"/>
      <c r="BF36" s="3" t="s">
        <v>37</v>
      </c>
      <c r="BG36" s="3" t="s">
        <v>460</v>
      </c>
      <c r="BH36" s="2">
        <v>62276</v>
      </c>
      <c r="BI36" s="5">
        <v>2.5000000000000001E-5</v>
      </c>
      <c r="BJ36" s="5">
        <v>0.956497547196418</v>
      </c>
      <c r="BK36" s="5">
        <v>0.71962652268976302</v>
      </c>
      <c r="BS36" s="14"/>
      <c r="BX36" s="2">
        <f t="shared" si="57"/>
        <v>62276</v>
      </c>
      <c r="BY36" s="14">
        <f t="shared" si="6"/>
        <v>50.727777777777774</v>
      </c>
      <c r="BZ36" s="18"/>
      <c r="CA36" s="5">
        <v>9.1455342393514472E-4</v>
      </c>
      <c r="CB36" s="13">
        <f t="shared" si="58"/>
        <v>0.956497547196418</v>
      </c>
      <c r="CC36" s="5">
        <f t="shared" si="59"/>
        <v>8.7716356565592513E-4</v>
      </c>
      <c r="CD36" s="149">
        <f t="shared" si="60"/>
        <v>0.3738985827921959</v>
      </c>
      <c r="CF36" s="29"/>
    </row>
    <row r="37" spans="1:84" x14ac:dyDescent="0.25">
      <c r="A37" s="38">
        <v>47211</v>
      </c>
      <c r="B37" s="22">
        <v>2.4931506849234999E-5</v>
      </c>
      <c r="C37" s="22">
        <v>1.05697889881062E-3</v>
      </c>
      <c r="D37" s="22">
        <v>0.99223837155411199</v>
      </c>
      <c r="E37" s="22">
        <v>2.6472264500389999E-3</v>
      </c>
      <c r="F37" s="32">
        <v>0.97043748984712597</v>
      </c>
      <c r="G37" s="22">
        <f t="shared" si="0"/>
        <v>8.8805555555555564</v>
      </c>
      <c r="H37" s="22">
        <f t="shared" si="61"/>
        <v>-4.1606962669555979E-4</v>
      </c>
      <c r="I37" s="22">
        <f t="shared" si="10"/>
        <v>1.0037025358356644</v>
      </c>
      <c r="J37" s="32">
        <f t="shared" si="1"/>
        <v>1.2826086458035386</v>
      </c>
      <c r="K37" s="22" t="s">
        <v>452</v>
      </c>
      <c r="L37" s="40">
        <f t="shared" si="62"/>
        <v>-3.25</v>
      </c>
      <c r="M37" s="96">
        <v>47211</v>
      </c>
      <c r="N37" s="99">
        <f t="shared" si="37"/>
        <v>47120</v>
      </c>
      <c r="O37" s="38">
        <f t="shared" si="38"/>
        <v>47211</v>
      </c>
      <c r="P37" s="88">
        <f t="shared" si="39"/>
        <v>91</v>
      </c>
      <c r="Q37" s="47">
        <v>10000000</v>
      </c>
      <c r="R37" s="107">
        <f t="shared" si="12"/>
        <v>4.1814549843057491E-3</v>
      </c>
      <c r="S37" s="47">
        <f t="shared" si="40"/>
        <v>10569.7889881062</v>
      </c>
      <c r="T37" s="47">
        <f t="shared" si="41"/>
        <v>249.31506849234998</v>
      </c>
      <c r="V37" s="61">
        <f t="shared" si="13"/>
        <v>-12804591.830606496</v>
      </c>
      <c r="W37" s="47">
        <f t="shared" si="14"/>
        <v>-12826086.458035385</v>
      </c>
      <c r="X37" s="107">
        <f t="shared" si="15"/>
        <v>1.0472544197956483E-2</v>
      </c>
      <c r="Y37" s="47">
        <f t="shared" si="16"/>
        <v>-33896.654175934811</v>
      </c>
      <c r="Z37" s="47">
        <f t="shared" si="17"/>
        <v>21494.627428889275</v>
      </c>
      <c r="AC37" s="122">
        <f t="shared" si="42"/>
        <v>8.8805555555555564</v>
      </c>
      <c r="AD37" s="113">
        <f>BBG_GBP!V37/100</f>
        <v>4.3023000000000002E-3</v>
      </c>
      <c r="AE37" s="113">
        <f>BBG_EUR!J37/100</f>
        <v>1.0617300000000001E-2</v>
      </c>
      <c r="AF37" s="116">
        <f>BBG_GBP!X37</f>
        <v>1.005409</v>
      </c>
      <c r="AG37" s="116">
        <f>BBG_EUR!L37</f>
        <v>0.97212900000000002</v>
      </c>
      <c r="AH37" s="112">
        <f t="shared" si="43"/>
        <v>-6.0725770983505178E-4</v>
      </c>
      <c r="AI37" s="112">
        <f t="shared" si="43"/>
        <v>3.1880664857719676E-3</v>
      </c>
      <c r="AJ37" s="112">
        <f t="shared" si="44"/>
        <v>-4.1606962669560321E-4</v>
      </c>
      <c r="AK37" s="112">
        <f t="shared" si="45"/>
        <v>3.3848159814413581E-3</v>
      </c>
      <c r="AL37" s="143">
        <f t="shared" si="18"/>
        <v>1.2826086458035386</v>
      </c>
      <c r="AM37" s="143">
        <f>BBG_GBP!AA37</f>
        <v>1.2824044100000001</v>
      </c>
      <c r="AN37" s="151">
        <f t="shared" si="19"/>
        <v>0.99984076529952703</v>
      </c>
      <c r="AO37" s="147"/>
      <c r="AR37" s="2"/>
      <c r="AS37" s="45"/>
      <c r="AT37" s="45"/>
      <c r="AU37" s="18"/>
      <c r="BF37" s="1"/>
      <c r="BG37" s="1"/>
      <c r="BH37" s="1"/>
      <c r="BI37" s="1"/>
      <c r="BJ37" s="1"/>
      <c r="BK37" s="1"/>
      <c r="BS37" s="14"/>
      <c r="BZ37" s="1"/>
    </row>
    <row r="38" spans="1:84" x14ac:dyDescent="0.25">
      <c r="A38" s="39">
        <v>47301</v>
      </c>
      <c r="B38" s="11">
        <v>2.4657534246630399E-5</v>
      </c>
      <c r="C38" s="11">
        <v>1.04852332664728E-3</v>
      </c>
      <c r="D38" s="11">
        <v>0.99151149175346498</v>
      </c>
      <c r="E38" s="11">
        <v>2.6180980021035501E-3</v>
      </c>
      <c r="F38" s="33">
        <v>0.96844249206339905</v>
      </c>
      <c r="G38" s="11">
        <f t="shared" si="0"/>
        <v>9.1305555555555564</v>
      </c>
      <c r="H38" s="11">
        <f t="shared" si="61"/>
        <v>-3.5778397197974243E-4</v>
      </c>
      <c r="I38" s="11">
        <f t="shared" si="10"/>
        <v>1.0032726945802268</v>
      </c>
      <c r="J38" s="33">
        <f t="shared" si="1"/>
        <v>1.2847004119966789</v>
      </c>
      <c r="K38" s="11" t="s">
        <v>452</v>
      </c>
      <c r="L38" s="41">
        <f t="shared" si="62"/>
        <v>-3.25</v>
      </c>
      <c r="M38" s="95">
        <v>47301</v>
      </c>
      <c r="N38" s="9">
        <f t="shared" si="37"/>
        <v>47211</v>
      </c>
      <c r="O38" s="39">
        <f t="shared" si="38"/>
        <v>47301</v>
      </c>
      <c r="P38" s="87">
        <f t="shared" si="39"/>
        <v>90</v>
      </c>
      <c r="Q38" s="46">
        <v>10000000</v>
      </c>
      <c r="R38" s="106">
        <f t="shared" si="12"/>
        <v>4.1940933065891198E-3</v>
      </c>
      <c r="S38" s="46">
        <f t="shared" si="40"/>
        <v>10485.2332664728</v>
      </c>
      <c r="T38" s="46">
        <f t="shared" si="41"/>
        <v>246.57534246630399</v>
      </c>
      <c r="U38" s="50">
        <f>Q38</f>
        <v>10000000</v>
      </c>
      <c r="V38" s="62">
        <f t="shared" si="13"/>
        <v>-12826086.458035385</v>
      </c>
      <c r="W38" s="46">
        <f t="shared" si="14"/>
        <v>-12847004.11996679</v>
      </c>
      <c r="X38" s="106">
        <f t="shared" si="15"/>
        <v>1.04723920084142E-2</v>
      </c>
      <c r="Y38" s="46">
        <f t="shared" si="16"/>
        <v>-33579.951330589844</v>
      </c>
      <c r="Z38" s="46">
        <f t="shared" si="17"/>
        <v>20917.661931404844</v>
      </c>
      <c r="AA38" s="50">
        <f>W38</f>
        <v>-12847004.11996679</v>
      </c>
      <c r="AC38" s="122">
        <f t="shared" si="42"/>
        <v>9.1305555555555564</v>
      </c>
      <c r="AD38" s="113">
        <f>BBG_GBP!V38/100</f>
        <v>4.4161000000000001E-3</v>
      </c>
      <c r="AE38" s="113">
        <f>BBG_EUR!J38/100</f>
        <v>1.08833E-2</v>
      </c>
      <c r="AF38" s="116">
        <f>BBG_GBP!X38</f>
        <v>1.005228</v>
      </c>
      <c r="AG38" s="116">
        <f>BBG_EUR!L38</f>
        <v>0.970225</v>
      </c>
      <c r="AH38" s="112">
        <f t="shared" si="43"/>
        <v>-5.709283252396391E-4</v>
      </c>
      <c r="AI38" s="112">
        <f t="shared" si="43"/>
        <v>3.3160485514553972E-3</v>
      </c>
      <c r="AJ38" s="112">
        <f t="shared" si="44"/>
        <v>-3.5778397197971934E-4</v>
      </c>
      <c r="AK38" s="112">
        <f t="shared" si="45"/>
        <v>3.5181374944326382E-3</v>
      </c>
      <c r="AL38" s="143">
        <f t="shared" si="18"/>
        <v>1.2847004119966789</v>
      </c>
      <c r="AM38" s="143">
        <f>BBG_GBP!AA38</f>
        <v>1.284736675</v>
      </c>
      <c r="AN38" s="151">
        <f t="shared" si="19"/>
        <v>1.0000282268169158</v>
      </c>
      <c r="AO38" s="147"/>
      <c r="AR38" s="2"/>
      <c r="AS38" s="45"/>
      <c r="AT38" s="45"/>
      <c r="AU38" s="18"/>
      <c r="BF38" s="1"/>
      <c r="BG38" s="1"/>
      <c r="BH38" s="1"/>
      <c r="BI38" s="1"/>
      <c r="BJ38" s="1"/>
      <c r="BK38" s="1"/>
    </row>
    <row r="39" spans="1:84" x14ac:dyDescent="0.25">
      <c r="A39" s="38">
        <v>47393</v>
      </c>
      <c r="B39" s="22">
        <v>2.5205479452061701E-5</v>
      </c>
      <c r="C39" s="22">
        <v>1.16568697956997E-3</v>
      </c>
      <c r="D39" s="22">
        <v>0.99079583808543004</v>
      </c>
      <c r="E39" s="22">
        <v>2.7878218614632E-3</v>
      </c>
      <c r="F39" s="32">
        <v>0.96631708968508101</v>
      </c>
      <c r="G39" s="22">
        <f t="shared" si="0"/>
        <v>9.3861111111111111</v>
      </c>
      <c r="H39" s="22">
        <f t="shared" si="61"/>
        <v>-3.060905668726021E-4</v>
      </c>
      <c r="I39" s="22">
        <f t="shared" si="10"/>
        <v>1.0028775721449081</v>
      </c>
      <c r="J39" s="32">
        <f t="shared" si="1"/>
        <v>1.2870190235611039</v>
      </c>
      <c r="K39" s="22" t="s">
        <v>453</v>
      </c>
      <c r="L39" s="40">
        <f t="shared" si="62"/>
        <v>-3.5</v>
      </c>
      <c r="M39" s="96">
        <v>47393</v>
      </c>
      <c r="N39" s="99">
        <f t="shared" si="37"/>
        <v>47301</v>
      </c>
      <c r="O39" s="38">
        <f t="shared" si="38"/>
        <v>47393</v>
      </c>
      <c r="P39" s="88">
        <f t="shared" si="39"/>
        <v>92</v>
      </c>
      <c r="Q39" s="47">
        <v>10000000</v>
      </c>
      <c r="R39" s="107">
        <f t="shared" si="12"/>
        <v>4.5613838330998829E-3</v>
      </c>
      <c r="S39" s="47">
        <f t="shared" si="40"/>
        <v>11656.8697956997</v>
      </c>
      <c r="T39" s="47">
        <f t="shared" si="41"/>
        <v>252.05479452061701</v>
      </c>
      <c r="V39" s="61">
        <f t="shared" si="13"/>
        <v>-12847004.11996679</v>
      </c>
      <c r="W39" s="47">
        <f t="shared" si="14"/>
        <v>-12870190.235611038</v>
      </c>
      <c r="X39" s="107">
        <f t="shared" si="15"/>
        <v>1.0908868153551651E-2</v>
      </c>
      <c r="Y39" s="47">
        <f t="shared" si="16"/>
        <v>-35815.158939951216</v>
      </c>
      <c r="Z39" s="47">
        <f t="shared" si="17"/>
        <v>23186.115644248202</v>
      </c>
      <c r="AC39" s="122">
        <f t="shared" si="42"/>
        <v>9.3861111111111111</v>
      </c>
      <c r="AD39" s="113">
        <f>BBG_GBP!V39/100</f>
        <v>4.4608E-3</v>
      </c>
      <c r="AE39" s="113">
        <f>BBG_EUR!J39/100</f>
        <v>1.0562800000000001E-2</v>
      </c>
      <c r="AF39" s="116">
        <f>BBG_GBP!X39</f>
        <v>1.0048900000000001</v>
      </c>
      <c r="AG39" s="116">
        <f>BBG_EUR!L39</f>
        <v>0.96823499999999996</v>
      </c>
      <c r="AH39" s="112">
        <f t="shared" si="43"/>
        <v>-5.1957784698664078E-4</v>
      </c>
      <c r="AI39" s="112">
        <f t="shared" si="43"/>
        <v>3.4450929569105337E-3</v>
      </c>
      <c r="AJ39" s="112">
        <f t="shared" si="44"/>
        <v>-3.0609056687247449E-4</v>
      </c>
      <c r="AK39" s="112">
        <f t="shared" si="45"/>
        <v>3.6570909745987645E-3</v>
      </c>
      <c r="AL39" s="143">
        <f t="shared" si="18"/>
        <v>1.2870190235611039</v>
      </c>
      <c r="AM39" s="143">
        <f>BBG_GBP!AA39</f>
        <v>1.2869510199999998</v>
      </c>
      <c r="AN39" s="151">
        <f t="shared" si="19"/>
        <v>0.99994716196119937</v>
      </c>
      <c r="AO39" s="147"/>
      <c r="AR39" s="2"/>
      <c r="AS39" s="45"/>
      <c r="AT39" s="45"/>
      <c r="AU39" s="18"/>
    </row>
    <row r="40" spans="1:84" x14ac:dyDescent="0.25">
      <c r="A40" s="38">
        <v>47485</v>
      </c>
      <c r="B40" s="22">
        <v>2.5205479452061701E-5</v>
      </c>
      <c r="C40" s="22">
        <v>1.16568697956997E-3</v>
      </c>
      <c r="D40" s="22">
        <v>0.99008070096226197</v>
      </c>
      <c r="E40" s="22">
        <v>2.7878218614629802E-3</v>
      </c>
      <c r="F40" s="32">
        <v>0.96419635184317798</v>
      </c>
      <c r="G40" s="22">
        <f t="shared" si="0"/>
        <v>9.6416666666666675</v>
      </c>
      <c r="H40" s="22">
        <f t="shared" si="61"/>
        <v>-2.5439716176546155E-4</v>
      </c>
      <c r="I40" s="22">
        <f t="shared" si="10"/>
        <v>1.0024561360541715</v>
      </c>
      <c r="J40" s="32">
        <f t="shared" si="1"/>
        <v>1.2893077763096223</v>
      </c>
      <c r="K40" s="22" t="s">
        <v>453</v>
      </c>
      <c r="L40" s="40">
        <f t="shared" si="62"/>
        <v>-3.5</v>
      </c>
      <c r="M40" s="96">
        <v>47485</v>
      </c>
      <c r="N40" s="99">
        <f t="shared" si="37"/>
        <v>47393</v>
      </c>
      <c r="O40" s="38">
        <f t="shared" si="38"/>
        <v>47485</v>
      </c>
      <c r="P40" s="88">
        <f t="shared" si="39"/>
        <v>92</v>
      </c>
      <c r="Q40" s="47">
        <v>10000000</v>
      </c>
      <c r="R40" s="107">
        <f t="shared" si="12"/>
        <v>4.5613838330998829E-3</v>
      </c>
      <c r="S40" s="47">
        <f t="shared" si="40"/>
        <v>11656.8697956997</v>
      </c>
      <c r="T40" s="47">
        <f t="shared" si="41"/>
        <v>252.05479452061701</v>
      </c>
      <c r="V40" s="61">
        <f t="shared" si="13"/>
        <v>-12870190.235611038</v>
      </c>
      <c r="W40" s="47">
        <f t="shared" si="14"/>
        <v>-12893077.763096223</v>
      </c>
      <c r="X40" s="107">
        <f t="shared" si="15"/>
        <v>1.0908868153550792E-2</v>
      </c>
      <c r="Y40" s="47">
        <f t="shared" si="16"/>
        <v>-35879.797700023839</v>
      </c>
      <c r="Z40" s="47">
        <f t="shared" si="17"/>
        <v>22887.527485184371</v>
      </c>
      <c r="AC40" s="122">
        <f t="shared" si="42"/>
        <v>9.6416666666666675</v>
      </c>
      <c r="AD40" s="113">
        <f>BBG_GBP!V40/100</f>
        <v>4.5744000000000002E-3</v>
      </c>
      <c r="AE40" s="113">
        <f>BBG_EUR!J40/100</f>
        <v>1.0800199999999999E-2</v>
      </c>
      <c r="AF40" s="116">
        <f>BBG_GBP!X40</f>
        <v>1.004526</v>
      </c>
      <c r="AG40" s="116">
        <f>BBG_EUR!L40</f>
        <v>0.96618899999999996</v>
      </c>
      <c r="AH40" s="112">
        <f t="shared" si="43"/>
        <v>-4.6825214682821859E-4</v>
      </c>
      <c r="AI40" s="112">
        <f t="shared" si="43"/>
        <v>3.5737842830387834E-3</v>
      </c>
      <c r="AJ40" s="112">
        <f t="shared" si="44"/>
        <v>-2.5439716176534066E-4</v>
      </c>
      <c r="AK40" s="112">
        <f t="shared" si="45"/>
        <v>3.7886961765585259E-3</v>
      </c>
      <c r="AL40" s="143">
        <f t="shared" si="18"/>
        <v>1.2893077763096223</v>
      </c>
      <c r="AM40" s="143">
        <f>BBG_GBP!AA40</f>
        <v>1.2891817000000001</v>
      </c>
      <c r="AN40" s="151">
        <f t="shared" si="19"/>
        <v>0.99990221395392254</v>
      </c>
      <c r="AO40" s="147"/>
      <c r="AR40" s="2"/>
      <c r="AS40" s="45"/>
      <c r="AT40" s="45"/>
      <c r="AU40" s="18"/>
    </row>
    <row r="41" spans="1:84" x14ac:dyDescent="0.25">
      <c r="A41" s="38">
        <v>47575</v>
      </c>
      <c r="B41" s="22">
        <v>2.4657534246630399E-5</v>
      </c>
      <c r="C41" s="22">
        <v>1.1403315152422799E-3</v>
      </c>
      <c r="D41" s="22">
        <v>0.98938160976321399</v>
      </c>
      <c r="E41" s="22">
        <v>2.7271344754902201E-3</v>
      </c>
      <c r="F41" s="32">
        <v>0.96212622069799802</v>
      </c>
      <c r="G41" s="22">
        <f t="shared" si="0"/>
        <v>9.8916666666666675</v>
      </c>
      <c r="H41" s="22">
        <f t="shared" si="61"/>
        <v>-2.0382752633456324E-4</v>
      </c>
      <c r="I41" s="22">
        <f t="shared" si="10"/>
        <v>1.0020184337543001</v>
      </c>
      <c r="J41" s="32">
        <f t="shared" si="1"/>
        <v>1.2915177166642757</v>
      </c>
      <c r="K41" s="22" t="s">
        <v>453</v>
      </c>
      <c r="L41" s="40">
        <f t="shared" si="62"/>
        <v>-3.5</v>
      </c>
      <c r="M41" s="96">
        <v>47575</v>
      </c>
      <c r="N41" s="99">
        <f t="shared" si="37"/>
        <v>47485</v>
      </c>
      <c r="O41" s="38">
        <f t="shared" si="38"/>
        <v>47575</v>
      </c>
      <c r="P41" s="88">
        <f t="shared" si="39"/>
        <v>90</v>
      </c>
      <c r="Q41" s="47">
        <v>10000000</v>
      </c>
      <c r="R41" s="107">
        <f t="shared" si="12"/>
        <v>4.5613260609691196E-3</v>
      </c>
      <c r="S41" s="47">
        <f t="shared" si="40"/>
        <v>11403.3151524228</v>
      </c>
      <c r="T41" s="47">
        <f t="shared" si="41"/>
        <v>246.57534246630399</v>
      </c>
      <c r="V41" s="61">
        <f t="shared" si="13"/>
        <v>-12893077.763096223</v>
      </c>
      <c r="W41" s="47">
        <f t="shared" si="14"/>
        <v>-12915177.166642757</v>
      </c>
      <c r="X41" s="107">
        <f t="shared" si="15"/>
        <v>1.090853790196088E-2</v>
      </c>
      <c r="Y41" s="47">
        <f t="shared" si="16"/>
        <v>-35161.156862916039</v>
      </c>
      <c r="Z41" s="47">
        <f t="shared" si="17"/>
        <v>22099.403546534479</v>
      </c>
      <c r="AC41" s="122">
        <f t="shared" si="42"/>
        <v>9.8916666666666675</v>
      </c>
      <c r="AD41" s="113">
        <f>BBG_GBP!V41/100</f>
        <v>4.6861999999999997E-3</v>
      </c>
      <c r="AE41" s="113">
        <f>BBG_EUR!J41/100</f>
        <v>1.1032599999999998E-2</v>
      </c>
      <c r="AF41" s="116">
        <f>BBG_GBP!X41</f>
        <v>1.0041439999999999</v>
      </c>
      <c r="AG41" s="116">
        <f>BBG_EUR!L41</f>
        <v>0.96413400000000005</v>
      </c>
      <c r="AH41" s="112">
        <f t="shared" si="43"/>
        <v>-4.1798547024984867E-4</v>
      </c>
      <c r="AI41" s="112">
        <f t="shared" si="43"/>
        <v>3.6993267641260985E-3</v>
      </c>
      <c r="AJ41" s="112">
        <f t="shared" si="44"/>
        <v>-2.0382752633452128E-4</v>
      </c>
      <c r="AK41" s="112">
        <f t="shared" si="45"/>
        <v>3.9108758210337768E-3</v>
      </c>
      <c r="AL41" s="143">
        <f t="shared" si="18"/>
        <v>1.2915177166642757</v>
      </c>
      <c r="AM41" s="143">
        <f>BBG_GBP!AA41</f>
        <v>1.2914599330000001</v>
      </c>
      <c r="AN41" s="151">
        <f t="shared" si="19"/>
        <v>0.99995525910056815</v>
      </c>
      <c r="AO41" s="147"/>
      <c r="AR41" s="2"/>
      <c r="AS41" s="45"/>
      <c r="AT41" s="45"/>
      <c r="AU41" s="18"/>
    </row>
    <row r="42" spans="1:84" x14ac:dyDescent="0.25">
      <c r="A42" s="39">
        <v>47666</v>
      </c>
      <c r="B42" s="11">
        <v>2.4931506849234999E-5</v>
      </c>
      <c r="C42" s="11">
        <v>1.1525671520478101E-3</v>
      </c>
      <c r="D42" s="11">
        <v>0.98867229133784695</v>
      </c>
      <c r="E42" s="11">
        <v>2.7574777093728399E-3</v>
      </c>
      <c r="F42" s="33">
        <v>0.96003760698525897</v>
      </c>
      <c r="G42" s="11">
        <f t="shared" si="0"/>
        <v>10.144444444444444</v>
      </c>
      <c r="H42" s="11">
        <f t="shared" si="61"/>
        <v>-1.5269600606554416E-4</v>
      </c>
      <c r="I42" s="11">
        <f t="shared" si="10"/>
        <v>1.0015503349553327</v>
      </c>
      <c r="J42" s="33">
        <f t="shared" si="1"/>
        <v>1.2937228305861344</v>
      </c>
      <c r="K42" s="11" t="s">
        <v>453</v>
      </c>
      <c r="L42" s="41">
        <f t="shared" si="62"/>
        <v>-3.5</v>
      </c>
      <c r="M42" s="95">
        <v>47666</v>
      </c>
      <c r="N42" s="9">
        <f t="shared" si="37"/>
        <v>47575</v>
      </c>
      <c r="O42" s="39">
        <f t="shared" si="38"/>
        <v>47666</v>
      </c>
      <c r="P42" s="87">
        <f t="shared" si="39"/>
        <v>91</v>
      </c>
      <c r="Q42" s="46">
        <v>10000000</v>
      </c>
      <c r="R42" s="106">
        <f t="shared" si="12"/>
        <v>4.5596063157935345E-3</v>
      </c>
      <c r="S42" s="46">
        <f t="shared" si="40"/>
        <v>11525.671520478101</v>
      </c>
      <c r="T42" s="46">
        <f t="shared" si="41"/>
        <v>249.31506849234998</v>
      </c>
      <c r="U42" s="50">
        <f>Q42</f>
        <v>10000000</v>
      </c>
      <c r="V42" s="62">
        <f t="shared" si="13"/>
        <v>-12915177.166642757</v>
      </c>
      <c r="W42" s="46">
        <f t="shared" si="14"/>
        <v>-12937228.305861343</v>
      </c>
      <c r="X42" s="106">
        <f t="shared" si="15"/>
        <v>1.0908703026090356E-2</v>
      </c>
      <c r="Y42" s="46">
        <f t="shared" si="16"/>
        <v>-35613.313149618472</v>
      </c>
      <c r="Z42" s="46">
        <f t="shared" si="17"/>
        <v>22051.139218585566</v>
      </c>
      <c r="AA42" s="50">
        <f>W42</f>
        <v>-12937228.305861343</v>
      </c>
      <c r="AC42" s="122">
        <f t="shared" si="42"/>
        <v>10.144444444444444</v>
      </c>
      <c r="AD42" s="113">
        <f>BBG_GBP!V42/100</f>
        <v>4.7650999999999995E-3</v>
      </c>
      <c r="AE42" s="113">
        <f>BBG_EUR!J42/100</f>
        <v>1.1262300000000001E-2</v>
      </c>
      <c r="AF42" s="116">
        <f>BBG_GBP!X42</f>
        <v>1.00373</v>
      </c>
      <c r="AG42" s="116">
        <f>BBG_EUR!L42</f>
        <v>0.96200399999999997</v>
      </c>
      <c r="AH42" s="112">
        <f t="shared" si="43"/>
        <v>-3.6693756009065215E-4</v>
      </c>
      <c r="AI42" s="112">
        <f t="shared" si="43"/>
        <v>3.8258105662107855E-3</v>
      </c>
      <c r="AJ42" s="112">
        <f t="shared" si="44"/>
        <v>-1.5269600606537814E-4</v>
      </c>
      <c r="AK42" s="112">
        <f t="shared" si="45"/>
        <v>4.0283042937385716E-3</v>
      </c>
      <c r="AL42" s="143">
        <f t="shared" si="18"/>
        <v>1.2937228305861344</v>
      </c>
      <c r="AM42" s="143">
        <f>BBG_GBP!AA42</f>
        <v>1.2937853580000001</v>
      </c>
      <c r="AN42" s="151">
        <f t="shared" si="19"/>
        <v>1.0000483313831892</v>
      </c>
      <c r="AO42" s="147"/>
      <c r="AR42" s="2"/>
      <c r="AS42" s="45"/>
      <c r="AT42" s="45"/>
      <c r="AU42" s="18"/>
    </row>
    <row r="43" spans="1:84" x14ac:dyDescent="0.25">
      <c r="A43" s="38">
        <v>47758</v>
      </c>
      <c r="B43" s="22">
        <v>2.5205479452061701E-5</v>
      </c>
      <c r="C43" s="22">
        <v>1.15552055317702E-3</v>
      </c>
      <c r="D43" s="22">
        <v>0.98789062572605901</v>
      </c>
      <c r="E43" s="22">
        <v>2.90803475213841E-3</v>
      </c>
      <c r="F43" s="32">
        <v>0.95783744721483</v>
      </c>
      <c r="G43" s="22">
        <f t="shared" si="0"/>
        <v>10.4</v>
      </c>
      <c r="H43" s="22">
        <f t="shared" si="61"/>
        <v>-1.1971686121514322E-4</v>
      </c>
      <c r="I43" s="22">
        <f t="shared" si="10"/>
        <v>1.0012459053856979</v>
      </c>
      <c r="J43" s="32">
        <f t="shared" si="1"/>
        <v>1.2963003804865019</v>
      </c>
      <c r="K43" s="22" t="s">
        <v>454</v>
      </c>
      <c r="L43" s="40">
        <f t="shared" si="62"/>
        <v>-4.125</v>
      </c>
      <c r="M43" s="96">
        <v>47758</v>
      </c>
      <c r="N43" s="99">
        <f t="shared" si="37"/>
        <v>47666</v>
      </c>
      <c r="O43" s="38">
        <f t="shared" si="38"/>
        <v>47758</v>
      </c>
      <c r="P43" s="88">
        <f t="shared" si="39"/>
        <v>92</v>
      </c>
      <c r="Q43" s="47">
        <v>10000000</v>
      </c>
      <c r="R43" s="107">
        <f t="shared" si="12"/>
        <v>4.5216021646057305E-3</v>
      </c>
      <c r="S43" s="47">
        <f t="shared" si="40"/>
        <v>11555.2055317702</v>
      </c>
      <c r="T43" s="47">
        <f t="shared" si="41"/>
        <v>252.05479452061701</v>
      </c>
      <c r="V43" s="61">
        <f t="shared" si="13"/>
        <v>-12937228.305861343</v>
      </c>
      <c r="W43" s="47">
        <f t="shared" si="14"/>
        <v>-12963003.804865019</v>
      </c>
      <c r="X43" s="107">
        <f t="shared" si="15"/>
        <v>1.1379266421411171E-2</v>
      </c>
      <c r="Y43" s="47">
        <f t="shared" si="16"/>
        <v>-37621.909509793513</v>
      </c>
      <c r="Z43" s="47">
        <f t="shared" si="17"/>
        <v>25775.499003676698</v>
      </c>
      <c r="AC43" s="122">
        <f t="shared" si="42"/>
        <v>10.4</v>
      </c>
      <c r="AD43" s="113">
        <f>BBG_GBP!V43/100</f>
        <v>4.1600999999999999E-3</v>
      </c>
      <c r="AE43" s="113">
        <f>BBG_EUR!J43/100</f>
        <v>1.0976E-2</v>
      </c>
      <c r="AF43" s="116">
        <f>BBG_GBP!X43</f>
        <v>1.003628</v>
      </c>
      <c r="AG43" s="116">
        <f>BBG_EUR!L43</f>
        <v>0.96013099999999996</v>
      </c>
      <c r="AH43" s="112">
        <f t="shared" si="43"/>
        <v>-3.4815425355694263E-4</v>
      </c>
      <c r="AI43" s="112">
        <f t="shared" si="43"/>
        <v>3.9197338231375944E-3</v>
      </c>
      <c r="AJ43" s="112">
        <f t="shared" si="44"/>
        <v>-1.1971686121514669E-4</v>
      </c>
      <c r="AK43" s="112">
        <f t="shared" si="45"/>
        <v>4.1506280495968717E-3</v>
      </c>
      <c r="AL43" s="143">
        <f t="shared" si="18"/>
        <v>1.2963003804865019</v>
      </c>
      <c r="AM43" s="143">
        <f>BBG_GBP!AA43</f>
        <v>1.296228983</v>
      </c>
      <c r="AN43" s="151">
        <f t="shared" si="19"/>
        <v>0.99994492211251607</v>
      </c>
      <c r="AO43" s="147"/>
    </row>
    <row r="44" spans="1:84" x14ac:dyDescent="0.25">
      <c r="A44" s="38">
        <v>47850</v>
      </c>
      <c r="B44" s="22">
        <v>2.5205479452061701E-5</v>
      </c>
      <c r="C44" s="22">
        <v>1.15552055317702E-3</v>
      </c>
      <c r="D44" s="22">
        <v>0.98710957811594402</v>
      </c>
      <c r="E44" s="22">
        <v>2.90803475213841E-3</v>
      </c>
      <c r="F44" s="32">
        <v>0.95564232964585205</v>
      </c>
      <c r="G44" s="22">
        <f t="shared" si="0"/>
        <v>10.655555555555555</v>
      </c>
      <c r="H44" s="22">
        <f t="shared" si="61"/>
        <v>-8.6737716364742516E-5</v>
      </c>
      <c r="I44" s="22">
        <f t="shared" si="10"/>
        <v>1.0009247059181088</v>
      </c>
      <c r="J44" s="32">
        <f t="shared" si="1"/>
        <v>1.2988611840467925</v>
      </c>
      <c r="K44" s="22" t="s">
        <v>454</v>
      </c>
      <c r="L44" s="40">
        <f t="shared" si="62"/>
        <v>-4.125</v>
      </c>
      <c r="M44" s="96">
        <v>47850</v>
      </c>
      <c r="N44" s="99">
        <f t="shared" si="37"/>
        <v>47758</v>
      </c>
      <c r="O44" s="38">
        <f t="shared" si="38"/>
        <v>47850</v>
      </c>
      <c r="P44" s="88">
        <f t="shared" si="39"/>
        <v>92</v>
      </c>
      <c r="Q44" s="47">
        <v>10000000</v>
      </c>
      <c r="R44" s="107">
        <f t="shared" si="12"/>
        <v>4.5216021646057305E-3</v>
      </c>
      <c r="S44" s="47">
        <f t="shared" si="40"/>
        <v>11555.2055317702</v>
      </c>
      <c r="T44" s="47">
        <f t="shared" si="41"/>
        <v>252.05479452061701</v>
      </c>
      <c r="V44" s="61">
        <f t="shared" si="13"/>
        <v>-12963003.804865019</v>
      </c>
      <c r="W44" s="47">
        <f t="shared" si="14"/>
        <v>-12988611.840467924</v>
      </c>
      <c r="X44" s="107">
        <f t="shared" si="15"/>
        <v>1.1379266421411171E-2</v>
      </c>
      <c r="Y44" s="47">
        <f t="shared" si="16"/>
        <v>-37696.865556649915</v>
      </c>
      <c r="Z44" s="47">
        <f t="shared" si="17"/>
        <v>25608.035602904856</v>
      </c>
      <c r="AC44" s="122">
        <f t="shared" si="42"/>
        <v>10.655555555555555</v>
      </c>
      <c r="AD44" s="113">
        <f>BBG_GBP!V44/100</f>
        <v>4.2370000000000003E-3</v>
      </c>
      <c r="AE44" s="113">
        <f>BBG_EUR!J44/100</f>
        <v>1.11828E-2</v>
      </c>
      <c r="AF44" s="116">
        <f>BBG_GBP!X44</f>
        <v>1.003477</v>
      </c>
      <c r="AG44" s="116">
        <f>BBG_EUR!L44</f>
        <v>0.95823100000000005</v>
      </c>
      <c r="AH44" s="112">
        <f t="shared" si="43"/>
        <v>-3.2568963041912369E-4</v>
      </c>
      <c r="AI44" s="112">
        <f t="shared" si="43"/>
        <v>4.0121735456792873E-3</v>
      </c>
      <c r="AJ44" s="112">
        <f t="shared" si="44"/>
        <v>-8.6737716364693185E-5</v>
      </c>
      <c r="AK44" s="112">
        <f t="shared" si="45"/>
        <v>4.2670981947943165E-3</v>
      </c>
      <c r="AL44" s="143">
        <f t="shared" si="18"/>
        <v>1.2988611840467925</v>
      </c>
      <c r="AM44" s="143">
        <f>BBG_GBP!AA44</f>
        <v>1.298577986</v>
      </c>
      <c r="AN44" s="151">
        <f t="shared" si="19"/>
        <v>0.99978196434671318</v>
      </c>
      <c r="AO44" s="147"/>
    </row>
    <row r="45" spans="1:84" x14ac:dyDescent="0.25">
      <c r="A45" s="38">
        <v>47940</v>
      </c>
      <c r="B45" s="22">
        <v>2.4657534246630399E-5</v>
      </c>
      <c r="C45" s="22">
        <v>1.1303863488980599E-3</v>
      </c>
      <c r="D45" s="22">
        <v>0.98634610732781003</v>
      </c>
      <c r="E45" s="22">
        <v>2.8447267722657701E-3</v>
      </c>
      <c r="F45" s="32">
        <v>0.95349979989684297</v>
      </c>
      <c r="G45" s="22">
        <f t="shared" si="0"/>
        <v>10.905555555555555</v>
      </c>
      <c r="H45" s="22">
        <f t="shared" si="61"/>
        <v>-5.4475509445872128E-5</v>
      </c>
      <c r="I45" s="22">
        <f t="shared" si="10"/>
        <v>1.0005942783903006</v>
      </c>
      <c r="J45" s="32">
        <f t="shared" si="1"/>
        <v>1.3013500000378135</v>
      </c>
      <c r="K45" s="22" t="s">
        <v>454</v>
      </c>
      <c r="L45" s="40">
        <f t="shared" si="62"/>
        <v>-4.125</v>
      </c>
      <c r="M45" s="96">
        <v>47940</v>
      </c>
      <c r="N45" s="99">
        <f t="shared" si="37"/>
        <v>47850</v>
      </c>
      <c r="O45" s="38">
        <f t="shared" si="38"/>
        <v>47940</v>
      </c>
      <c r="P45" s="88">
        <f t="shared" si="39"/>
        <v>90</v>
      </c>
      <c r="Q45" s="47">
        <v>10000000</v>
      </c>
      <c r="R45" s="107">
        <f t="shared" si="12"/>
        <v>4.5215453955922396E-3</v>
      </c>
      <c r="S45" s="47">
        <f t="shared" si="40"/>
        <v>11303.8634889806</v>
      </c>
      <c r="T45" s="47">
        <f t="shared" si="41"/>
        <v>246.57534246630399</v>
      </c>
      <c r="V45" s="61">
        <f t="shared" si="13"/>
        <v>-12988611.840467924</v>
      </c>
      <c r="W45" s="47">
        <f t="shared" si="14"/>
        <v>-13013500.000378136</v>
      </c>
      <c r="X45" s="107">
        <f t="shared" si="15"/>
        <v>1.1378907089063082E-2</v>
      </c>
      <c r="Y45" s="47">
        <f t="shared" si="16"/>
        <v>-36949.051837147279</v>
      </c>
      <c r="Z45" s="47">
        <f t="shared" si="17"/>
        <v>24888.15991021134</v>
      </c>
      <c r="AC45" s="122">
        <f t="shared" si="42"/>
        <v>10.905555555555555</v>
      </c>
      <c r="AD45" s="113">
        <f>BBG_GBP!V45/100</f>
        <v>4.3128000000000003E-3</v>
      </c>
      <c r="AE45" s="113">
        <f>BBG_EUR!J45/100</f>
        <v>1.1385300000000001E-2</v>
      </c>
      <c r="AF45" s="116">
        <f>BBG_GBP!X45</f>
        <v>1.003323</v>
      </c>
      <c r="AG45" s="116">
        <f>BBG_EUR!L45</f>
        <v>0.95633400000000002</v>
      </c>
      <c r="AH45" s="112">
        <f t="shared" si="43"/>
        <v>-3.0415566423880325E-4</v>
      </c>
      <c r="AI45" s="112">
        <f t="shared" si="43"/>
        <v>4.1024572485444111E-3</v>
      </c>
      <c r="AJ45" s="112">
        <f t="shared" si="44"/>
        <v>-5.4475509445706116E-5</v>
      </c>
      <c r="AK45" s="112">
        <f t="shared" si="45"/>
        <v>4.3757666577868282E-3</v>
      </c>
      <c r="AL45" s="143">
        <f t="shared" si="18"/>
        <v>1.3013500000378135</v>
      </c>
      <c r="AM45" s="143">
        <f>BBG_GBP!AA45</f>
        <v>1.3009775619999999</v>
      </c>
      <c r="AN45" s="151">
        <f t="shared" si="19"/>
        <v>0.99971380640273344</v>
      </c>
      <c r="AO45" s="147"/>
    </row>
    <row r="46" spans="1:84" x14ac:dyDescent="0.25">
      <c r="A46" s="38">
        <v>48031</v>
      </c>
      <c r="B46" s="22">
        <v>2.4931506849234999E-5</v>
      </c>
      <c r="C46" s="22">
        <v>1.14295337216163E-3</v>
      </c>
      <c r="D46" s="22">
        <v>0.98557475390673799</v>
      </c>
      <c r="E46" s="22">
        <v>2.87638026265146E-3</v>
      </c>
      <c r="F46" s="32">
        <v>0.95133834808216899</v>
      </c>
      <c r="G46" s="22">
        <f t="shared" si="0"/>
        <v>11.158333333333333</v>
      </c>
      <c r="H46" s="22">
        <f t="shared" si="61"/>
        <v>-2.1854833561236479E-5</v>
      </c>
      <c r="I46" s="22">
        <f t="shared" si="10"/>
        <v>1.0002438959204323</v>
      </c>
      <c r="J46" s="32">
        <f t="shared" si="1"/>
        <v>1.3038499476358667</v>
      </c>
      <c r="K46" s="22" t="s">
        <v>454</v>
      </c>
      <c r="L46" s="40">
        <f t="shared" si="62"/>
        <v>-4.125</v>
      </c>
      <c r="M46" s="96">
        <v>48031</v>
      </c>
      <c r="N46" s="99">
        <f t="shared" si="37"/>
        <v>47940</v>
      </c>
      <c r="O46" s="38">
        <f t="shared" si="38"/>
        <v>48031</v>
      </c>
      <c r="P46" s="88">
        <f t="shared" si="39"/>
        <v>91</v>
      </c>
      <c r="Q46" s="47">
        <v>10000000</v>
      </c>
      <c r="R46" s="107">
        <f t="shared" si="12"/>
        <v>4.5215737799800745E-3</v>
      </c>
      <c r="S46" s="47">
        <f t="shared" si="40"/>
        <v>11429.533721616301</v>
      </c>
      <c r="T46" s="47">
        <f t="shared" si="41"/>
        <v>249.31506849234998</v>
      </c>
      <c r="V46" s="61">
        <f t="shared" si="13"/>
        <v>-13013500.000378136</v>
      </c>
      <c r="W46" s="47">
        <f t="shared" si="14"/>
        <v>-13038499.476358667</v>
      </c>
      <c r="X46" s="107">
        <f t="shared" si="15"/>
        <v>1.1379086753346434E-2</v>
      </c>
      <c r="Y46" s="47">
        <f t="shared" si="16"/>
        <v>-37431.77454910244</v>
      </c>
      <c r="Z46" s="47">
        <f t="shared" si="17"/>
        <v>24999.475980531424</v>
      </c>
      <c r="AC46" s="122">
        <f t="shared" si="42"/>
        <v>11.158333333333333</v>
      </c>
      <c r="AD46" s="113">
        <f>BBG_GBP!V46/100</f>
        <v>4.3946000000000002E-3</v>
      </c>
      <c r="AE46" s="113">
        <f>BBG_EUR!J46/100</f>
        <v>1.15853E-2</v>
      </c>
      <c r="AF46" s="116">
        <f>BBG_GBP!X46</f>
        <v>1.0031589999999999</v>
      </c>
      <c r="AG46" s="116">
        <f>BBG_EUR!L46</f>
        <v>0.95438000000000001</v>
      </c>
      <c r="AH46" s="112">
        <f t="shared" si="43"/>
        <v>-2.8262062370587593E-4</v>
      </c>
      <c r="AI46" s="112">
        <f t="shared" si="43"/>
        <v>4.1933858723062212E-3</v>
      </c>
      <c r="AJ46" s="112">
        <f t="shared" si="44"/>
        <v>-2.1854833561318898E-5</v>
      </c>
      <c r="AK46" s="112">
        <f t="shared" si="45"/>
        <v>4.4807028632181112E-3</v>
      </c>
      <c r="AL46" s="143">
        <f t="shared" si="18"/>
        <v>1.3038499476358667</v>
      </c>
      <c r="AM46" s="143">
        <f>BBG_GBP!AA46</f>
        <v>1.303428099</v>
      </c>
      <c r="AN46" s="151">
        <f t="shared" si="19"/>
        <v>0.99967645921478032</v>
      </c>
      <c r="AO46" s="147"/>
    </row>
    <row r="47" spans="1:84" x14ac:dyDescent="0.25">
      <c r="A47" s="38">
        <v>48123</v>
      </c>
      <c r="B47" s="22">
        <v>2.5205479452061701E-5</v>
      </c>
      <c r="C47" s="22">
        <v>1.15552055317702E-3</v>
      </c>
      <c r="D47" s="22">
        <v>0.98479553727477198</v>
      </c>
      <c r="E47" s="22">
        <v>2.90803475213841E-3</v>
      </c>
      <c r="F47" s="32">
        <v>0.94915812478019901</v>
      </c>
      <c r="G47" s="22">
        <f t="shared" si="0"/>
        <v>11.41388888888889</v>
      </c>
      <c r="H47" s="22">
        <f t="shared" si="61"/>
        <v>1.1124311289164459E-5</v>
      </c>
      <c r="I47" s="22">
        <f t="shared" si="10"/>
        <v>0.99987303711367947</v>
      </c>
      <c r="J47" s="32">
        <f t="shared" si="1"/>
        <v>1.3063603639402162</v>
      </c>
      <c r="K47" s="22" t="s">
        <v>454</v>
      </c>
      <c r="L47" s="40">
        <f t="shared" si="62"/>
        <v>-4.125</v>
      </c>
      <c r="M47" s="96">
        <v>48123</v>
      </c>
      <c r="N47" s="99">
        <f t="shared" si="37"/>
        <v>48031</v>
      </c>
      <c r="O47" s="38">
        <f t="shared" si="38"/>
        <v>48123</v>
      </c>
      <c r="P47" s="88">
        <f t="shared" si="39"/>
        <v>92</v>
      </c>
      <c r="Q47" s="47">
        <v>10000000</v>
      </c>
      <c r="R47" s="107">
        <f t="shared" si="12"/>
        <v>4.5216021646057305E-3</v>
      </c>
      <c r="S47" s="47">
        <f t="shared" si="40"/>
        <v>11555.2055317702</v>
      </c>
      <c r="T47" s="47">
        <f t="shared" si="41"/>
        <v>252.05479452061701</v>
      </c>
      <c r="V47" s="61">
        <f t="shared" si="13"/>
        <v>-13038499.476358667</v>
      </c>
      <c r="W47" s="47">
        <f t="shared" si="14"/>
        <v>-13063603.639402162</v>
      </c>
      <c r="X47" s="107">
        <f t="shared" si="15"/>
        <v>1.1379266421411171E-2</v>
      </c>
      <c r="Y47" s="47">
        <f t="shared" si="16"/>
        <v>-37916.409592989468</v>
      </c>
      <c r="Z47" s="47">
        <f t="shared" si="17"/>
        <v>25104.163043495268</v>
      </c>
      <c r="AC47" s="122">
        <f t="shared" si="42"/>
        <v>11.41388888888889</v>
      </c>
      <c r="AD47" s="113">
        <f>BBG_GBP!V47/100</f>
        <v>4.7695999999999997E-3</v>
      </c>
      <c r="AE47" s="113">
        <f>BBG_EUR!J47/100</f>
        <v>1.1175200000000001E-2</v>
      </c>
      <c r="AF47" s="116">
        <f>BBG_GBP!X47</f>
        <v>1.0029870000000001</v>
      </c>
      <c r="AG47" s="116">
        <f>BBG_EUR!L47</f>
        <v>0.95236699999999996</v>
      </c>
      <c r="AH47" s="112">
        <f t="shared" si="43"/>
        <v>-2.6127450156321341E-4</v>
      </c>
      <c r="AI47" s="112">
        <f t="shared" si="43"/>
        <v>4.2850693783031968E-3</v>
      </c>
      <c r="AJ47" s="112">
        <f t="shared" si="44"/>
        <v>1.1124311289245625E-5</v>
      </c>
      <c r="AK47" s="112">
        <f t="shared" si="45"/>
        <v>4.582077787978811E-3</v>
      </c>
      <c r="AL47" s="143">
        <f t="shared" si="18"/>
        <v>1.3063603639402162</v>
      </c>
      <c r="AM47" s="143">
        <f>BBG_GBP!AA47</f>
        <v>1.3059577760000001</v>
      </c>
      <c r="AN47" s="151">
        <f t="shared" si="19"/>
        <v>0.99969182474351737</v>
      </c>
      <c r="AO47" s="147"/>
    </row>
    <row r="48" spans="1:84" x14ac:dyDescent="0.25">
      <c r="A48" s="38">
        <v>48215</v>
      </c>
      <c r="B48" s="22">
        <v>2.5205479452061701E-5</v>
      </c>
      <c r="C48" s="22">
        <v>1.15552055317702E-3</v>
      </c>
      <c r="D48" s="22">
        <v>0.98401693670826096</v>
      </c>
      <c r="E48" s="22">
        <v>2.90803475213841E-3</v>
      </c>
      <c r="F48" s="32">
        <v>0.94698289799041202</v>
      </c>
      <c r="G48" s="22">
        <f t="shared" si="0"/>
        <v>11.669444444444444</v>
      </c>
      <c r="H48" s="22">
        <f t="shared" si="61"/>
        <v>4.410345613956518E-5</v>
      </c>
      <c r="I48" s="22">
        <f t="shared" si="10"/>
        <v>0.99948548092800027</v>
      </c>
      <c r="J48" s="32">
        <f t="shared" si="1"/>
        <v>1.3088535680307105</v>
      </c>
      <c r="K48" s="22" t="s">
        <v>454</v>
      </c>
      <c r="L48" s="40">
        <f t="shared" si="62"/>
        <v>-4.125</v>
      </c>
      <c r="M48" s="96">
        <v>48215</v>
      </c>
      <c r="N48" s="99">
        <f t="shared" si="37"/>
        <v>48123</v>
      </c>
      <c r="O48" s="38">
        <f t="shared" si="38"/>
        <v>48215</v>
      </c>
      <c r="P48" s="88">
        <f t="shared" si="39"/>
        <v>92</v>
      </c>
      <c r="Q48" s="47">
        <v>10000000</v>
      </c>
      <c r="R48" s="107">
        <f t="shared" si="12"/>
        <v>4.5216021646057305E-3</v>
      </c>
      <c r="S48" s="47">
        <f t="shared" si="40"/>
        <v>11555.2055317702</v>
      </c>
      <c r="T48" s="47">
        <f t="shared" si="41"/>
        <v>252.05479452061701</v>
      </c>
      <c r="V48" s="61">
        <f t="shared" si="13"/>
        <v>-13063603.639402162</v>
      </c>
      <c r="W48" s="47">
        <f t="shared" si="14"/>
        <v>-13088535.680307105</v>
      </c>
      <c r="X48" s="107">
        <f t="shared" si="15"/>
        <v>1.1379266421411171E-2</v>
      </c>
      <c r="Y48" s="47">
        <f t="shared" si="16"/>
        <v>-37989.413371543298</v>
      </c>
      <c r="Z48" s="47">
        <f t="shared" si="17"/>
        <v>24932.0409049429</v>
      </c>
      <c r="AC48" s="122">
        <f t="shared" si="42"/>
        <v>11.669444444444444</v>
      </c>
      <c r="AD48" s="113">
        <f>BBG_GBP!V48/100</f>
        <v>4.8585E-3</v>
      </c>
      <c r="AE48" s="113">
        <f>BBG_EUR!J48/100</f>
        <v>1.1350899999999999E-2</v>
      </c>
      <c r="AF48" s="116">
        <f>BBG_GBP!X48</f>
        <v>1.0028079999999999</v>
      </c>
      <c r="AG48" s="116">
        <f>BBG_EUR!L48</f>
        <v>0.95031699999999997</v>
      </c>
      <c r="AH48" s="112">
        <f t="shared" si="43"/>
        <v>-2.4026234299112659E-4</v>
      </c>
      <c r="AI48" s="112">
        <f t="shared" si="43"/>
        <v>4.3764805525026151E-3</v>
      </c>
      <c r="AJ48" s="112">
        <f t="shared" si="44"/>
        <v>4.4103456139588104E-5</v>
      </c>
      <c r="AK48" s="112">
        <f t="shared" si="45"/>
        <v>4.6790221514008135E-3</v>
      </c>
      <c r="AL48" s="143">
        <f t="shared" si="18"/>
        <v>1.3088535680307105</v>
      </c>
      <c r="AM48" s="143">
        <f>BBG_GBP!AA48</f>
        <v>1.30851202</v>
      </c>
      <c r="AN48" s="151">
        <f t="shared" si="19"/>
        <v>0.99973904794313673</v>
      </c>
      <c r="AO48" s="147"/>
    </row>
    <row r="49" spans="1:41" x14ac:dyDescent="0.25">
      <c r="A49" s="38">
        <v>48306</v>
      </c>
      <c r="B49" s="22">
        <v>2.4931506849234999E-5</v>
      </c>
      <c r="C49" s="22">
        <v>1.14295337216163E-3</v>
      </c>
      <c r="D49" s="22">
        <v>0.98324740477126304</v>
      </c>
      <c r="E49" s="22">
        <v>2.87638026265146E-3</v>
      </c>
      <c r="F49" s="32">
        <v>0.94483621908859305</v>
      </c>
      <c r="G49" s="22">
        <f t="shared" si="0"/>
        <v>11.922222222222222</v>
      </c>
      <c r="H49" s="22">
        <f t="shared" si="61"/>
        <v>7.6724132024200823E-5</v>
      </c>
      <c r="I49" s="22">
        <f t="shared" si="10"/>
        <v>0.99908573113573085</v>
      </c>
      <c r="J49" s="32">
        <f t="shared" si="1"/>
        <v>1.3113026259477543</v>
      </c>
      <c r="K49" s="22" t="s">
        <v>454</v>
      </c>
      <c r="L49" s="40">
        <f t="shared" si="62"/>
        <v>-4.125</v>
      </c>
      <c r="M49" s="96">
        <v>48306</v>
      </c>
      <c r="N49" s="99">
        <f t="shared" si="37"/>
        <v>48215</v>
      </c>
      <c r="O49" s="38">
        <f t="shared" si="38"/>
        <v>48306</v>
      </c>
      <c r="P49" s="88">
        <f t="shared" si="39"/>
        <v>91</v>
      </c>
      <c r="Q49" s="47">
        <v>10000000</v>
      </c>
      <c r="R49" s="107">
        <f t="shared" si="12"/>
        <v>4.5215737799800745E-3</v>
      </c>
      <c r="S49" s="47">
        <f t="shared" si="40"/>
        <v>11429.533721616301</v>
      </c>
      <c r="T49" s="47">
        <f t="shared" si="41"/>
        <v>249.31506849234998</v>
      </c>
      <c r="V49" s="61">
        <f t="shared" si="13"/>
        <v>-13088535.680307105</v>
      </c>
      <c r="W49" s="47">
        <f t="shared" si="14"/>
        <v>-13113026.259477543</v>
      </c>
      <c r="X49" s="107">
        <f t="shared" si="15"/>
        <v>1.1379086753346434E-2</v>
      </c>
      <c r="Y49" s="47">
        <f t="shared" si="16"/>
        <v>-37647.60569784476</v>
      </c>
      <c r="Z49" s="47">
        <f t="shared" si="17"/>
        <v>24490.57917043753</v>
      </c>
      <c r="AC49" s="122">
        <f t="shared" si="42"/>
        <v>11.922222222222222</v>
      </c>
      <c r="AD49" s="113">
        <f>BBG_GBP!V49/100</f>
        <v>4.9464999999999995E-3</v>
      </c>
      <c r="AE49" s="113">
        <f>BBG_EUR!J49/100</f>
        <v>1.15239E-2</v>
      </c>
      <c r="AF49" s="116">
        <f>BBG_GBP!X49</f>
        <v>1.0026250000000001</v>
      </c>
      <c r="AG49" s="116">
        <f>BBG_EUR!L49</f>
        <v>0.94825400000000004</v>
      </c>
      <c r="AH49" s="112">
        <f t="shared" si="43"/>
        <v>-2.1986442221633151E-4</v>
      </c>
      <c r="AI49" s="112">
        <f t="shared" si="43"/>
        <v>4.4665710710136697E-3</v>
      </c>
      <c r="AJ49" s="112">
        <f t="shared" si="44"/>
        <v>7.6724132024308389E-5</v>
      </c>
      <c r="AK49" s="112">
        <f t="shared" si="45"/>
        <v>4.7708328628965901E-3</v>
      </c>
      <c r="AL49" s="143">
        <f t="shared" si="18"/>
        <v>1.3113026259477543</v>
      </c>
      <c r="AM49" s="143">
        <f>BBG_GBP!AA49</f>
        <v>1.311147402</v>
      </c>
      <c r="AN49" s="151">
        <f t="shared" si="19"/>
        <v>0.99988162614435239</v>
      </c>
      <c r="AO49" s="147"/>
    </row>
    <row r="50" spans="1:41" x14ac:dyDescent="0.25">
      <c r="A50" s="39">
        <v>48397</v>
      </c>
      <c r="B50" s="11">
        <v>2.4931506849234999E-5</v>
      </c>
      <c r="C50" s="11">
        <v>1.14215638639159E-3</v>
      </c>
      <c r="D50" s="11">
        <v>0.98247992728215605</v>
      </c>
      <c r="E50" s="11">
        <v>2.87638026265146E-3</v>
      </c>
      <c r="F50" s="33">
        <v>0.94269440641014302</v>
      </c>
      <c r="G50" s="11">
        <f t="shared" si="0"/>
        <v>12.175000000000001</v>
      </c>
      <c r="H50" s="11">
        <f t="shared" si="61"/>
        <v>1.0934480790883649E-4</v>
      </c>
      <c r="I50" s="11">
        <f t="shared" si="10"/>
        <v>0.99866968539632739</v>
      </c>
      <c r="J50" s="33">
        <f t="shared" si="1"/>
        <v>1.3137346190226216</v>
      </c>
      <c r="K50" s="11" t="s">
        <v>454</v>
      </c>
      <c r="L50" s="41">
        <f t="shared" si="62"/>
        <v>-4.125</v>
      </c>
      <c r="M50" s="95">
        <v>48397</v>
      </c>
      <c r="N50" s="9">
        <f t="shared" si="37"/>
        <v>48306</v>
      </c>
      <c r="O50" s="39">
        <f t="shared" si="38"/>
        <v>48397</v>
      </c>
      <c r="P50" s="87">
        <f t="shared" si="39"/>
        <v>91</v>
      </c>
      <c r="Q50" s="46">
        <v>10000000</v>
      </c>
      <c r="R50" s="106">
        <f t="shared" si="12"/>
        <v>4.5184208692414553E-3</v>
      </c>
      <c r="S50" s="46">
        <f t="shared" si="40"/>
        <v>11421.563863915901</v>
      </c>
      <c r="T50" s="46">
        <f t="shared" si="41"/>
        <v>249.31506849234998</v>
      </c>
      <c r="U50" s="50">
        <f>Q50</f>
        <v>10000000</v>
      </c>
      <c r="V50" s="62">
        <f t="shared" si="13"/>
        <v>-13113026.259477543</v>
      </c>
      <c r="W50" s="46">
        <f t="shared" si="14"/>
        <v>-13137346.190226216</v>
      </c>
      <c r="X50" s="106">
        <f t="shared" si="15"/>
        <v>1.1379086753346434E-2</v>
      </c>
      <c r="Y50" s="46">
        <f t="shared" si="16"/>
        <v>-37718.049916391508</v>
      </c>
      <c r="Z50" s="46">
        <f t="shared" si="17"/>
        <v>24319.930748673156</v>
      </c>
      <c r="AA50" s="50">
        <f>W50</f>
        <v>-13137346.190226216</v>
      </c>
      <c r="AC50" s="122">
        <f t="shared" si="42"/>
        <v>12.175000000000001</v>
      </c>
      <c r="AD50" s="113">
        <f>BBG_GBP!V50/100</f>
        <v>5.0131999999999998E-3</v>
      </c>
      <c r="AE50" s="113">
        <f>BBG_EUR!J50/100</f>
        <v>1.1694599999999999E-2</v>
      </c>
      <c r="AF50" s="116">
        <f>BBG_GBP!X50</f>
        <v>1.002437</v>
      </c>
      <c r="AG50" s="116">
        <f>BBG_EUR!L50</f>
        <v>0.946156</v>
      </c>
      <c r="AH50" s="112">
        <f t="shared" si="43"/>
        <v>-1.9990078359188868E-4</v>
      </c>
      <c r="AI50" s="112">
        <f t="shared" si="43"/>
        <v>4.5563709011584574E-3</v>
      </c>
      <c r="AJ50" s="112">
        <f t="shared" si="44"/>
        <v>1.0934480790880663E-4</v>
      </c>
      <c r="AK50" s="112">
        <f t="shared" si="45"/>
        <v>4.8588390945520921E-3</v>
      </c>
      <c r="AL50" s="143">
        <f t="shared" si="18"/>
        <v>1.3137346190226216</v>
      </c>
      <c r="AM50" s="143">
        <f>BBG_GBP!AA50</f>
        <v>1.3138070749999999</v>
      </c>
      <c r="AN50" s="151">
        <f t="shared" si="19"/>
        <v>1.0000551526741621</v>
      </c>
      <c r="AO50" s="147"/>
    </row>
    <row r="51" spans="1:41" x14ac:dyDescent="0.25">
      <c r="A51" s="38">
        <v>48491</v>
      </c>
      <c r="B51" s="22">
        <v>2.5753424657493E-5</v>
      </c>
      <c r="C51" s="22">
        <v>1.14319633250725E-3</v>
      </c>
      <c r="D51" s="22">
        <v>0.98175449982357899</v>
      </c>
      <c r="E51" s="22">
        <v>2.9539779006104699E-3</v>
      </c>
      <c r="F51" s="32">
        <v>0.94048082216125295</v>
      </c>
      <c r="G51" s="5">
        <f t="shared" si="0"/>
        <v>12.436111111111112</v>
      </c>
      <c r="H51" s="5">
        <f t="shared" si="61"/>
        <v>1.2663956563792241E-4</v>
      </c>
      <c r="I51" s="5">
        <f t="shared" si="10"/>
        <v>0.99842643535795406</v>
      </c>
      <c r="J51" s="32">
        <f t="shared" si="1"/>
        <v>1.3165059757859776</v>
      </c>
      <c r="K51" s="22" t="s">
        <v>455</v>
      </c>
      <c r="L51" s="40">
        <f t="shared" si="62"/>
        <v>-5.25</v>
      </c>
      <c r="M51" s="96">
        <v>48491</v>
      </c>
      <c r="N51" s="99">
        <f t="shared" si="37"/>
        <v>48397</v>
      </c>
      <c r="O51" s="38">
        <f t="shared" si="38"/>
        <v>48491</v>
      </c>
      <c r="P51" s="88">
        <f t="shared" si="39"/>
        <v>94</v>
      </c>
      <c r="Q51" s="45">
        <v>10000000</v>
      </c>
      <c r="R51" s="105">
        <f t="shared" si="12"/>
        <v>4.378198720240532E-3</v>
      </c>
      <c r="S51" s="45">
        <f t="shared" si="40"/>
        <v>11431.9633250725</v>
      </c>
      <c r="T51" s="45">
        <f t="shared" si="41"/>
        <v>257.53424657493002</v>
      </c>
      <c r="V51" s="61">
        <f t="shared" si="13"/>
        <v>-13137346.190226216</v>
      </c>
      <c r="W51" s="47">
        <f t="shared" si="14"/>
        <v>-13165059.757859776</v>
      </c>
      <c r="X51" s="107">
        <f t="shared" si="15"/>
        <v>1.1313106853401799E-2</v>
      </c>
      <c r="Y51" s="47">
        <f t="shared" si="16"/>
        <v>-38807.430318597391</v>
      </c>
      <c r="Z51" s="47">
        <f t="shared" si="17"/>
        <v>27713.567633559927</v>
      </c>
      <c r="AC51" s="122">
        <f t="shared" si="42"/>
        <v>12.436111111111112</v>
      </c>
      <c r="AD51" s="113">
        <f>BBG_GBP!V51/100</f>
        <v>4.1687E-3</v>
      </c>
      <c r="AE51" s="113">
        <f>BBG_EUR!J51/100</f>
        <v>1.06073E-2</v>
      </c>
      <c r="AF51" s="116">
        <f>BBG_GBP!X51</f>
        <v>1.0022580000000001</v>
      </c>
      <c r="AG51" s="116">
        <f>BBG_EUR!L51</f>
        <v>0.94420800000000005</v>
      </c>
      <c r="AH51" s="112">
        <f t="shared" si="43"/>
        <v>-1.8134688672943877E-4</v>
      </c>
      <c r="AI51" s="112">
        <f t="shared" si="43"/>
        <v>4.6269697827994172E-3</v>
      </c>
      <c r="AJ51" s="112">
        <f t="shared" si="44"/>
        <v>1.2663956563785383E-4</v>
      </c>
      <c r="AK51" s="112">
        <f t="shared" si="45"/>
        <v>4.9465356053866039E-3</v>
      </c>
      <c r="AL51" s="143">
        <f t="shared" si="18"/>
        <v>1.3165059757859776</v>
      </c>
      <c r="AM51" s="143">
        <f>BBG_GBP!AA51</f>
        <v>1.316235609</v>
      </c>
      <c r="AN51" s="151">
        <f t="shared" si="19"/>
        <v>0.99979463307349126</v>
      </c>
      <c r="AO51" s="147"/>
    </row>
    <row r="52" spans="1:41" x14ac:dyDescent="0.25">
      <c r="A52" s="38">
        <v>48583</v>
      </c>
      <c r="B52" s="22">
        <v>2.5205479452061701E-5</v>
      </c>
      <c r="C52" s="22">
        <v>1.11885940421974E-3</v>
      </c>
      <c r="D52" s="22">
        <v>0.98104502565044605</v>
      </c>
      <c r="E52" s="22">
        <v>2.8910365436747298E-3</v>
      </c>
      <c r="F52" s="32">
        <v>0.93831936864145205</v>
      </c>
      <c r="G52" s="5">
        <f t="shared" si="0"/>
        <v>12.691666666666666</v>
      </c>
      <c r="H52" s="5">
        <f t="shared" si="61"/>
        <v>1.4356634979830434E-4</v>
      </c>
      <c r="I52" s="5">
        <f t="shared" si="10"/>
        <v>0.99817969329867673</v>
      </c>
      <c r="J52" s="32">
        <f t="shared" si="1"/>
        <v>1.3192124973951058</v>
      </c>
      <c r="K52" s="22" t="s">
        <v>455</v>
      </c>
      <c r="L52" s="40">
        <f t="shared" si="62"/>
        <v>-5.25</v>
      </c>
      <c r="M52" s="96">
        <v>48583</v>
      </c>
      <c r="N52" s="99">
        <f t="shared" si="37"/>
        <v>48491</v>
      </c>
      <c r="O52" s="38">
        <f t="shared" si="38"/>
        <v>48583</v>
      </c>
      <c r="P52" s="88">
        <f t="shared" si="39"/>
        <v>92</v>
      </c>
      <c r="Q52" s="45">
        <v>10000000</v>
      </c>
      <c r="R52" s="105">
        <f t="shared" si="12"/>
        <v>4.3781454947728954E-3</v>
      </c>
      <c r="S52" s="45">
        <f t="shared" si="40"/>
        <v>11188.594042197399</v>
      </c>
      <c r="T52" s="45">
        <f t="shared" si="41"/>
        <v>252.05479452061701</v>
      </c>
      <c r="V52" s="61">
        <f t="shared" si="13"/>
        <v>-13165059.757859776</v>
      </c>
      <c r="W52" s="47">
        <f t="shared" si="14"/>
        <v>-13192124.973951058</v>
      </c>
      <c r="X52" s="107">
        <f t="shared" si="15"/>
        <v>1.1312751692640247E-2</v>
      </c>
      <c r="Y52" s="47">
        <f t="shared" si="16"/>
        <v>-38060.668859634199</v>
      </c>
      <c r="Z52" s="47">
        <f t="shared" si="17"/>
        <v>27065.216091282666</v>
      </c>
      <c r="AC52" s="122">
        <f t="shared" si="42"/>
        <v>12.691666666666666</v>
      </c>
      <c r="AD52" s="113">
        <f>BBG_GBP!V52/100</f>
        <v>4.2198999999999995E-3</v>
      </c>
      <c r="AE52" s="113">
        <f>BBG_EUR!J52/100</f>
        <v>1.07332E-2</v>
      </c>
      <c r="AF52" s="116">
        <f>BBG_GBP!X52</f>
        <v>1.002092</v>
      </c>
      <c r="AG52" s="116">
        <f>BBG_EUR!L52</f>
        <v>0.94228900000000004</v>
      </c>
      <c r="AH52" s="112">
        <f t="shared" si="43"/>
        <v>-1.6464683674222158E-4</v>
      </c>
      <c r="AI52" s="112">
        <f t="shared" si="43"/>
        <v>4.6946301144328295E-3</v>
      </c>
      <c r="AJ52" s="112">
        <f t="shared" si="44"/>
        <v>1.4356634979839633E-4</v>
      </c>
      <c r="AK52" s="112">
        <f t="shared" si="45"/>
        <v>5.0288791092216734E-3</v>
      </c>
      <c r="AL52" s="143">
        <f t="shared" si="18"/>
        <v>1.3192124973951058</v>
      </c>
      <c r="AM52" s="143">
        <f>BBG_GBP!AA52</f>
        <v>1.3186699289999999</v>
      </c>
      <c r="AN52" s="151">
        <f t="shared" si="19"/>
        <v>0.99958871796910864</v>
      </c>
      <c r="AO52" s="147"/>
    </row>
    <row r="53" spans="1:41" x14ac:dyDescent="0.25">
      <c r="A53" s="38">
        <v>48673</v>
      </c>
      <c r="B53" s="22">
        <v>2.4657534246630399E-5</v>
      </c>
      <c r="C53" s="22">
        <v>1.0945230675418699E-3</v>
      </c>
      <c r="D53" s="22">
        <v>0.98035147094212605</v>
      </c>
      <c r="E53" s="22">
        <v>2.8280991366853498E-3</v>
      </c>
      <c r="F53" s="32">
        <v>0.93620971005591402</v>
      </c>
      <c r="G53" s="5">
        <f t="shared" si="0"/>
        <v>12.941666666666666</v>
      </c>
      <c r="H53" s="5">
        <f t="shared" si="61"/>
        <v>1.6012516038998236E-4</v>
      </c>
      <c r="I53" s="5">
        <f t="shared" si="10"/>
        <v>0.99793002480390569</v>
      </c>
      <c r="J53" s="32">
        <f t="shared" si="1"/>
        <v>1.3218545059582998</v>
      </c>
      <c r="K53" s="22" t="s">
        <v>455</v>
      </c>
      <c r="L53" s="40">
        <f t="shared" si="62"/>
        <v>-5.25</v>
      </c>
      <c r="M53" s="96">
        <v>48673</v>
      </c>
      <c r="N53" s="99">
        <f t="shared" si="37"/>
        <v>48583</v>
      </c>
      <c r="O53" s="38">
        <f t="shared" si="38"/>
        <v>48673</v>
      </c>
      <c r="P53" s="88">
        <f t="shared" si="39"/>
        <v>90</v>
      </c>
      <c r="Q53" s="45">
        <v>10000000</v>
      </c>
      <c r="R53" s="105">
        <f t="shared" si="12"/>
        <v>4.3780922701674796E-3</v>
      </c>
      <c r="S53" s="45">
        <f t="shared" si="40"/>
        <v>10945.230675418699</v>
      </c>
      <c r="T53" s="45">
        <f t="shared" si="41"/>
        <v>246.57534246630399</v>
      </c>
      <c r="V53" s="61">
        <f t="shared" si="13"/>
        <v>-13192124.973951058</v>
      </c>
      <c r="W53" s="47">
        <f t="shared" si="14"/>
        <v>-13218545.059582997</v>
      </c>
      <c r="X53" s="107">
        <f t="shared" si="15"/>
        <v>1.1312396546741401E-2</v>
      </c>
      <c r="Y53" s="47">
        <f t="shared" si="16"/>
        <v>-37308.637249876228</v>
      </c>
      <c r="Z53" s="47">
        <f t="shared" si="17"/>
        <v>26420.085631938651</v>
      </c>
      <c r="AC53" s="122">
        <f t="shared" si="42"/>
        <v>12.941666666666666</v>
      </c>
      <c r="AD53" s="113">
        <f>BBG_GBP!V53/100</f>
        <v>4.2698000000000007E-3</v>
      </c>
      <c r="AE53" s="113">
        <f>BBG_EUR!J53/100</f>
        <v>1.0855300000000002E-2</v>
      </c>
      <c r="AF53" s="116">
        <f>BBG_GBP!X53</f>
        <v>1.0019260000000001</v>
      </c>
      <c r="AG53" s="116">
        <f>BBG_EUR!L53</f>
        <v>0.94038600000000006</v>
      </c>
      <c r="AH53" s="112">
        <f t="shared" si="43"/>
        <v>-1.4866745195951658E-4</v>
      </c>
      <c r="AI53" s="112">
        <f t="shared" si="43"/>
        <v>4.7606728333295933E-3</v>
      </c>
      <c r="AJ53" s="112">
        <f t="shared" si="44"/>
        <v>1.6012516038999003E-4</v>
      </c>
      <c r="AK53" s="112">
        <f t="shared" si="45"/>
        <v>5.1062919359630143E-3</v>
      </c>
      <c r="AL53" s="143">
        <f t="shared" si="18"/>
        <v>1.3218545059582998</v>
      </c>
      <c r="AM53" s="143">
        <f>BBG_GBP!AA53</f>
        <v>1.3211432599999999</v>
      </c>
      <c r="AN53" s="151">
        <f t="shared" si="19"/>
        <v>0.99946193324976851</v>
      </c>
      <c r="AO53" s="147"/>
    </row>
    <row r="54" spans="1:41" x14ac:dyDescent="0.25">
      <c r="A54" s="38">
        <v>48765</v>
      </c>
      <c r="B54" s="22">
        <v>2.5205479452061701E-5</v>
      </c>
      <c r="C54" s="22">
        <v>1.11885940421974E-3</v>
      </c>
      <c r="D54" s="22">
        <v>0.97964301068108195</v>
      </c>
      <c r="E54" s="22">
        <v>2.8910365436747298E-3</v>
      </c>
      <c r="F54" s="32">
        <v>0.93405807258985496</v>
      </c>
      <c r="G54" s="5">
        <f t="shared" si="0"/>
        <v>13.197222222222223</v>
      </c>
      <c r="H54" s="5">
        <f t="shared" si="61"/>
        <v>1.7705194455036437E-4</v>
      </c>
      <c r="I54" s="5">
        <f t="shared" si="10"/>
        <v>0.99766634019553957</v>
      </c>
      <c r="J54" s="32">
        <f t="shared" si="1"/>
        <v>1.3245493666642136</v>
      </c>
      <c r="K54" s="22" t="s">
        <v>455</v>
      </c>
      <c r="L54" s="40">
        <f t="shared" si="62"/>
        <v>-5.25</v>
      </c>
      <c r="M54" s="96">
        <v>48765</v>
      </c>
      <c r="N54" s="99">
        <f t="shared" si="37"/>
        <v>48673</v>
      </c>
      <c r="O54" s="38">
        <f t="shared" si="38"/>
        <v>48765</v>
      </c>
      <c r="P54" s="88">
        <f t="shared" si="39"/>
        <v>92</v>
      </c>
      <c r="Q54" s="45">
        <v>10000000</v>
      </c>
      <c r="R54" s="105">
        <f t="shared" si="12"/>
        <v>4.3781454947728954E-3</v>
      </c>
      <c r="S54" s="45">
        <f t="shared" si="40"/>
        <v>11188.594042197399</v>
      </c>
      <c r="T54" s="45">
        <f t="shared" si="41"/>
        <v>252.05479452061701</v>
      </c>
      <c r="V54" s="61">
        <f t="shared" si="13"/>
        <v>-13218545.059582997</v>
      </c>
      <c r="W54" s="47">
        <f t="shared" si="14"/>
        <v>-13245493.666642137</v>
      </c>
      <c r="X54" s="107">
        <f t="shared" si="15"/>
        <v>1.1312751692640247E-2</v>
      </c>
      <c r="Y54" s="47">
        <f t="shared" si="16"/>
        <v>-38215.296821465505</v>
      </c>
      <c r="Z54" s="47">
        <f t="shared" si="17"/>
        <v>26948.607059139758</v>
      </c>
      <c r="AC54" s="122">
        <f t="shared" si="42"/>
        <v>13.197222222222223</v>
      </c>
      <c r="AD54" s="113">
        <f>BBG_GBP!V54/100</f>
        <v>4.3195999999999998E-3</v>
      </c>
      <c r="AE54" s="113">
        <f>BBG_EUR!J54/100</f>
        <v>1.0976999999999999E-2</v>
      </c>
      <c r="AF54" s="116">
        <f>BBG_GBP!X54</f>
        <v>1.0017510000000001</v>
      </c>
      <c r="AG54" s="116">
        <f>BBG_EUR!L54</f>
        <v>0.93841600000000003</v>
      </c>
      <c r="AH54" s="112">
        <f t="shared" si="43"/>
        <v>-1.3255462434214049E-4</v>
      </c>
      <c r="AI54" s="112">
        <f t="shared" si="43"/>
        <v>4.8279284442906967E-3</v>
      </c>
      <c r="AJ54" s="112">
        <f t="shared" si="44"/>
        <v>1.7705194455031048E-4</v>
      </c>
      <c r="AK54" s="112">
        <f t="shared" si="45"/>
        <v>5.1823994504105464E-3</v>
      </c>
      <c r="AL54" s="143">
        <f t="shared" si="18"/>
        <v>1.3245493666642136</v>
      </c>
      <c r="AM54" s="143">
        <f>BBG_GBP!AA54</f>
        <v>1.323655901</v>
      </c>
      <c r="AN54" s="151">
        <f t="shared" si="19"/>
        <v>0.9993254568786184</v>
      </c>
      <c r="AO54" s="147"/>
    </row>
    <row r="55" spans="1:41" x14ac:dyDescent="0.25">
      <c r="A55" s="38">
        <v>48855</v>
      </c>
      <c r="B55" s="22">
        <v>2.4657534246630399E-5</v>
      </c>
      <c r="C55" s="22">
        <v>1.0945230675418699E-3</v>
      </c>
      <c r="D55" s="22">
        <v>0.97895044713428503</v>
      </c>
      <c r="E55" s="22">
        <v>2.8280991366853498E-3</v>
      </c>
      <c r="F55" s="32">
        <v>0.93195799483585595</v>
      </c>
      <c r="G55" s="5">
        <f t="shared" si="0"/>
        <v>13.447222222222223</v>
      </c>
      <c r="H55" s="5">
        <f t="shared" si="61"/>
        <v>1.9361075514204239E-4</v>
      </c>
      <c r="I55" s="5">
        <f t="shared" si="10"/>
        <v>0.99740011073532331</v>
      </c>
      <c r="J55" s="32">
        <f t="shared" si="1"/>
        <v>1.3271798559340897</v>
      </c>
      <c r="K55" s="22" t="s">
        <v>455</v>
      </c>
      <c r="L55" s="40">
        <f t="shared" si="62"/>
        <v>-5.25</v>
      </c>
      <c r="M55" s="96">
        <v>48855</v>
      </c>
      <c r="N55" s="99">
        <f t="shared" si="37"/>
        <v>48765</v>
      </c>
      <c r="O55" s="38">
        <f t="shared" si="38"/>
        <v>48855</v>
      </c>
      <c r="P55" s="88">
        <f t="shared" si="39"/>
        <v>90</v>
      </c>
      <c r="Q55" s="45">
        <v>10000000</v>
      </c>
      <c r="R55" s="105">
        <f t="shared" si="12"/>
        <v>4.3780922701674796E-3</v>
      </c>
      <c r="S55" s="45">
        <f t="shared" si="40"/>
        <v>10945.230675418699</v>
      </c>
      <c r="T55" s="45">
        <f t="shared" si="41"/>
        <v>246.57534246630399</v>
      </c>
      <c r="V55" s="61">
        <f t="shared" si="13"/>
        <v>-13245493.666642137</v>
      </c>
      <c r="W55" s="47">
        <f t="shared" si="14"/>
        <v>-13271798.559340898</v>
      </c>
      <c r="X55" s="107">
        <f t="shared" si="15"/>
        <v>1.1312396546741401E-2</v>
      </c>
      <c r="Y55" s="47">
        <f t="shared" si="16"/>
        <v>-37459.569203601895</v>
      </c>
      <c r="Z55" s="47">
        <f t="shared" si="17"/>
        <v>26304.892698761076</v>
      </c>
      <c r="AC55" s="122">
        <f t="shared" si="42"/>
        <v>13.447222222222223</v>
      </c>
      <c r="AD55" s="113">
        <f>BBG_GBP!V55/100</f>
        <v>4.3692000000000002E-3</v>
      </c>
      <c r="AE55" s="113">
        <f>BBG_EUR!J55/100</f>
        <v>1.10969E-2</v>
      </c>
      <c r="AF55" s="116">
        <f>BBG_GBP!X55</f>
        <v>1.0015750000000001</v>
      </c>
      <c r="AG55" s="116">
        <f>BBG_EUR!L55</f>
        <v>0.93646499999999999</v>
      </c>
      <c r="AH55" s="112">
        <f t="shared" si="43"/>
        <v>-1.1702557415560477E-4</v>
      </c>
      <c r="AI55" s="112">
        <f t="shared" si="43"/>
        <v>4.8934724705576027E-3</v>
      </c>
      <c r="AJ55" s="112">
        <f t="shared" si="44"/>
        <v>1.9361075514212622E-4</v>
      </c>
      <c r="AK55" s="112">
        <f t="shared" si="45"/>
        <v>5.2540586198914774E-3</v>
      </c>
      <c r="AL55" s="143">
        <f t="shared" si="18"/>
        <v>1.3271798559340897</v>
      </c>
      <c r="AM55" s="143">
        <f>BBG_GBP!AA55</f>
        <v>1.3262081589999999</v>
      </c>
      <c r="AN55" s="151">
        <f t="shared" si="19"/>
        <v>0.99926784834041504</v>
      </c>
      <c r="AO55" s="147"/>
    </row>
    <row r="56" spans="1:41" x14ac:dyDescent="0.25">
      <c r="A56" s="38">
        <v>48947</v>
      </c>
      <c r="B56" s="22">
        <v>2.5205479452061701E-5</v>
      </c>
      <c r="C56" s="22">
        <v>1.11885940421974E-3</v>
      </c>
      <c r="D56" s="22">
        <v>0.97824299933634395</v>
      </c>
      <c r="E56" s="22">
        <v>2.8910365436747298E-3</v>
      </c>
      <c r="F56" s="32">
        <v>0.92981612884478104</v>
      </c>
      <c r="G56" s="5">
        <f t="shared" si="0"/>
        <v>13.702777777777778</v>
      </c>
      <c r="H56" s="5">
        <f t="shared" si="61"/>
        <v>2.1053753930242429E-4</v>
      </c>
      <c r="I56" s="5">
        <f t="shared" si="10"/>
        <v>0.99711951112947961</v>
      </c>
      <c r="J56" s="32">
        <f t="shared" si="1"/>
        <v>1.329862827060174</v>
      </c>
      <c r="K56" s="22" t="s">
        <v>455</v>
      </c>
      <c r="L56" s="40">
        <f t="shared" si="62"/>
        <v>-5.25</v>
      </c>
      <c r="M56" s="96">
        <v>48947</v>
      </c>
      <c r="N56" s="99">
        <f t="shared" si="37"/>
        <v>48855</v>
      </c>
      <c r="O56" s="38">
        <f t="shared" si="38"/>
        <v>48947</v>
      </c>
      <c r="P56" s="88">
        <f t="shared" si="39"/>
        <v>92</v>
      </c>
      <c r="Q56" s="45">
        <v>10000000</v>
      </c>
      <c r="R56" s="105">
        <f t="shared" si="12"/>
        <v>4.3781454947728954E-3</v>
      </c>
      <c r="S56" s="45">
        <f t="shared" si="40"/>
        <v>11188.594042197399</v>
      </c>
      <c r="T56" s="45">
        <f t="shared" si="41"/>
        <v>252.05479452061701</v>
      </c>
      <c r="V56" s="61">
        <f t="shared" si="13"/>
        <v>-13271798.559340898</v>
      </c>
      <c r="W56" s="47">
        <f t="shared" si="14"/>
        <v>-13298628.27060174</v>
      </c>
      <c r="X56" s="107">
        <f t="shared" si="15"/>
        <v>1.1312751692640247E-2</v>
      </c>
      <c r="Y56" s="47">
        <f t="shared" si="16"/>
        <v>-38369.254635344172</v>
      </c>
      <c r="Z56" s="47">
        <f t="shared" si="17"/>
        <v>26829.711260842159</v>
      </c>
      <c r="AC56" s="122">
        <f t="shared" si="42"/>
        <v>13.702777777777778</v>
      </c>
      <c r="AD56" s="113">
        <f>BBG_GBP!V56/100</f>
        <v>4.4187000000000002E-3</v>
      </c>
      <c r="AE56" s="113">
        <f>BBG_EUR!J56/100</f>
        <v>1.1216500000000001E-2</v>
      </c>
      <c r="AF56" s="116">
        <f>BBG_GBP!X56</f>
        <v>1.0013920000000001</v>
      </c>
      <c r="AG56" s="116">
        <f>BBG_EUR!L56</f>
        <v>0.934446</v>
      </c>
      <c r="AH56" s="112">
        <f t="shared" si="43"/>
        <v>-1.0150945202869188E-4</v>
      </c>
      <c r="AI56" s="112">
        <f t="shared" si="43"/>
        <v>4.9602684774041617E-3</v>
      </c>
      <c r="AJ56" s="112">
        <f t="shared" si="44"/>
        <v>2.1053753930244667E-4</v>
      </c>
      <c r="AK56" s="112">
        <f t="shared" si="45"/>
        <v>5.3246126332737731E-3</v>
      </c>
      <c r="AL56" s="143">
        <f t="shared" si="18"/>
        <v>1.329862827060174</v>
      </c>
      <c r="AM56" s="143">
        <f>BBG_GBP!AA56</f>
        <v>1.3288003480000001</v>
      </c>
      <c r="AN56" s="151">
        <f t="shared" si="19"/>
        <v>0.99920106116318586</v>
      </c>
      <c r="AO56" s="147"/>
    </row>
    <row r="57" spans="1:41" x14ac:dyDescent="0.25">
      <c r="A57" s="38">
        <v>49037</v>
      </c>
      <c r="B57" s="22">
        <v>2.4657534246630399E-5</v>
      </c>
      <c r="C57" s="22">
        <v>1.0945230675418699E-3</v>
      </c>
      <c r="D57" s="22">
        <v>0.97755142553459995</v>
      </c>
      <c r="E57" s="22">
        <v>2.8280991366853498E-3</v>
      </c>
      <c r="F57" s="32">
        <v>0.92772558841180597</v>
      </c>
      <c r="G57" s="5">
        <f t="shared" si="0"/>
        <v>13.952777777777778</v>
      </c>
      <c r="H57" s="5">
        <f t="shared" si="61"/>
        <v>2.2709634989410231E-4</v>
      </c>
      <c r="I57" s="5">
        <f t="shared" si="10"/>
        <v>0.99683674848871984</v>
      </c>
      <c r="J57" s="32">
        <f t="shared" si="1"/>
        <v>1.3324815734759463</v>
      </c>
      <c r="K57" s="22" t="s">
        <v>455</v>
      </c>
      <c r="L57" s="40">
        <f t="shared" si="62"/>
        <v>-5.25</v>
      </c>
      <c r="M57" s="96">
        <v>49037</v>
      </c>
      <c r="N57" s="99">
        <f t="shared" si="37"/>
        <v>48947</v>
      </c>
      <c r="O57" s="38">
        <f t="shared" si="38"/>
        <v>49037</v>
      </c>
      <c r="P57" s="88">
        <f t="shared" si="39"/>
        <v>90</v>
      </c>
      <c r="Q57" s="45">
        <v>10000000</v>
      </c>
      <c r="R57" s="105">
        <f t="shared" si="12"/>
        <v>4.3780922701674796E-3</v>
      </c>
      <c r="S57" s="45">
        <f t="shared" si="40"/>
        <v>10945.230675418699</v>
      </c>
      <c r="T57" s="45">
        <f t="shared" si="41"/>
        <v>246.57534246630399</v>
      </c>
      <c r="V57" s="61">
        <f t="shared" si="13"/>
        <v>-13298628.27060174</v>
      </c>
      <c r="W57" s="47">
        <f t="shared" si="14"/>
        <v>-13324815.734759463</v>
      </c>
      <c r="X57" s="107">
        <f t="shared" si="15"/>
        <v>1.1312396546741401E-2</v>
      </c>
      <c r="Y57" s="47">
        <f t="shared" si="16"/>
        <v>-37609.839131188171</v>
      </c>
      <c r="Z57" s="47">
        <f t="shared" si="17"/>
        <v>26187.46415772289</v>
      </c>
      <c r="AC57" s="122">
        <f t="shared" si="42"/>
        <v>13.952777777777778</v>
      </c>
      <c r="AD57" s="113">
        <f>BBG_GBP!V57/100</f>
        <v>4.4679999999999997E-3</v>
      </c>
      <c r="AE57" s="113">
        <f>BBG_EUR!J57/100</f>
        <v>1.1334200000000001E-2</v>
      </c>
      <c r="AF57" s="116">
        <f>BBG_GBP!X57</f>
        <v>1.001209</v>
      </c>
      <c r="AG57" s="116">
        <f>BBG_EUR!L57</f>
        <v>0.93244700000000003</v>
      </c>
      <c r="AH57" s="112">
        <f t="shared" si="43"/>
        <v>-8.6593325892780904E-5</v>
      </c>
      <c r="AI57" s="112">
        <f t="shared" si="43"/>
        <v>5.0254197555863467E-3</v>
      </c>
      <c r="AJ57" s="112">
        <f t="shared" si="44"/>
        <v>2.2709634989404037E-4</v>
      </c>
      <c r="AK57" s="112">
        <f t="shared" si="45"/>
        <v>5.3911365663825705E-3</v>
      </c>
      <c r="AL57" s="143">
        <f t="shared" si="18"/>
        <v>1.3324815734759463</v>
      </c>
      <c r="AM57" s="143">
        <f>BBG_GBP!AA57</f>
        <v>1.331432792</v>
      </c>
      <c r="AN57" s="151">
        <f t="shared" si="19"/>
        <v>0.99921291108498378</v>
      </c>
      <c r="AO57" s="147"/>
    </row>
    <row r="58" spans="1:41" x14ac:dyDescent="0.25">
      <c r="A58" s="38">
        <v>49128</v>
      </c>
      <c r="B58" s="22">
        <v>2.4931506849234999E-5</v>
      </c>
      <c r="C58" s="22">
        <v>1.1066911619304E-3</v>
      </c>
      <c r="D58" s="22">
        <v>0.97685266466847998</v>
      </c>
      <c r="E58" s="22">
        <v>2.8595673464522002E-3</v>
      </c>
      <c r="F58" s="32">
        <v>0.92561659857982503</v>
      </c>
      <c r="G58" s="5">
        <f t="shared" si="0"/>
        <v>14.205555555555556</v>
      </c>
      <c r="H58" s="5">
        <f t="shared" si="61"/>
        <v>2.4383914727013238E-4</v>
      </c>
      <c r="I58" s="5">
        <f t="shared" si="10"/>
        <v>0.99654254251061647</v>
      </c>
      <c r="J58" s="32">
        <f t="shared" si="1"/>
        <v>1.3351234289267546</v>
      </c>
      <c r="K58" s="22" t="s">
        <v>455</v>
      </c>
      <c r="L58" s="40">
        <f t="shared" si="62"/>
        <v>-5.25</v>
      </c>
      <c r="M58" s="96">
        <v>49128</v>
      </c>
      <c r="N58" s="99">
        <f t="shared" si="37"/>
        <v>49037</v>
      </c>
      <c r="O58" s="38">
        <f t="shared" si="38"/>
        <v>49128</v>
      </c>
      <c r="P58" s="88">
        <f t="shared" si="39"/>
        <v>91</v>
      </c>
      <c r="Q58" s="45">
        <v>10000000</v>
      </c>
      <c r="R58" s="105">
        <f t="shared" si="12"/>
        <v>4.3781188823620223E-3</v>
      </c>
      <c r="S58" s="45">
        <f t="shared" si="40"/>
        <v>11066.911619304001</v>
      </c>
      <c r="T58" s="45">
        <f t="shared" si="41"/>
        <v>249.31506849234998</v>
      </c>
      <c r="V58" s="61">
        <f t="shared" si="13"/>
        <v>-13324815.734759463</v>
      </c>
      <c r="W58" s="47">
        <f t="shared" si="14"/>
        <v>-13351234.289267546</v>
      </c>
      <c r="X58" s="107">
        <f t="shared" si="15"/>
        <v>1.1312574117832879E-2</v>
      </c>
      <c r="Y58" s="47">
        <f t="shared" si="16"/>
        <v>-38103.207972610639</v>
      </c>
      <c r="Z58" s="47">
        <f t="shared" si="17"/>
        <v>26418.554508082569</v>
      </c>
      <c r="AC58" s="122">
        <f t="shared" si="42"/>
        <v>14.205555555555556</v>
      </c>
      <c r="AD58" s="113">
        <f>BBG_GBP!V58/100</f>
        <v>4.5168000000000005E-3</v>
      </c>
      <c r="AE58" s="113">
        <f>BBG_EUR!J58/100</f>
        <v>1.1450700000000001E-2</v>
      </c>
      <c r="AF58" s="116">
        <f>BBG_GBP!X58</f>
        <v>1.0010209999999999</v>
      </c>
      <c r="AG58" s="116">
        <f>BBG_EUR!L58</f>
        <v>0.93040299999999998</v>
      </c>
      <c r="AH58" s="112">
        <f t="shared" si="43"/>
        <v>-7.1834042463581049E-5</v>
      </c>
      <c r="AI58" s="112">
        <f t="shared" si="43"/>
        <v>5.0910310882359422E-3</v>
      </c>
      <c r="AJ58" s="112">
        <f t="shared" si="44"/>
        <v>2.4383914727010847E-4</v>
      </c>
      <c r="AK58" s="112">
        <f t="shared" si="45"/>
        <v>5.4560232496314587E-3</v>
      </c>
      <c r="AL58" s="143">
        <f t="shared" si="18"/>
        <v>1.3351234289267546</v>
      </c>
      <c r="AM58" s="143">
        <f>BBG_GBP!AA58</f>
        <v>1.3341058180000001</v>
      </c>
      <c r="AN58" s="151">
        <f t="shared" si="19"/>
        <v>0.99923781509281684</v>
      </c>
      <c r="AO58" s="147"/>
    </row>
    <row r="59" spans="1:41" x14ac:dyDescent="0.25">
      <c r="A59" s="38">
        <v>49219</v>
      </c>
      <c r="B59" s="22">
        <v>2.4931506849234999E-5</v>
      </c>
      <c r="C59" s="22">
        <v>1.1066911619304E-3</v>
      </c>
      <c r="D59" s="22">
        <v>0.97615440328170699</v>
      </c>
      <c r="E59" s="22">
        <v>2.8595673464522002E-3</v>
      </c>
      <c r="F59" s="32">
        <v>0.92351240309454197</v>
      </c>
      <c r="G59" s="5">
        <f t="shared" si="0"/>
        <v>14.458333333333334</v>
      </c>
      <c r="H59" s="5">
        <f t="shared" si="61"/>
        <v>2.6058194464616236E-4</v>
      </c>
      <c r="I59" s="5">
        <f t="shared" si="10"/>
        <v>0.99623999676160557</v>
      </c>
      <c r="J59" s="32">
        <f t="shared" si="1"/>
        <v>1.3377592069628033</v>
      </c>
      <c r="K59" s="22" t="s">
        <v>455</v>
      </c>
      <c r="L59" s="40">
        <f t="shared" si="62"/>
        <v>-5.25</v>
      </c>
      <c r="M59" s="96">
        <v>49219</v>
      </c>
      <c r="N59" s="99">
        <f t="shared" si="37"/>
        <v>49128</v>
      </c>
      <c r="O59" s="38">
        <f t="shared" si="38"/>
        <v>49219</v>
      </c>
      <c r="P59" s="88">
        <f t="shared" si="39"/>
        <v>91</v>
      </c>
      <c r="Q59" s="45">
        <v>10000000</v>
      </c>
      <c r="R59" s="105">
        <f t="shared" si="12"/>
        <v>4.3781188823620223E-3</v>
      </c>
      <c r="S59" s="45">
        <f t="shared" si="40"/>
        <v>11066.911619304001</v>
      </c>
      <c r="T59" s="45">
        <f t="shared" si="41"/>
        <v>249.31506849234998</v>
      </c>
      <c r="V59" s="61">
        <f t="shared" si="13"/>
        <v>-13351234.289267546</v>
      </c>
      <c r="W59" s="47">
        <f t="shared" si="14"/>
        <v>-13377592.069628032</v>
      </c>
      <c r="X59" s="107">
        <f t="shared" si="15"/>
        <v>1.1312574117832879E-2</v>
      </c>
      <c r="Y59" s="47">
        <f t="shared" si="16"/>
        <v>-38178.753608422419</v>
      </c>
      <c r="Z59" s="47">
        <f t="shared" si="17"/>
        <v>26357.780360486358</v>
      </c>
      <c r="AC59" s="122">
        <f t="shared" si="42"/>
        <v>14.458333333333334</v>
      </c>
      <c r="AD59" s="113">
        <f>BBG_GBP!V59/100</f>
        <v>4.5658000000000001E-3</v>
      </c>
      <c r="AE59" s="113">
        <f>BBG_EUR!J59/100</f>
        <v>1.15666E-2</v>
      </c>
      <c r="AF59" s="116">
        <f>BBG_GBP!X59</f>
        <v>1.0008300000000001</v>
      </c>
      <c r="AG59" s="116">
        <f>BBG_EUR!L59</f>
        <v>0.92833500000000002</v>
      </c>
      <c r="AH59" s="112">
        <f t="shared" si="43"/>
        <v>-5.7380883254909421E-5</v>
      </c>
      <c r="AI59" s="112">
        <f t="shared" si="43"/>
        <v>5.1564851053700345E-3</v>
      </c>
      <c r="AJ59" s="112">
        <f t="shared" si="44"/>
        <v>2.6058194464617657E-4</v>
      </c>
      <c r="AK59" s="112">
        <f t="shared" si="45"/>
        <v>5.5186450511741647E-3</v>
      </c>
      <c r="AL59" s="143">
        <f t="shared" si="18"/>
        <v>1.3377592069628033</v>
      </c>
      <c r="AM59" s="143">
        <f>BBG_GBP!AA59</f>
        <v>1.3368197660000001</v>
      </c>
      <c r="AN59" s="151">
        <f t="shared" si="19"/>
        <v>0.99929775032912238</v>
      </c>
      <c r="AO59" s="147"/>
    </row>
    <row r="60" spans="1:41" x14ac:dyDescent="0.25">
      <c r="A60" s="38">
        <v>49311</v>
      </c>
      <c r="B60" s="22">
        <v>2.5205479452061701E-5</v>
      </c>
      <c r="C60" s="22">
        <v>1.11885940421974E-3</v>
      </c>
      <c r="D60" s="22">
        <v>0.97544897607129699</v>
      </c>
      <c r="E60" s="22">
        <v>2.8910365436747298E-3</v>
      </c>
      <c r="F60" s="32">
        <v>0.92138994712604905</v>
      </c>
      <c r="G60" s="5">
        <f t="shared" si="0"/>
        <v>14.713888888888889</v>
      </c>
      <c r="H60" s="5">
        <f t="shared" si="61"/>
        <v>2.7750872880654429E-4</v>
      </c>
      <c r="I60" s="5">
        <f t="shared" si="10"/>
        <v>0.99592565661140653</v>
      </c>
      <c r="J60" s="32">
        <f t="shared" si="1"/>
        <v>1.3404177141460032</v>
      </c>
      <c r="K60" s="22" t="s">
        <v>455</v>
      </c>
      <c r="L60" s="40">
        <f t="shared" si="62"/>
        <v>-5.25</v>
      </c>
      <c r="M60" s="96">
        <v>49311</v>
      </c>
      <c r="N60" s="99">
        <f t="shared" si="37"/>
        <v>49219</v>
      </c>
      <c r="O60" s="38">
        <f t="shared" si="38"/>
        <v>49311</v>
      </c>
      <c r="P60" s="88">
        <f t="shared" si="39"/>
        <v>92</v>
      </c>
      <c r="Q60" s="45">
        <v>10000000</v>
      </c>
      <c r="R60" s="105">
        <f t="shared" si="12"/>
        <v>4.3781454947728954E-3</v>
      </c>
      <c r="S60" s="45">
        <f t="shared" si="40"/>
        <v>11188.594042197399</v>
      </c>
      <c r="T60" s="45">
        <f t="shared" si="41"/>
        <v>252.05479452061701</v>
      </c>
      <c r="V60" s="61">
        <f t="shared" si="13"/>
        <v>-13377592.069628032</v>
      </c>
      <c r="W60" s="47">
        <f t="shared" si="14"/>
        <v>-13404177.141460031</v>
      </c>
      <c r="X60" s="107">
        <f t="shared" si="15"/>
        <v>1.1312751692640247E-2</v>
      </c>
      <c r="Y60" s="47">
        <f t="shared" si="16"/>
        <v>-38675.107539667901</v>
      </c>
      <c r="Z60" s="47">
        <f t="shared" si="17"/>
        <v>26585.071831999347</v>
      </c>
      <c r="AC60" s="122">
        <f t="shared" si="42"/>
        <v>14.713888888888889</v>
      </c>
      <c r="AD60" s="113">
        <f>BBG_GBP!V60/100</f>
        <v>4.6148999999999999E-3</v>
      </c>
      <c r="AE60" s="113">
        <f>BBG_EUR!J60/100</f>
        <v>1.16822E-2</v>
      </c>
      <c r="AF60" s="116">
        <f>BBG_GBP!X60</f>
        <v>1.0006330000000001</v>
      </c>
      <c r="AG60" s="116">
        <f>BBG_EUR!L60</f>
        <v>0.92622199999999999</v>
      </c>
      <c r="AH60" s="112">
        <f t="shared" si="43"/>
        <v>-4.30060426294121E-5</v>
      </c>
      <c r="AI60" s="112">
        <f t="shared" si="43"/>
        <v>5.2223639556101542E-3</v>
      </c>
      <c r="AJ60" s="112">
        <f t="shared" si="44"/>
        <v>2.7750872880649702E-4</v>
      </c>
      <c r="AK60" s="112">
        <f t="shared" si="45"/>
        <v>5.5797715424330541E-3</v>
      </c>
      <c r="AL60" s="143">
        <f t="shared" si="18"/>
        <v>1.3404177141460032</v>
      </c>
      <c r="AM60" s="143">
        <f>BBG_GBP!AA60</f>
        <v>1.339574979</v>
      </c>
      <c r="AN60" s="151">
        <f t="shared" si="19"/>
        <v>0.99937128916075235</v>
      </c>
      <c r="AO60" s="147"/>
    </row>
    <row r="61" spans="1:41" x14ac:dyDescent="0.25">
      <c r="A61" s="38">
        <v>49401</v>
      </c>
      <c r="B61" s="22">
        <v>2.4657534246630399E-5</v>
      </c>
      <c r="C61" s="22">
        <v>1.0945230675418699E-3</v>
      </c>
      <c r="D61" s="22">
        <v>0.97475937751833297</v>
      </c>
      <c r="E61" s="22">
        <v>2.8280991366853498E-3</v>
      </c>
      <c r="F61" s="32">
        <v>0.91931835159307296</v>
      </c>
      <c r="G61" s="5">
        <f t="shared" si="0"/>
        <v>14.963888888888889</v>
      </c>
      <c r="H61" s="5">
        <f t="shared" si="61"/>
        <v>2.9406753939822228E-4</v>
      </c>
      <c r="I61" s="5">
        <f t="shared" si="10"/>
        <v>0.99560991760232742</v>
      </c>
      <c r="J61" s="32">
        <f t="shared" si="1"/>
        <v>1.3430123054534151</v>
      </c>
      <c r="K61" s="22" t="s">
        <v>455</v>
      </c>
      <c r="L61" s="40">
        <f t="shared" si="62"/>
        <v>-5.25</v>
      </c>
      <c r="M61" s="96">
        <v>49401</v>
      </c>
      <c r="N61" s="99">
        <f t="shared" si="37"/>
        <v>49311</v>
      </c>
      <c r="O61" s="38">
        <f t="shared" si="38"/>
        <v>49401</v>
      </c>
      <c r="P61" s="88">
        <f t="shared" si="39"/>
        <v>90</v>
      </c>
      <c r="Q61" s="45">
        <v>10000000</v>
      </c>
      <c r="R61" s="105">
        <f t="shared" si="12"/>
        <v>4.3780922701674796E-3</v>
      </c>
      <c r="S61" s="45">
        <f t="shared" si="40"/>
        <v>10945.230675418699</v>
      </c>
      <c r="T61" s="45">
        <f t="shared" si="41"/>
        <v>246.57534246630399</v>
      </c>
      <c r="V61" s="61">
        <f t="shared" si="13"/>
        <v>-13404177.141460031</v>
      </c>
      <c r="W61" s="47">
        <f t="shared" si="14"/>
        <v>-13430123.05453415</v>
      </c>
      <c r="X61" s="107">
        <f t="shared" si="15"/>
        <v>1.1312396546741401E-2</v>
      </c>
      <c r="Y61" s="47">
        <f t="shared" si="16"/>
        <v>-37908.341801740615</v>
      </c>
      <c r="Z61" s="47">
        <f t="shared" si="17"/>
        <v>25945.913074119017</v>
      </c>
      <c r="AC61" s="122">
        <f t="shared" si="42"/>
        <v>14.963888888888889</v>
      </c>
      <c r="AD61" s="113">
        <f>BBG_GBP!V61/100</f>
        <v>4.6633999999999998E-3</v>
      </c>
      <c r="AE61" s="113">
        <f>BBG_EUR!J61/100</f>
        <v>1.17955E-2</v>
      </c>
      <c r="AF61" s="116">
        <f>BBG_GBP!X61</f>
        <v>1.0004390000000001</v>
      </c>
      <c r="AG61" s="116">
        <f>BBG_EUR!L61</f>
        <v>0.92413299999999998</v>
      </c>
      <c r="AH61" s="112">
        <f t="shared" si="43"/>
        <v>-2.9330425687201789E-5</v>
      </c>
      <c r="AI61" s="112">
        <f t="shared" si="43"/>
        <v>5.2865701493625128E-3</v>
      </c>
      <c r="AJ61" s="112">
        <f t="shared" si="44"/>
        <v>2.9406753939831276E-4</v>
      </c>
      <c r="AK61" s="112">
        <f t="shared" si="45"/>
        <v>5.6375523470142408E-3</v>
      </c>
      <c r="AL61" s="143">
        <f t="shared" si="18"/>
        <v>1.3430123054534151</v>
      </c>
      <c r="AM61" s="143">
        <f>BBG_GBP!AA61</f>
        <v>1.342371811</v>
      </c>
      <c r="AN61" s="151">
        <f t="shared" si="19"/>
        <v>0.99952309115053206</v>
      </c>
      <c r="AO61" s="147"/>
    </row>
    <row r="62" spans="1:41" x14ac:dyDescent="0.25">
      <c r="A62" s="39">
        <v>49492</v>
      </c>
      <c r="B62" s="11">
        <v>2.4931506849234999E-5</v>
      </c>
      <c r="C62" s="11">
        <v>1.1012175216178401E-3</v>
      </c>
      <c r="D62" s="11">
        <v>0.97406658331408302</v>
      </c>
      <c r="E62" s="11">
        <v>2.8595673464522002E-3</v>
      </c>
      <c r="F62" s="33">
        <v>0.917228473853274</v>
      </c>
      <c r="G62" s="11">
        <f t="shared" si="0"/>
        <v>15.216666666666667</v>
      </c>
      <c r="H62" s="11">
        <f t="shared" si="61"/>
        <v>3.1081033677425233E-4</v>
      </c>
      <c r="I62" s="11">
        <f t="shared" si="10"/>
        <v>0.99528240053934769</v>
      </c>
      <c r="J62" s="33">
        <f t="shared" si="1"/>
        <v>1.3456295133575233</v>
      </c>
      <c r="K62" s="11" t="s">
        <v>455</v>
      </c>
      <c r="L62" s="41">
        <f t="shared" si="62"/>
        <v>-5.25</v>
      </c>
      <c r="M62" s="95">
        <v>49492</v>
      </c>
      <c r="N62" s="9">
        <f t="shared" si="37"/>
        <v>49401</v>
      </c>
      <c r="O62" s="39">
        <f t="shared" si="38"/>
        <v>49492</v>
      </c>
      <c r="P62" s="87">
        <f t="shared" si="39"/>
        <v>91</v>
      </c>
      <c r="Q62" s="46">
        <v>10000000</v>
      </c>
      <c r="R62" s="106">
        <f t="shared" si="12"/>
        <v>4.3564649206859606E-3</v>
      </c>
      <c r="S62" s="46">
        <f t="shared" si="40"/>
        <v>11012.175216178401</v>
      </c>
      <c r="T62" s="46">
        <f t="shared" si="41"/>
        <v>249.31506849234998</v>
      </c>
      <c r="U62" s="50">
        <f>Q62</f>
        <v>10000000</v>
      </c>
      <c r="V62" s="62">
        <f t="shared" si="13"/>
        <v>-13430123.05453415</v>
      </c>
      <c r="W62" s="46">
        <f t="shared" si="14"/>
        <v>-13456295.133575233</v>
      </c>
      <c r="X62" s="106">
        <f t="shared" si="15"/>
        <v>1.1312574117832879E-2</v>
      </c>
      <c r="Y62" s="46">
        <f t="shared" si="16"/>
        <v>-38404.341345580739</v>
      </c>
      <c r="Z62" s="46">
        <f t="shared" si="17"/>
        <v>26172.079041082412</v>
      </c>
      <c r="AA62" s="50">
        <f>W62</f>
        <v>-13456295.133575233</v>
      </c>
      <c r="AC62" s="122">
        <f t="shared" si="42"/>
        <v>15.216666666666667</v>
      </c>
      <c r="AD62" s="113">
        <f>BBG_GBP!V62/100</f>
        <v>4.6753999999999997E-3</v>
      </c>
      <c r="AE62" s="113">
        <f>BBG_EUR!J62/100</f>
        <v>1.19077E-2</v>
      </c>
      <c r="AF62" s="116">
        <f>BBG_GBP!X62</f>
        <v>1.00024</v>
      </c>
      <c r="AG62" s="116">
        <f>BBG_EUR!L62</f>
        <v>0.92199900000000001</v>
      </c>
      <c r="AH62" s="112">
        <f t="shared" si="43"/>
        <v>-1.5770162918427033E-5</v>
      </c>
      <c r="AI62" s="112">
        <f t="shared" si="43"/>
        <v>5.3512532816077929E-3</v>
      </c>
      <c r="AJ62" s="112">
        <f t="shared" si="44"/>
        <v>3.1081033677415881E-4</v>
      </c>
      <c r="AK62" s="112">
        <f t="shared" si="45"/>
        <v>5.6940480072777966E-3</v>
      </c>
      <c r="AL62" s="143">
        <f t="shared" si="18"/>
        <v>1.3456295133575233</v>
      </c>
      <c r="AM62" s="143">
        <f>BBG_GBP!AA62</f>
        <v>1.345210625</v>
      </c>
      <c r="AN62" s="151">
        <f t="shared" si="19"/>
        <v>0.99968870454061443</v>
      </c>
      <c r="AO62" s="147"/>
    </row>
    <row r="63" spans="1:41" x14ac:dyDescent="0.25">
      <c r="A63" s="38">
        <v>49584</v>
      </c>
      <c r="B63" s="22">
        <v>2.5205479452061701E-5</v>
      </c>
      <c r="C63" s="22">
        <v>9.5101267420938298E-4</v>
      </c>
      <c r="D63" s="22">
        <v>0.97348435856678806</v>
      </c>
      <c r="E63" s="22">
        <v>2.8830343747885401E-3</v>
      </c>
      <c r="F63" s="32">
        <v>0.91507795802693703</v>
      </c>
      <c r="G63" s="5">
        <f t="shared" si="0"/>
        <v>15.472222222222221</v>
      </c>
      <c r="H63" s="5">
        <f t="shared" si="61"/>
        <v>3.0978147561586854E-4</v>
      </c>
      <c r="I63" s="5">
        <f t="shared" si="10"/>
        <v>0.99521919899184152</v>
      </c>
      <c r="J63" s="32">
        <f t="shared" si="1"/>
        <v>1.348706214420097</v>
      </c>
      <c r="K63" s="22" t="s">
        <v>456</v>
      </c>
      <c r="L63" s="40">
        <f t="shared" si="62"/>
        <v>-7.5</v>
      </c>
      <c r="M63" s="96">
        <v>49584</v>
      </c>
      <c r="N63" s="99">
        <f t="shared" si="37"/>
        <v>49492</v>
      </c>
      <c r="O63" s="38">
        <f t="shared" si="38"/>
        <v>49584</v>
      </c>
      <c r="P63" s="88">
        <f t="shared" si="39"/>
        <v>92</v>
      </c>
      <c r="Q63" s="45">
        <v>10000000</v>
      </c>
      <c r="R63" s="105">
        <f t="shared" si="12"/>
        <v>3.7213539425584551E-3</v>
      </c>
      <c r="S63" s="45">
        <f t="shared" si="40"/>
        <v>9510.1267420938293</v>
      </c>
      <c r="T63" s="45">
        <f t="shared" si="41"/>
        <v>252.05479452061701</v>
      </c>
      <c r="V63" s="61">
        <f t="shared" si="13"/>
        <v>-13456295.133575233</v>
      </c>
      <c r="W63" s="47">
        <f t="shared" si="14"/>
        <v>-13487062.144200969</v>
      </c>
      <c r="X63" s="107">
        <f t="shared" si="15"/>
        <v>1.12814388578682E-2</v>
      </c>
      <c r="Y63" s="47">
        <f t="shared" si="16"/>
        <v>-38794.961427397146</v>
      </c>
      <c r="Z63" s="47">
        <f t="shared" si="17"/>
        <v>30767.010625736788</v>
      </c>
      <c r="AC63" s="122">
        <f t="shared" si="42"/>
        <v>15.472222222222221</v>
      </c>
      <c r="AD63" s="113">
        <f>BBG_GBP!V63/100</f>
        <v>3.6431999999999997E-3</v>
      </c>
      <c r="AE63" s="113">
        <f>BBG_EUR!J63/100</f>
        <v>1.0559600000000001E-2</v>
      </c>
      <c r="AF63" s="116">
        <f>BBG_GBP!X63</f>
        <v>1.0003029999999999</v>
      </c>
      <c r="AG63" s="116">
        <f>BBG_EUR!L63</f>
        <v>0.92017000000000004</v>
      </c>
      <c r="AH63" s="112">
        <f t="shared" si="43"/>
        <v>-1.9580324948753614E-5</v>
      </c>
      <c r="AI63" s="112">
        <f t="shared" si="43"/>
        <v>5.391657749770129E-3</v>
      </c>
      <c r="AJ63" s="112">
        <f t="shared" si="44"/>
        <v>3.0978147561588898E-4</v>
      </c>
      <c r="AK63" s="112">
        <f t="shared" si="45"/>
        <v>5.7523101288436962E-3</v>
      </c>
      <c r="AL63" s="143">
        <f t="shared" si="18"/>
        <v>1.348706214420097</v>
      </c>
      <c r="AM63" s="143">
        <f>BBG_GBP!AA63</f>
        <v>1.3479725359999999</v>
      </c>
      <c r="AN63" s="151">
        <f t="shared" si="19"/>
        <v>0.99945601316858135</v>
      </c>
      <c r="AO63" s="147"/>
    </row>
    <row r="64" spans="1:41" x14ac:dyDescent="0.25">
      <c r="A64" s="38">
        <v>49676</v>
      </c>
      <c r="B64" s="22">
        <v>2.5205479452061701E-5</v>
      </c>
      <c r="C64" s="22">
        <v>9.5101267420938298E-4</v>
      </c>
      <c r="D64" s="22">
        <v>0.97290248183025596</v>
      </c>
      <c r="E64" s="22">
        <v>2.8830343747885401E-3</v>
      </c>
      <c r="F64" s="32">
        <v>0.91293248425767803</v>
      </c>
      <c r="G64" s="5">
        <f t="shared" si="0"/>
        <v>15.727777777777778</v>
      </c>
      <c r="H64" s="5">
        <f t="shared" si="61"/>
        <v>3.0875261445748476E-4</v>
      </c>
      <c r="I64" s="5">
        <f t="shared" si="10"/>
        <v>0.99515652462716453</v>
      </c>
      <c r="J64" s="32">
        <f t="shared" si="1"/>
        <v>1.3517906608325045</v>
      </c>
      <c r="K64" s="22" t="s">
        <v>456</v>
      </c>
      <c r="L64" s="40">
        <f t="shared" si="62"/>
        <v>-7.5</v>
      </c>
      <c r="M64" s="96">
        <v>49676</v>
      </c>
      <c r="N64" s="99">
        <f t="shared" si="37"/>
        <v>49584</v>
      </c>
      <c r="O64" s="38">
        <f t="shared" si="38"/>
        <v>49676</v>
      </c>
      <c r="P64" s="88">
        <f t="shared" si="39"/>
        <v>92</v>
      </c>
      <c r="Q64" s="45">
        <v>10000000</v>
      </c>
      <c r="R64" s="105">
        <f t="shared" si="12"/>
        <v>3.7213539425584551E-3</v>
      </c>
      <c r="S64" s="45">
        <f t="shared" si="40"/>
        <v>9510.1267420938293</v>
      </c>
      <c r="T64" s="45">
        <f t="shared" si="41"/>
        <v>252.05479452061701</v>
      </c>
      <c r="V64" s="61">
        <f t="shared" si="13"/>
        <v>-13487062.144200969</v>
      </c>
      <c r="W64" s="47">
        <f t="shared" si="14"/>
        <v>-13517906.608325046</v>
      </c>
      <c r="X64" s="107">
        <f t="shared" si="15"/>
        <v>1.12814388578682E-2</v>
      </c>
      <c r="Y64" s="47">
        <f t="shared" si="16"/>
        <v>-38883.663776640627</v>
      </c>
      <c r="Z64" s="47">
        <f t="shared" si="17"/>
        <v>30844.464124076068</v>
      </c>
      <c r="AC64" s="122">
        <f t="shared" si="42"/>
        <v>15.727777777777778</v>
      </c>
      <c r="AD64" s="113">
        <f>BBG_GBP!V64/100</f>
        <v>3.6573999999999999E-3</v>
      </c>
      <c r="AE64" s="113">
        <f>BBG_EUR!J64/100</f>
        <v>1.06315E-2</v>
      </c>
      <c r="AF64" s="116">
        <f>BBG_GBP!X64</f>
        <v>1.000383</v>
      </c>
      <c r="AG64" s="116">
        <f>BBG_EUR!L64</f>
        <v>0.91834099999999996</v>
      </c>
      <c r="AH64" s="112">
        <f t="shared" si="43"/>
        <v>-2.4346860572510565E-5</v>
      </c>
      <c r="AI64" s="112">
        <f t="shared" si="43"/>
        <v>5.4310032925106722E-3</v>
      </c>
      <c r="AJ64" s="112">
        <f t="shared" si="44"/>
        <v>3.087526144573971E-4</v>
      </c>
      <c r="AK64" s="112">
        <f t="shared" si="45"/>
        <v>5.8086820983149767E-3</v>
      </c>
      <c r="AL64" s="143">
        <f t="shared" si="18"/>
        <v>1.3517906608325045</v>
      </c>
      <c r="AM64" s="143">
        <f>BBG_GBP!AA64</f>
        <v>1.350734557</v>
      </c>
      <c r="AN64" s="151">
        <f t="shared" si="19"/>
        <v>0.99921873714391984</v>
      </c>
      <c r="AO64" s="147"/>
    </row>
    <row r="65" spans="1:41" x14ac:dyDescent="0.25">
      <c r="A65" s="38">
        <v>49767</v>
      </c>
      <c r="B65" s="22">
        <v>2.4931506849234999E-5</v>
      </c>
      <c r="C65" s="22">
        <v>9.4067071955561399E-4</v>
      </c>
      <c r="D65" s="22">
        <v>0.97232727199420099</v>
      </c>
      <c r="E65" s="22">
        <v>2.8516524056860699E-3</v>
      </c>
      <c r="F65" s="32">
        <v>0.91081527941555396</v>
      </c>
      <c r="G65" s="5">
        <f t="shared" si="0"/>
        <v>15.980555555555556</v>
      </c>
      <c r="H65" s="5">
        <f t="shared" si="61"/>
        <v>3.0773493657256168E-4</v>
      </c>
      <c r="I65" s="5">
        <f t="shared" si="10"/>
        <v>0.9950950500278315</v>
      </c>
      <c r="J65" s="32">
        <f t="shared" si="1"/>
        <v>1.3548492207238223</v>
      </c>
      <c r="K65" s="22" t="s">
        <v>456</v>
      </c>
      <c r="L65" s="40">
        <f t="shared" si="62"/>
        <v>-7.5</v>
      </c>
      <c r="M65" s="96">
        <v>49767</v>
      </c>
      <c r="N65" s="99">
        <f t="shared" si="37"/>
        <v>49676</v>
      </c>
      <c r="O65" s="38">
        <f t="shared" si="38"/>
        <v>49767</v>
      </c>
      <c r="P65" s="88">
        <f t="shared" si="39"/>
        <v>91</v>
      </c>
      <c r="Q65" s="45">
        <v>10000000</v>
      </c>
      <c r="R65" s="105">
        <f t="shared" si="12"/>
        <v>3.7213347147255055E-3</v>
      </c>
      <c r="S65" s="45">
        <f t="shared" si="40"/>
        <v>9406.7071955561405</v>
      </c>
      <c r="T65" s="45">
        <f t="shared" si="41"/>
        <v>249.31506849234998</v>
      </c>
      <c r="V65" s="61">
        <f t="shared" si="13"/>
        <v>-13517906.608325046</v>
      </c>
      <c r="W65" s="47">
        <f t="shared" si="14"/>
        <v>-13548492.207238223</v>
      </c>
      <c r="X65" s="107">
        <f t="shared" si="15"/>
        <v>1.1281262264252585E-2</v>
      </c>
      <c r="Y65" s="47">
        <f t="shared" si="16"/>
        <v>-38548.370899469737</v>
      </c>
      <c r="Z65" s="47">
        <f t="shared" si="17"/>
        <v>30585.598913177848</v>
      </c>
      <c r="AC65" s="122">
        <f t="shared" si="42"/>
        <v>15.980555555555556</v>
      </c>
      <c r="AD65" s="113">
        <f>BBG_GBP!V65/100</f>
        <v>3.6714E-3</v>
      </c>
      <c r="AE65" s="113">
        <f>BBG_EUR!J65/100</f>
        <v>1.0702100000000001E-2</v>
      </c>
      <c r="AF65" s="116">
        <f>BBG_GBP!X65</f>
        <v>1.0004690000000001</v>
      </c>
      <c r="AG65" s="116">
        <f>BBG_EUR!L65</f>
        <v>0.91651899999999997</v>
      </c>
      <c r="AH65" s="112">
        <f t="shared" si="43"/>
        <v>-2.9340855728809956E-5</v>
      </c>
      <c r="AI65" s="112">
        <f t="shared" si="43"/>
        <v>5.4698143920677289E-3</v>
      </c>
      <c r="AJ65" s="112">
        <f t="shared" si="44"/>
        <v>3.0773493657254569E-4</v>
      </c>
      <c r="AK65" s="112">
        <f t="shared" si="45"/>
        <v>5.8626706180746613E-3</v>
      </c>
      <c r="AL65" s="143">
        <f t="shared" si="18"/>
        <v>1.3548492207238223</v>
      </c>
      <c r="AM65" s="143">
        <f>BBG_GBP!AA65</f>
        <v>1.3536263820000001</v>
      </c>
      <c r="AN65" s="151">
        <f t="shared" si="19"/>
        <v>0.99909743556322161</v>
      </c>
      <c r="AO65" s="147"/>
    </row>
    <row r="66" spans="1:41" x14ac:dyDescent="0.25">
      <c r="A66" s="38">
        <v>49858</v>
      </c>
      <c r="B66" s="22">
        <v>2.4931506849234999E-5</v>
      </c>
      <c r="C66" s="22">
        <v>9.4067071955539205E-4</v>
      </c>
      <c r="D66" s="22">
        <v>0.97175240223987203</v>
      </c>
      <c r="E66" s="22">
        <v>2.85165240568585E-3</v>
      </c>
      <c r="F66" s="32">
        <v>0.908702984636792</v>
      </c>
      <c r="G66" s="5">
        <f t="shared" ref="G66:G129" si="63">YEARFRAC($BH$2,$A66,2)</f>
        <v>16.233333333333334</v>
      </c>
      <c r="H66" s="5">
        <f t="shared" si="61"/>
        <v>3.0671725868763856E-4</v>
      </c>
      <c r="I66" s="5">
        <f t="shared" si="10"/>
        <v>0.99503409102263662</v>
      </c>
      <c r="J66" s="32">
        <f t="shared" ref="J66:J129" si="64">$BI$2*I66/F66</f>
        <v>1.3579153993539235</v>
      </c>
      <c r="K66" s="22" t="s">
        <v>456</v>
      </c>
      <c r="L66" s="40">
        <f t="shared" si="62"/>
        <v>-7.5</v>
      </c>
      <c r="M66" s="96">
        <v>49858</v>
      </c>
      <c r="N66" s="99">
        <f t="shared" si="37"/>
        <v>49767</v>
      </c>
      <c r="O66" s="38">
        <f t="shared" si="38"/>
        <v>49858</v>
      </c>
      <c r="P66" s="88">
        <f t="shared" si="39"/>
        <v>91</v>
      </c>
      <c r="Q66" s="45">
        <v>10000000</v>
      </c>
      <c r="R66" s="105">
        <f t="shared" si="12"/>
        <v>3.7213347147246278E-3</v>
      </c>
      <c r="S66" s="45">
        <f t="shared" si="40"/>
        <v>9406.7071955539213</v>
      </c>
      <c r="T66" s="45">
        <f t="shared" si="41"/>
        <v>249.31506849234998</v>
      </c>
      <c r="V66" s="61">
        <f t="shared" si="13"/>
        <v>-13548492.207238223</v>
      </c>
      <c r="W66" s="47">
        <f t="shared" si="14"/>
        <v>-13579153.993539235</v>
      </c>
      <c r="X66" s="107">
        <f t="shared" si="15"/>
        <v>1.1281262264251714E-2</v>
      </c>
      <c r="Y66" s="47">
        <f t="shared" si="16"/>
        <v>-38635.590396186875</v>
      </c>
      <c r="Z66" s="47">
        <f t="shared" si="17"/>
        <v>30661.78630101122</v>
      </c>
      <c r="AC66" s="122">
        <f t="shared" si="42"/>
        <v>16.233333333333334</v>
      </c>
      <c r="AD66" s="113">
        <f>BBG_GBP!V66/100</f>
        <v>3.6853000000000003E-3</v>
      </c>
      <c r="AE66" s="113">
        <f>BBG_EUR!J66/100</f>
        <v>1.0771900000000001E-2</v>
      </c>
      <c r="AF66" s="116">
        <f>BBG_GBP!X66</f>
        <v>1.0005599999999999</v>
      </c>
      <c r="AG66" s="116">
        <f>BBG_EUR!L66</f>
        <v>0.91468499999999997</v>
      </c>
      <c r="AH66" s="112">
        <f t="shared" si="43"/>
        <v>-3.4486669706068618E-5</v>
      </c>
      <c r="AI66" s="112">
        <f t="shared" si="43"/>
        <v>5.5084756283643177E-3</v>
      </c>
      <c r="AJ66" s="112">
        <f t="shared" si="44"/>
        <v>3.0671725868769428E-4</v>
      </c>
      <c r="AK66" s="112">
        <f t="shared" si="45"/>
        <v>5.9149805344738127E-3</v>
      </c>
      <c r="AL66" s="143">
        <f t="shared" si="18"/>
        <v>1.3579153993539235</v>
      </c>
      <c r="AM66" s="143">
        <f>BBG_GBP!AA66</f>
        <v>1.3564637500000001</v>
      </c>
      <c r="AN66" s="151">
        <f t="shared" si="19"/>
        <v>0.99893097216909532</v>
      </c>
      <c r="AO66" s="147"/>
    </row>
    <row r="67" spans="1:41" x14ac:dyDescent="0.25">
      <c r="A67" s="38">
        <v>49950</v>
      </c>
      <c r="B67" s="22">
        <v>2.5205479452061701E-5</v>
      </c>
      <c r="C67" s="22">
        <v>9.5101267420938298E-4</v>
      </c>
      <c r="D67" s="22">
        <v>0.97117156073835598</v>
      </c>
      <c r="E67" s="22">
        <v>2.8830343747885401E-3</v>
      </c>
      <c r="F67" s="32">
        <v>0.90657245750466797</v>
      </c>
      <c r="G67" s="5">
        <f t="shared" si="63"/>
        <v>16.488888888888887</v>
      </c>
      <c r="H67" s="5">
        <f t="shared" ref="H67:H98" si="65">RE_MATH_LinearInterpolation($BY$3:$BY$36,$CA$3:$CA$36,$G67)</f>
        <v>3.0568839752925477E-4</v>
      </c>
      <c r="I67" s="5">
        <f t="shared" ref="I67:I130" si="66">(1+H67)^-$G67</f>
        <v>0.99497298616693652</v>
      </c>
      <c r="J67" s="32">
        <f t="shared" si="64"/>
        <v>1.3610230378516266</v>
      </c>
      <c r="K67" s="22" t="s">
        <v>456</v>
      </c>
      <c r="L67" s="40">
        <f t="shared" ref="L67:L98" si="67">VLOOKUP($K67,$BG$21:$BI$36,3,FALSE)*10000</f>
        <v>-7.5</v>
      </c>
      <c r="M67" s="96">
        <v>49950</v>
      </c>
      <c r="N67" s="99">
        <f t="shared" si="37"/>
        <v>49858</v>
      </c>
      <c r="O67" s="38">
        <f t="shared" si="38"/>
        <v>49950</v>
      </c>
      <c r="P67" s="88">
        <f t="shared" si="39"/>
        <v>92</v>
      </c>
      <c r="Q67" s="45">
        <v>10000000</v>
      </c>
      <c r="R67" s="105">
        <f t="shared" ref="R67:R130" si="68">C67*360/P67</f>
        <v>3.7213539425584551E-3</v>
      </c>
      <c r="S67" s="45">
        <f t="shared" si="40"/>
        <v>9510.1267420938293</v>
      </c>
      <c r="T67" s="45">
        <f t="shared" si="41"/>
        <v>252.05479452061701</v>
      </c>
      <c r="V67" s="61">
        <f t="shared" ref="V67:V130" si="69">W66</f>
        <v>-13579153.993539235</v>
      </c>
      <c r="W67" s="47">
        <f t="shared" ref="W67:W130" si="70">-Q67*J67</f>
        <v>-13610230.378516266</v>
      </c>
      <c r="X67" s="107">
        <f t="shared" ref="X67:X130" si="71">E67*360/P67</f>
        <v>1.12814388578682E-2</v>
      </c>
      <c r="Y67" s="47">
        <f t="shared" ref="Y67:Y130" si="72">V67*E67</f>
        <v>-39149.167743920698</v>
      </c>
      <c r="Z67" s="47">
        <f t="shared" ref="Z67:Z130" si="73">V67-W67</f>
        <v>31076.384977031499</v>
      </c>
      <c r="AC67" s="122">
        <f t="shared" si="42"/>
        <v>16.488888888888887</v>
      </c>
      <c r="AD67" s="113">
        <f>BBG_GBP!V67/100</f>
        <v>3.6993E-3</v>
      </c>
      <c r="AE67" s="113">
        <f>BBG_EUR!J67/100</f>
        <v>1.08416E-2</v>
      </c>
      <c r="AF67" s="116">
        <f>BBG_GBP!X67</f>
        <v>1.000658</v>
      </c>
      <c r="AG67" s="116">
        <f>BBG_EUR!L67</f>
        <v>0.91281800000000002</v>
      </c>
      <c r="AH67" s="112">
        <f t="shared" si="43"/>
        <v>-3.9891741474784581E-5</v>
      </c>
      <c r="AI67" s="112">
        <f t="shared" si="43"/>
        <v>5.5474656227409991E-3</v>
      </c>
      <c r="AJ67" s="112">
        <f t="shared" si="44"/>
        <v>3.056883975292024E-4</v>
      </c>
      <c r="AK67" s="112">
        <f t="shared" si="45"/>
        <v>5.9662375481428498E-3</v>
      </c>
      <c r="AL67" s="143">
        <f t="shared" ref="AL67:AL122" si="74">J67</f>
        <v>1.3610230378516266</v>
      </c>
      <c r="AM67" s="143">
        <f>BBG_GBP!AA67</f>
        <v>1.359370465</v>
      </c>
      <c r="AN67" s="151">
        <f t="shared" ref="AN67:AN122" si="75">AM67/AL67</f>
        <v>0.99878578627571568</v>
      </c>
      <c r="AO67" s="147"/>
    </row>
    <row r="68" spans="1:41" x14ac:dyDescent="0.25">
      <c r="A68" s="38">
        <v>50042</v>
      </c>
      <c r="B68" s="22">
        <v>2.5205479452061701E-5</v>
      </c>
      <c r="C68" s="22">
        <v>9.5101267420938298E-4</v>
      </c>
      <c r="D68" s="22">
        <v>0.97059106642080395</v>
      </c>
      <c r="E68" s="22">
        <v>2.8830343747883098E-3</v>
      </c>
      <c r="F68" s="32">
        <v>0.904446925564524</v>
      </c>
      <c r="G68" s="5">
        <f t="shared" si="63"/>
        <v>16.744444444444444</v>
      </c>
      <c r="H68" s="5">
        <f t="shared" si="65"/>
        <v>3.0465953637087104E-4</v>
      </c>
      <c r="I68" s="5">
        <f t="shared" si="66"/>
        <v>0.9949124081080013</v>
      </c>
      <c r="J68" s="32">
        <f t="shared" si="64"/>
        <v>1.3641385054459039</v>
      </c>
      <c r="K68" s="22" t="s">
        <v>456</v>
      </c>
      <c r="L68" s="40">
        <f t="shared" si="67"/>
        <v>-7.5</v>
      </c>
      <c r="M68" s="96">
        <v>50042</v>
      </c>
      <c r="N68" s="99">
        <f t="shared" ref="N68:N131" si="76">M67</f>
        <v>49950</v>
      </c>
      <c r="O68" s="38">
        <f t="shared" ref="O68:O131" si="77">M68</f>
        <v>50042</v>
      </c>
      <c r="P68" s="88">
        <f t="shared" ref="P68:P131" si="78">O68-N68</f>
        <v>92</v>
      </c>
      <c r="Q68" s="45">
        <v>10000000</v>
      </c>
      <c r="R68" s="105">
        <f t="shared" si="68"/>
        <v>3.7213539425584551E-3</v>
      </c>
      <c r="S68" s="45">
        <f t="shared" ref="S68:S131" si="79">Q68*$C68</f>
        <v>9510.1267420938293</v>
      </c>
      <c r="T68" s="45">
        <f t="shared" ref="T68:T131" si="80">Q68*$B68</f>
        <v>252.05479452061701</v>
      </c>
      <c r="V68" s="61">
        <f t="shared" si="69"/>
        <v>-13610230.378516266</v>
      </c>
      <c r="W68" s="47">
        <f t="shared" si="70"/>
        <v>-13641385.054459039</v>
      </c>
      <c r="X68" s="107">
        <f t="shared" si="71"/>
        <v>1.1281438857867299E-2</v>
      </c>
      <c r="Y68" s="47">
        <f t="shared" si="72"/>
        <v>-39238.762030050508</v>
      </c>
      <c r="Z68" s="47">
        <f t="shared" si="73"/>
        <v>31154.675942772999</v>
      </c>
      <c r="AC68" s="122">
        <f t="shared" ref="AC68:AC122" si="81">$G68</f>
        <v>16.744444444444444</v>
      </c>
      <c r="AD68" s="113">
        <f>BBG_GBP!V68/100</f>
        <v>3.7133000000000001E-3</v>
      </c>
      <c r="AE68" s="113">
        <f>BBG_EUR!J68/100</f>
        <v>1.0910899999999999E-2</v>
      </c>
      <c r="AF68" s="116">
        <f>BBG_GBP!X68</f>
        <v>1.0007630000000001</v>
      </c>
      <c r="AG68" s="116">
        <f>BBG_EUR!L68</f>
        <v>0.91093999999999997</v>
      </c>
      <c r="AH68" s="112">
        <f t="shared" ref="AH68:AI122" si="82">AF68^(-1/$G68)-1</f>
        <v>-4.554893986374875E-5</v>
      </c>
      <c r="AI68" s="112">
        <f t="shared" si="82"/>
        <v>5.5862433349140872E-3</v>
      </c>
      <c r="AJ68" s="112">
        <f t="shared" ref="AJ68:AJ122" si="83">I68^(-1/$G68)-1</f>
        <v>3.0465953637093257E-4</v>
      </c>
      <c r="AK68" s="112">
        <f t="shared" ref="AK68:AK122" si="84">F68^(-1/$G68)-1</f>
        <v>6.0159324748962906E-3</v>
      </c>
      <c r="AL68" s="143">
        <f t="shared" si="74"/>
        <v>1.3641385054459039</v>
      </c>
      <c r="AM68" s="143">
        <f>BBG_GBP!AA68</f>
        <v>1.3622836679999999</v>
      </c>
      <c r="AN68" s="151">
        <f t="shared" si="75"/>
        <v>0.99864028657024262</v>
      </c>
      <c r="AO68" s="147"/>
    </row>
    <row r="69" spans="1:41" x14ac:dyDescent="0.25">
      <c r="A69" s="38">
        <v>50132</v>
      </c>
      <c r="B69" s="22">
        <v>2.4657534246630399E-5</v>
      </c>
      <c r="C69" s="22">
        <v>9.3032887175636904E-4</v>
      </c>
      <c r="D69" s="22">
        <v>0.970023527290373</v>
      </c>
      <c r="E69" s="22">
        <v>2.8202714185803202E-3</v>
      </c>
      <c r="F69" s="32">
        <v>0.90237242307557297</v>
      </c>
      <c r="G69" s="5">
        <f t="shared" si="63"/>
        <v>16.994444444444444</v>
      </c>
      <c r="H69" s="5">
        <f t="shared" si="65"/>
        <v>3.0365304175940857E-4</v>
      </c>
      <c r="I69" s="5">
        <f t="shared" si="66"/>
        <v>0.99485365661526137</v>
      </c>
      <c r="J69" s="32">
        <f t="shared" si="64"/>
        <v>1.3671938415002545</v>
      </c>
      <c r="K69" s="22" t="s">
        <v>456</v>
      </c>
      <c r="L69" s="40">
        <f t="shared" si="67"/>
        <v>-7.5</v>
      </c>
      <c r="M69" s="96">
        <v>50132</v>
      </c>
      <c r="N69" s="99">
        <f t="shared" si="76"/>
        <v>50042</v>
      </c>
      <c r="O69" s="38">
        <f t="shared" si="77"/>
        <v>50132</v>
      </c>
      <c r="P69" s="88">
        <f t="shared" si="78"/>
        <v>90</v>
      </c>
      <c r="Q69" s="45">
        <v>10000000</v>
      </c>
      <c r="R69" s="105">
        <f t="shared" si="68"/>
        <v>3.7213154870254757E-3</v>
      </c>
      <c r="S69" s="45">
        <f t="shared" si="79"/>
        <v>9303.2887175636897</v>
      </c>
      <c r="T69" s="45">
        <f t="shared" si="80"/>
        <v>246.57534246630399</v>
      </c>
      <c r="V69" s="61">
        <f t="shared" si="69"/>
        <v>-13641385.054459039</v>
      </c>
      <c r="W69" s="47">
        <f t="shared" si="70"/>
        <v>-13671938.415002545</v>
      </c>
      <c r="X69" s="107">
        <f t="shared" si="71"/>
        <v>1.1281085674321279E-2</v>
      </c>
      <c r="Y69" s="47">
        <f t="shared" si="72"/>
        <v>-38472.408378939574</v>
      </c>
      <c r="Z69" s="47">
        <f t="shared" si="73"/>
        <v>30553.36054350622</v>
      </c>
      <c r="AC69" s="122">
        <f t="shared" si="81"/>
        <v>16.994444444444444</v>
      </c>
      <c r="AD69" s="113">
        <f>BBG_GBP!V69/100</f>
        <v>3.7269999999999998E-3</v>
      </c>
      <c r="AE69" s="113">
        <f>BBG_EUR!J69/100</f>
        <v>1.0978399999999999E-2</v>
      </c>
      <c r="AF69" s="116">
        <f>BBG_GBP!X69</f>
        <v>1.000872</v>
      </c>
      <c r="AG69" s="116">
        <f>BBG_EUR!L69</f>
        <v>0.90908999999999995</v>
      </c>
      <c r="AH69" s="112">
        <f t="shared" si="82"/>
        <v>-5.1287212126882586E-5</v>
      </c>
      <c r="AI69" s="112">
        <f t="shared" si="82"/>
        <v>5.6241291548446704E-3</v>
      </c>
      <c r="AJ69" s="112">
        <f t="shared" si="83"/>
        <v>3.0365304175949959E-4</v>
      </c>
      <c r="AK69" s="112">
        <f t="shared" si="84"/>
        <v>6.0631031470661512E-3</v>
      </c>
      <c r="AL69" s="143">
        <f t="shared" si="74"/>
        <v>1.3671938415002545</v>
      </c>
      <c r="AM69" s="143">
        <f>BBG_GBP!AA69</f>
        <v>1.365235081</v>
      </c>
      <c r="AN69" s="151">
        <f t="shared" si="75"/>
        <v>0.99856731325083714</v>
      </c>
      <c r="AO69" s="147"/>
    </row>
    <row r="70" spans="1:41" x14ac:dyDescent="0.25">
      <c r="A70" s="38">
        <v>50223</v>
      </c>
      <c r="B70" s="22">
        <v>2.4931506849234999E-5</v>
      </c>
      <c r="C70" s="22">
        <v>9.4067071955539205E-4</v>
      </c>
      <c r="D70" s="22">
        <v>0.96945001958068699</v>
      </c>
      <c r="E70" s="22">
        <v>2.85165240568585E-3</v>
      </c>
      <c r="F70" s="32">
        <v>0.90027970833874504</v>
      </c>
      <c r="G70" s="5">
        <f t="shared" si="63"/>
        <v>17.247222222222224</v>
      </c>
      <c r="H70" s="5">
        <f t="shared" si="65"/>
        <v>3.0263536387448549E-4</v>
      </c>
      <c r="I70" s="5">
        <f t="shared" si="66"/>
        <v>0.99479476472083195</v>
      </c>
      <c r="J70" s="32">
        <f t="shared" si="64"/>
        <v>1.3702907844126644</v>
      </c>
      <c r="K70" s="22" t="s">
        <v>456</v>
      </c>
      <c r="L70" s="40">
        <f t="shared" si="67"/>
        <v>-7.5</v>
      </c>
      <c r="M70" s="96">
        <v>50223</v>
      </c>
      <c r="N70" s="99">
        <f t="shared" si="76"/>
        <v>50132</v>
      </c>
      <c r="O70" s="38">
        <f t="shared" si="77"/>
        <v>50223</v>
      </c>
      <c r="P70" s="88">
        <f t="shared" si="78"/>
        <v>91</v>
      </c>
      <c r="Q70" s="45">
        <v>10000000</v>
      </c>
      <c r="R70" s="105">
        <f t="shared" si="68"/>
        <v>3.7213347147246278E-3</v>
      </c>
      <c r="S70" s="45">
        <f t="shared" si="79"/>
        <v>9406.7071955539213</v>
      </c>
      <c r="T70" s="45">
        <f t="shared" si="80"/>
        <v>249.31506849234998</v>
      </c>
      <c r="V70" s="61">
        <f t="shared" si="69"/>
        <v>-13671938.415002545</v>
      </c>
      <c r="W70" s="47">
        <f t="shared" si="70"/>
        <v>-13702907.844126644</v>
      </c>
      <c r="X70" s="107">
        <f t="shared" si="71"/>
        <v>1.1281262264251714E-2</v>
      </c>
      <c r="Y70" s="47">
        <f t="shared" si="72"/>
        <v>-38987.616071530792</v>
      </c>
      <c r="Z70" s="47">
        <f t="shared" si="73"/>
        <v>30969.429124098271</v>
      </c>
      <c r="AC70" s="122">
        <f t="shared" si="81"/>
        <v>17.247222222222224</v>
      </c>
      <c r="AD70" s="113">
        <f>BBG_GBP!V70/100</f>
        <v>3.7407E-3</v>
      </c>
      <c r="AE70" s="113">
        <f>BBG_EUR!J70/100</f>
        <v>1.10454E-2</v>
      </c>
      <c r="AF70" s="116">
        <f>BBG_GBP!X70</f>
        <v>1.0009889999999999</v>
      </c>
      <c r="AG70" s="116">
        <f>BBG_EUR!L70</f>
        <v>0.90720900000000004</v>
      </c>
      <c r="AH70" s="112">
        <f t="shared" si="82"/>
        <v>-5.7312587594671172E-5</v>
      </c>
      <c r="AI70" s="112">
        <f t="shared" si="82"/>
        <v>5.6622374272610188E-3</v>
      </c>
      <c r="AJ70" s="112">
        <f t="shared" si="83"/>
        <v>3.0263536387442613E-4</v>
      </c>
      <c r="AK70" s="112">
        <f t="shared" si="84"/>
        <v>6.1094097271150449E-3</v>
      </c>
      <c r="AL70" s="143">
        <f t="shared" si="74"/>
        <v>1.3702907844126644</v>
      </c>
      <c r="AM70" s="143">
        <f>BBG_GBP!AA70</f>
        <v>1.368225045</v>
      </c>
      <c r="AN70" s="151">
        <f t="shared" si="75"/>
        <v>0.99849248098566912</v>
      </c>
      <c r="AO70" s="147"/>
    </row>
    <row r="71" spans="1:41" x14ac:dyDescent="0.25">
      <c r="A71" s="38">
        <v>50315</v>
      </c>
      <c r="B71" s="22">
        <v>2.5205479452061701E-5</v>
      </c>
      <c r="C71" s="22">
        <v>9.5101267420938298E-4</v>
      </c>
      <c r="D71" s="22">
        <v>0.96887055427273405</v>
      </c>
      <c r="E71" s="22">
        <v>2.8830343747885401E-3</v>
      </c>
      <c r="F71" s="32">
        <v>0.898168930254437</v>
      </c>
      <c r="G71" s="5">
        <f t="shared" si="63"/>
        <v>17.502777777777776</v>
      </c>
      <c r="H71" s="5">
        <f t="shared" si="65"/>
        <v>3.0160650271610171E-4</v>
      </c>
      <c r="I71" s="5">
        <f t="shared" si="66"/>
        <v>0.99473574931830933</v>
      </c>
      <c r="J71" s="32">
        <f t="shared" si="64"/>
        <v>1.3734296090382285</v>
      </c>
      <c r="K71" s="22" t="s">
        <v>456</v>
      </c>
      <c r="L71" s="40">
        <f t="shared" si="67"/>
        <v>-7.5</v>
      </c>
      <c r="M71" s="96">
        <v>50315</v>
      </c>
      <c r="N71" s="99">
        <f t="shared" si="76"/>
        <v>50223</v>
      </c>
      <c r="O71" s="38">
        <f t="shared" si="77"/>
        <v>50315</v>
      </c>
      <c r="P71" s="88">
        <f t="shared" si="78"/>
        <v>92</v>
      </c>
      <c r="Q71" s="45">
        <v>10000000</v>
      </c>
      <c r="R71" s="105">
        <f t="shared" si="68"/>
        <v>3.7213539425584551E-3</v>
      </c>
      <c r="S71" s="45">
        <f t="shared" si="79"/>
        <v>9510.1267420938293</v>
      </c>
      <c r="T71" s="45">
        <f t="shared" si="80"/>
        <v>252.05479452061701</v>
      </c>
      <c r="V71" s="61">
        <f t="shared" si="69"/>
        <v>-13702907.844126644</v>
      </c>
      <c r="W71" s="47">
        <f t="shared" si="70"/>
        <v>-13734296.090382285</v>
      </c>
      <c r="X71" s="107">
        <f t="shared" si="71"/>
        <v>1.12814388578682E-2</v>
      </c>
      <c r="Y71" s="47">
        <f t="shared" si="72"/>
        <v>-39505.954349176638</v>
      </c>
      <c r="Z71" s="47">
        <f t="shared" si="73"/>
        <v>31388.246255641803</v>
      </c>
      <c r="AC71" s="122">
        <f t="shared" si="81"/>
        <v>17.502777777777776</v>
      </c>
      <c r="AD71" s="113">
        <f>BBG_GBP!V71/100</f>
        <v>3.7545E-3</v>
      </c>
      <c r="AE71" s="113">
        <f>BBG_EUR!J71/100</f>
        <v>1.1112500000000001E-2</v>
      </c>
      <c r="AF71" s="116">
        <f>BBG_GBP!X71</f>
        <v>1.0011129999999999</v>
      </c>
      <c r="AG71" s="116">
        <f>BBG_EUR!L71</f>
        <v>0.90529499999999996</v>
      </c>
      <c r="AH71" s="112">
        <f t="shared" si="82"/>
        <v>-6.3552525269572335E-5</v>
      </c>
      <c r="AI71" s="112">
        <f t="shared" si="82"/>
        <v>5.7006806058599313E-3</v>
      </c>
      <c r="AJ71" s="112">
        <f t="shared" si="83"/>
        <v>3.016065027161563E-4</v>
      </c>
      <c r="AK71" s="112">
        <f t="shared" si="84"/>
        <v>6.1548675823253074E-3</v>
      </c>
      <c r="AL71" s="143">
        <f t="shared" si="74"/>
        <v>1.3734296090382285</v>
      </c>
      <c r="AM71" s="143">
        <f>BBG_GBP!AA71</f>
        <v>1.3712874079999999</v>
      </c>
      <c r="AN71" s="151">
        <f t="shared" si="75"/>
        <v>0.99844025421897764</v>
      </c>
      <c r="AO71" s="147"/>
    </row>
    <row r="72" spans="1:41" x14ac:dyDescent="0.25">
      <c r="A72" s="38">
        <v>50409</v>
      </c>
      <c r="B72" s="22">
        <v>2.5753424657493E-5</v>
      </c>
      <c r="C72" s="22">
        <v>9.7169690408427302E-4</v>
      </c>
      <c r="D72" s="22">
        <v>0.96827884962893296</v>
      </c>
      <c r="E72" s="22">
        <v>2.9458012591070302E-3</v>
      </c>
      <c r="F72" s="32">
        <v>0.89601737703809903</v>
      </c>
      <c r="G72" s="5">
        <f t="shared" si="63"/>
        <v>17.763888888888889</v>
      </c>
      <c r="H72" s="5">
        <f t="shared" si="65"/>
        <v>3.0055527501079656E-4</v>
      </c>
      <c r="I72" s="5">
        <f t="shared" si="66"/>
        <v>0.99467599468694268</v>
      </c>
      <c r="J72" s="32">
        <f t="shared" si="64"/>
        <v>1.3766448426354891</v>
      </c>
      <c r="K72" s="22" t="s">
        <v>456</v>
      </c>
      <c r="L72" s="40">
        <f t="shared" si="67"/>
        <v>-7.5</v>
      </c>
      <c r="M72" s="96">
        <v>50409</v>
      </c>
      <c r="N72" s="99">
        <f t="shared" si="76"/>
        <v>50315</v>
      </c>
      <c r="O72" s="38">
        <f t="shared" si="77"/>
        <v>50409</v>
      </c>
      <c r="P72" s="88">
        <f t="shared" si="78"/>
        <v>94</v>
      </c>
      <c r="Q72" s="45">
        <v>10000000</v>
      </c>
      <c r="R72" s="105">
        <f t="shared" si="68"/>
        <v>3.72139239862062E-3</v>
      </c>
      <c r="S72" s="45">
        <f t="shared" si="79"/>
        <v>9716.9690408427305</v>
      </c>
      <c r="T72" s="45">
        <f t="shared" si="80"/>
        <v>257.53424657493002</v>
      </c>
      <c r="V72" s="61">
        <f t="shared" si="69"/>
        <v>-13734296.090382285</v>
      </c>
      <c r="W72" s="47">
        <f t="shared" si="70"/>
        <v>-13766448.426354891</v>
      </c>
      <c r="X72" s="107">
        <f t="shared" si="71"/>
        <v>1.1281792056154583E-2</v>
      </c>
      <c r="Y72" s="47">
        <f t="shared" si="72"/>
        <v>-40458.506715996897</v>
      </c>
      <c r="Z72" s="47">
        <f t="shared" si="73"/>
        <v>32152.335972605273</v>
      </c>
      <c r="AC72" s="122">
        <f t="shared" si="81"/>
        <v>17.763888888888889</v>
      </c>
      <c r="AD72" s="113">
        <f>BBG_GBP!V72/100</f>
        <v>3.7685000000000001E-3</v>
      </c>
      <c r="AE72" s="113">
        <f>BBG_EUR!J72/100</f>
        <v>1.11802E-2</v>
      </c>
      <c r="AF72" s="116">
        <f>BBG_GBP!X72</f>
        <v>1.0012479999999999</v>
      </c>
      <c r="AG72" s="116">
        <f>BBG_EUR!L72</f>
        <v>0.90332800000000002</v>
      </c>
      <c r="AH72" s="112">
        <f t="shared" si="82"/>
        <v>-7.0208619280531792E-5</v>
      </c>
      <c r="AI72" s="112">
        <f t="shared" si="82"/>
        <v>5.7397938770296086E-3</v>
      </c>
      <c r="AJ72" s="112">
        <f t="shared" si="83"/>
        <v>3.0055527501082757E-4</v>
      </c>
      <c r="AK72" s="112">
        <f t="shared" si="84"/>
        <v>6.1999647868535845E-3</v>
      </c>
      <c r="AL72" s="143">
        <f t="shared" si="74"/>
        <v>1.3766448426354891</v>
      </c>
      <c r="AM72" s="143">
        <f>BBG_GBP!AA72</f>
        <v>1.3743559570000001</v>
      </c>
      <c r="AN72" s="151">
        <f t="shared" si="75"/>
        <v>0.99833734485133641</v>
      </c>
      <c r="AO72" s="147"/>
    </row>
    <row r="73" spans="1:41" x14ac:dyDescent="0.25">
      <c r="A73" s="38">
        <v>50497</v>
      </c>
      <c r="B73" s="22">
        <v>2.4109589041198998E-5</v>
      </c>
      <c r="C73" s="22">
        <v>9.0964549671634898E-4</v>
      </c>
      <c r="D73" s="22">
        <v>0.96772524087184997</v>
      </c>
      <c r="E73" s="22">
        <v>2.7575123902365802E-3</v>
      </c>
      <c r="F73" s="32">
        <v>0.89400782829398795</v>
      </c>
      <c r="G73" s="5">
        <f t="shared" si="63"/>
        <v>18.008333333333333</v>
      </c>
      <c r="H73" s="5">
        <f t="shared" si="65"/>
        <v>2.9957114694625556E-4</v>
      </c>
      <c r="I73" s="5">
        <f t="shared" si="66"/>
        <v>0.9946205521579593</v>
      </c>
      <c r="J73" s="32">
        <f t="shared" si="64"/>
        <v>1.3796623560722123</v>
      </c>
      <c r="K73" s="22" t="s">
        <v>456</v>
      </c>
      <c r="L73" s="40">
        <f t="shared" si="67"/>
        <v>-7.5</v>
      </c>
      <c r="M73" s="96">
        <v>50497</v>
      </c>
      <c r="N73" s="99">
        <f t="shared" si="76"/>
        <v>50409</v>
      </c>
      <c r="O73" s="38">
        <f t="shared" si="77"/>
        <v>50497</v>
      </c>
      <c r="P73" s="88">
        <f t="shared" si="78"/>
        <v>88</v>
      </c>
      <c r="Q73" s="45">
        <v>10000000</v>
      </c>
      <c r="R73" s="105">
        <f t="shared" si="68"/>
        <v>3.7212770320214279E-3</v>
      </c>
      <c r="S73" s="45">
        <f t="shared" si="79"/>
        <v>9096.4549671634904</v>
      </c>
      <c r="T73" s="45">
        <f t="shared" si="80"/>
        <v>241.09589041198998</v>
      </c>
      <c r="V73" s="61">
        <f t="shared" si="69"/>
        <v>-13766448.426354891</v>
      </c>
      <c r="W73" s="47">
        <f t="shared" si="70"/>
        <v>-13796623.560722124</v>
      </c>
      <c r="X73" s="107">
        <f t="shared" si="71"/>
        <v>1.1280732505513284E-2</v>
      </c>
      <c r="Y73" s="47">
        <f t="shared" si="72"/>
        <v>-37961.15210522648</v>
      </c>
      <c r="Z73" s="47">
        <f t="shared" si="73"/>
        <v>30175.134367233142</v>
      </c>
      <c r="AC73" s="122">
        <f t="shared" si="81"/>
        <v>18.008333333333333</v>
      </c>
      <c r="AD73" s="113">
        <f>BBG_GBP!V73/100</f>
        <v>3.7819999999999998E-3</v>
      </c>
      <c r="AE73" s="113">
        <f>BBG_EUR!J73/100</f>
        <v>1.1244400000000002E-2</v>
      </c>
      <c r="AF73" s="116">
        <f>BBG_GBP!X73</f>
        <v>1.001382</v>
      </c>
      <c r="AG73" s="116">
        <f>BBG_EUR!L73</f>
        <v>0.90147600000000006</v>
      </c>
      <c r="AH73" s="112">
        <f t="shared" si="82"/>
        <v>-7.6686328324804265E-5</v>
      </c>
      <c r="AI73" s="112">
        <f t="shared" si="82"/>
        <v>5.7762777172047919E-3</v>
      </c>
      <c r="AJ73" s="112">
        <f t="shared" si="83"/>
        <v>2.9957114694623144E-4</v>
      </c>
      <c r="AK73" s="112">
        <f t="shared" si="84"/>
        <v>6.2409999804382554E-3</v>
      </c>
      <c r="AL73" s="143">
        <f t="shared" si="74"/>
        <v>1.3796623560722123</v>
      </c>
      <c r="AM73" s="143">
        <f>BBG_GBP!AA73</f>
        <v>1.3774641249999999</v>
      </c>
      <c r="AN73" s="151">
        <f t="shared" si="75"/>
        <v>0.99840668909857733</v>
      </c>
      <c r="AO73" s="147"/>
    </row>
    <row r="74" spans="1:41" x14ac:dyDescent="0.25">
      <c r="A74" s="38">
        <v>50588</v>
      </c>
      <c r="B74" s="22">
        <v>2.4931506849234999E-5</v>
      </c>
      <c r="C74" s="22">
        <v>9.4067071955561399E-4</v>
      </c>
      <c r="D74" s="22">
        <v>0.96715309197970101</v>
      </c>
      <c r="E74" s="22">
        <v>2.85165240568585E-3</v>
      </c>
      <c r="F74" s="32">
        <v>0.89193451210073105</v>
      </c>
      <c r="G74" s="5">
        <f t="shared" si="63"/>
        <v>18.261111111111113</v>
      </c>
      <c r="H74" s="5">
        <f t="shared" si="65"/>
        <v>2.9855346906133243E-4</v>
      </c>
      <c r="I74" s="5">
        <f t="shared" si="66"/>
        <v>0.99456372592154263</v>
      </c>
      <c r="J74" s="32">
        <f t="shared" si="64"/>
        <v>1.3827903952392584</v>
      </c>
      <c r="K74" s="22" t="s">
        <v>456</v>
      </c>
      <c r="L74" s="40">
        <f t="shared" si="67"/>
        <v>-7.5</v>
      </c>
      <c r="M74" s="96">
        <v>50588</v>
      </c>
      <c r="N74" s="99">
        <f t="shared" si="76"/>
        <v>50497</v>
      </c>
      <c r="O74" s="38">
        <f t="shared" si="77"/>
        <v>50588</v>
      </c>
      <c r="P74" s="88">
        <f t="shared" si="78"/>
        <v>91</v>
      </c>
      <c r="Q74" s="45">
        <v>10000000</v>
      </c>
      <c r="R74" s="105">
        <f t="shared" si="68"/>
        <v>3.7213347147255055E-3</v>
      </c>
      <c r="S74" s="45">
        <f t="shared" si="79"/>
        <v>9406.7071955561405</v>
      </c>
      <c r="T74" s="45">
        <f t="shared" si="80"/>
        <v>249.31506849234998</v>
      </c>
      <c r="V74" s="61">
        <f t="shared" si="69"/>
        <v>-13796623.560722124</v>
      </c>
      <c r="W74" s="47">
        <f t="shared" si="70"/>
        <v>-13827903.952392584</v>
      </c>
      <c r="X74" s="107">
        <f t="shared" si="71"/>
        <v>1.1281262264251714E-2</v>
      </c>
      <c r="Y74" s="47">
        <f t="shared" si="72"/>
        <v>-39343.174767275319</v>
      </c>
      <c r="Z74" s="47">
        <f t="shared" si="73"/>
        <v>31280.391670459881</v>
      </c>
      <c r="AC74" s="122">
        <f t="shared" si="81"/>
        <v>18.261111111111113</v>
      </c>
      <c r="AD74" s="113">
        <f>BBG_GBP!V74/100</f>
        <v>3.7954E-3</v>
      </c>
      <c r="AE74" s="113">
        <f>BBG_EUR!J74/100</f>
        <v>1.1308499999999999E-2</v>
      </c>
      <c r="AF74" s="116">
        <f>BBG_GBP!X74</f>
        <v>1.0015270000000001</v>
      </c>
      <c r="AG74" s="116">
        <f>BBG_EUR!L74</f>
        <v>0.89955099999999999</v>
      </c>
      <c r="AH74" s="112">
        <f t="shared" si="82"/>
        <v>-8.3553052534490746E-5</v>
      </c>
      <c r="AI74" s="112">
        <f t="shared" si="82"/>
        <v>5.8138278450485803E-3</v>
      </c>
      <c r="AJ74" s="112">
        <f t="shared" si="83"/>
        <v>2.9855346906138003E-4</v>
      </c>
      <c r="AK74" s="112">
        <f t="shared" si="84"/>
        <v>6.2822803730868682E-3</v>
      </c>
      <c r="AL74" s="143">
        <f t="shared" si="74"/>
        <v>1.3827903952392584</v>
      </c>
      <c r="AM74" s="143">
        <f>BBG_GBP!AA74</f>
        <v>1.380612282</v>
      </c>
      <c r="AN74" s="151">
        <f t="shared" si="75"/>
        <v>0.99842484208253302</v>
      </c>
      <c r="AO74" s="147"/>
    </row>
    <row r="75" spans="1:41" x14ac:dyDescent="0.25">
      <c r="A75" s="38">
        <v>50682</v>
      </c>
      <c r="B75" s="22">
        <v>2.5753424657493E-5</v>
      </c>
      <c r="C75" s="22">
        <v>9.7169690408427302E-4</v>
      </c>
      <c r="D75" s="22">
        <v>0.966562436217414</v>
      </c>
      <c r="E75" s="22">
        <v>2.9458012591070302E-3</v>
      </c>
      <c r="F75" s="32">
        <v>0.88979789336050197</v>
      </c>
      <c r="G75" s="5">
        <f t="shared" si="63"/>
        <v>18.522222222222222</v>
      </c>
      <c r="H75" s="5">
        <f t="shared" si="65"/>
        <v>2.9750224135602729E-4</v>
      </c>
      <c r="I75" s="5">
        <f t="shared" si="66"/>
        <v>0.99450556680703617</v>
      </c>
      <c r="J75" s="32">
        <f t="shared" si="64"/>
        <v>1.3860297519245071</v>
      </c>
      <c r="K75" s="22" t="s">
        <v>456</v>
      </c>
      <c r="L75" s="40">
        <f t="shared" si="67"/>
        <v>-7.5</v>
      </c>
      <c r="M75" s="96">
        <v>50682</v>
      </c>
      <c r="N75" s="99">
        <f t="shared" si="76"/>
        <v>50588</v>
      </c>
      <c r="O75" s="38">
        <f t="shared" si="77"/>
        <v>50682</v>
      </c>
      <c r="P75" s="88">
        <f t="shared" si="78"/>
        <v>94</v>
      </c>
      <c r="Q75" s="45">
        <v>10000000</v>
      </c>
      <c r="R75" s="105">
        <f t="shared" si="68"/>
        <v>3.72139239862062E-3</v>
      </c>
      <c r="S75" s="45">
        <f t="shared" si="79"/>
        <v>9716.9690408427305</v>
      </c>
      <c r="T75" s="45">
        <f t="shared" si="80"/>
        <v>257.53424657493002</v>
      </c>
      <c r="V75" s="61">
        <f t="shared" si="69"/>
        <v>-13827903.952392584</v>
      </c>
      <c r="W75" s="47">
        <f t="shared" si="70"/>
        <v>-13860297.519245071</v>
      </c>
      <c r="X75" s="107">
        <f t="shared" si="71"/>
        <v>1.1281792056154583E-2</v>
      </c>
      <c r="Y75" s="47">
        <f t="shared" si="72"/>
        <v>-40734.256873769154</v>
      </c>
      <c r="Z75" s="47">
        <f t="shared" si="73"/>
        <v>32393.566852487624</v>
      </c>
      <c r="AC75" s="122">
        <f t="shared" si="81"/>
        <v>18.522222222222222</v>
      </c>
      <c r="AD75" s="113">
        <f>BBG_GBP!V75/100</f>
        <v>3.8092999999999998E-3</v>
      </c>
      <c r="AE75" s="113">
        <f>BBG_EUR!J75/100</f>
        <v>1.13741E-2</v>
      </c>
      <c r="AF75" s="116">
        <f>BBG_GBP!X75</f>
        <v>1.0016849999999999</v>
      </c>
      <c r="AG75" s="116">
        <f>BBG_EUR!L75</f>
        <v>0.89755099999999999</v>
      </c>
      <c r="AH75" s="112">
        <f t="shared" si="82"/>
        <v>-9.0891117032421143E-5</v>
      </c>
      <c r="AI75" s="112">
        <f t="shared" si="82"/>
        <v>5.8525003936360509E-3</v>
      </c>
      <c r="AJ75" s="112">
        <f t="shared" si="83"/>
        <v>2.975022413560513E-4</v>
      </c>
      <c r="AK75" s="112">
        <f t="shared" si="84"/>
        <v>6.3237403032223582E-3</v>
      </c>
      <c r="AL75" s="143">
        <f t="shared" si="74"/>
        <v>1.3860297519245071</v>
      </c>
      <c r="AM75" s="143">
        <f>BBG_GBP!AA75</f>
        <v>1.383836069</v>
      </c>
      <c r="AN75" s="151">
        <f t="shared" si="75"/>
        <v>0.99841729016172909</v>
      </c>
      <c r="AO75" s="147"/>
    </row>
    <row r="76" spans="1:41" x14ac:dyDescent="0.25">
      <c r="A76" s="38">
        <v>50774</v>
      </c>
      <c r="B76" s="22">
        <v>2.5205479452061701E-5</v>
      </c>
      <c r="C76" s="22">
        <v>9.5101267420938298E-4</v>
      </c>
      <c r="D76" s="22">
        <v>0.96598469689259503</v>
      </c>
      <c r="E76" s="22">
        <v>2.8830343747885401E-3</v>
      </c>
      <c r="F76" s="32">
        <v>0.88771169073328204</v>
      </c>
      <c r="G76" s="5">
        <f t="shared" si="63"/>
        <v>18.777777777777779</v>
      </c>
      <c r="H76" s="5">
        <f t="shared" si="65"/>
        <v>2.964733801976435E-4</v>
      </c>
      <c r="I76" s="5">
        <f t="shared" si="66"/>
        <v>0.99444917690359935</v>
      </c>
      <c r="J76" s="32">
        <f t="shared" si="64"/>
        <v>1.3892082724059567</v>
      </c>
      <c r="K76" s="22" t="s">
        <v>456</v>
      </c>
      <c r="L76" s="40">
        <f t="shared" si="67"/>
        <v>-7.5</v>
      </c>
      <c r="M76" s="96">
        <v>50774</v>
      </c>
      <c r="N76" s="99">
        <f t="shared" si="76"/>
        <v>50682</v>
      </c>
      <c r="O76" s="38">
        <f t="shared" si="77"/>
        <v>50774</v>
      </c>
      <c r="P76" s="88">
        <f t="shared" si="78"/>
        <v>92</v>
      </c>
      <c r="Q76" s="45">
        <v>10000000</v>
      </c>
      <c r="R76" s="105">
        <f t="shared" si="68"/>
        <v>3.7213539425584551E-3</v>
      </c>
      <c r="S76" s="45">
        <f t="shared" si="79"/>
        <v>9510.1267420938293</v>
      </c>
      <c r="T76" s="45">
        <f t="shared" si="80"/>
        <v>252.05479452061701</v>
      </c>
      <c r="V76" s="61">
        <f t="shared" si="69"/>
        <v>-13860297.519245071</v>
      </c>
      <c r="W76" s="47">
        <f t="shared" si="70"/>
        <v>-13892082.724059567</v>
      </c>
      <c r="X76" s="107">
        <f t="shared" si="71"/>
        <v>1.12814388578682E-2</v>
      </c>
      <c r="Y76" s="47">
        <f t="shared" si="72"/>
        <v>-39959.714192779866</v>
      </c>
      <c r="Z76" s="47">
        <f t="shared" si="73"/>
        <v>31785.204814495519</v>
      </c>
      <c r="AC76" s="122">
        <f t="shared" si="81"/>
        <v>18.777777777777779</v>
      </c>
      <c r="AD76" s="113">
        <f>BBG_GBP!V76/100</f>
        <v>3.8229999999999996E-3</v>
      </c>
      <c r="AE76" s="113">
        <f>BBG_EUR!J76/100</f>
        <v>1.14384E-2</v>
      </c>
      <c r="AF76" s="116">
        <f>BBG_GBP!X76</f>
        <v>1.0018480000000001</v>
      </c>
      <c r="AG76" s="116">
        <f>BBG_EUR!L76</f>
        <v>0.89558199999999999</v>
      </c>
      <c r="AH76" s="112">
        <f t="shared" si="82"/>
        <v>-9.831854475306212E-5</v>
      </c>
      <c r="AI76" s="112">
        <f t="shared" si="82"/>
        <v>5.8902586540268143E-3</v>
      </c>
      <c r="AJ76" s="112">
        <f t="shared" si="83"/>
        <v>2.9647338019755942E-4</v>
      </c>
      <c r="AK76" s="112">
        <f t="shared" si="84"/>
        <v>6.3632032039731001E-3</v>
      </c>
      <c r="AL76" s="143">
        <f t="shared" si="74"/>
        <v>1.3892082724059567</v>
      </c>
      <c r="AM76" s="143">
        <f>BBG_GBP!AA76</f>
        <v>1.387065792</v>
      </c>
      <c r="AN76" s="151">
        <f t="shared" si="75"/>
        <v>0.99845776875324377</v>
      </c>
      <c r="AO76" s="147"/>
    </row>
    <row r="77" spans="1:41" x14ac:dyDescent="0.25">
      <c r="A77" s="38">
        <v>50864</v>
      </c>
      <c r="B77" s="22">
        <v>2.4657534246630399E-5</v>
      </c>
      <c r="C77" s="22">
        <v>9.3032887175636904E-4</v>
      </c>
      <c r="D77" s="22">
        <v>0.96541985127032304</v>
      </c>
      <c r="E77" s="22">
        <v>2.8202714185803202E-3</v>
      </c>
      <c r="F77" s="32">
        <v>0.885675573345026</v>
      </c>
      <c r="G77" s="5">
        <f t="shared" si="63"/>
        <v>19.027777777777779</v>
      </c>
      <c r="H77" s="5">
        <f t="shared" si="65"/>
        <v>2.9546688558618114E-4</v>
      </c>
      <c r="I77" s="5">
        <f t="shared" si="66"/>
        <v>0.99439452181717924</v>
      </c>
      <c r="J77" s="32">
        <f t="shared" si="64"/>
        <v>1.3923254559772029</v>
      </c>
      <c r="K77" s="22" t="s">
        <v>456</v>
      </c>
      <c r="L77" s="40">
        <f t="shared" si="67"/>
        <v>-7.5</v>
      </c>
      <c r="M77" s="96">
        <v>50864</v>
      </c>
      <c r="N77" s="99">
        <f t="shared" si="76"/>
        <v>50774</v>
      </c>
      <c r="O77" s="38">
        <f t="shared" si="77"/>
        <v>50864</v>
      </c>
      <c r="P77" s="88">
        <f t="shared" si="78"/>
        <v>90</v>
      </c>
      <c r="Q77" s="45">
        <v>10000000</v>
      </c>
      <c r="R77" s="105">
        <f t="shared" si="68"/>
        <v>3.7213154870254757E-3</v>
      </c>
      <c r="S77" s="45">
        <f t="shared" si="79"/>
        <v>9303.2887175636897</v>
      </c>
      <c r="T77" s="45">
        <f t="shared" si="80"/>
        <v>246.57534246630399</v>
      </c>
      <c r="V77" s="61">
        <f t="shared" si="69"/>
        <v>-13892082.724059567</v>
      </c>
      <c r="W77" s="47">
        <f t="shared" si="70"/>
        <v>-13923254.55977203</v>
      </c>
      <c r="X77" s="107">
        <f t="shared" si="71"/>
        <v>1.1281085674321279E-2</v>
      </c>
      <c r="Y77" s="47">
        <f t="shared" si="72"/>
        <v>-39179.443851218632</v>
      </c>
      <c r="Z77" s="47">
        <f t="shared" si="73"/>
        <v>31171.835712462664</v>
      </c>
      <c r="AC77" s="122">
        <f t="shared" si="81"/>
        <v>19.027777777777779</v>
      </c>
      <c r="AD77" s="113">
        <f>BBG_GBP!V77/100</f>
        <v>3.8363999999999998E-3</v>
      </c>
      <c r="AE77" s="113">
        <f>BBG_EUR!J77/100</f>
        <v>1.1500699999999999E-2</v>
      </c>
      <c r="AF77" s="116">
        <f>BBG_GBP!X77</f>
        <v>1.0020150000000001</v>
      </c>
      <c r="AG77" s="116">
        <f>BBG_EUR!L77</f>
        <v>0.89364699999999997</v>
      </c>
      <c r="AH77" s="112">
        <f t="shared" si="82"/>
        <v>-1.0578566558383518E-4</v>
      </c>
      <c r="AI77" s="112">
        <f t="shared" si="82"/>
        <v>5.9269841008011692E-3</v>
      </c>
      <c r="AJ77" s="112">
        <f t="shared" si="83"/>
        <v>2.9546688558612644E-4</v>
      </c>
      <c r="AK77" s="112">
        <f t="shared" si="84"/>
        <v>6.4007839442778991E-3</v>
      </c>
      <c r="AL77" s="143">
        <f t="shared" si="74"/>
        <v>1.3923254559772029</v>
      </c>
      <c r="AM77" s="143">
        <f>BBG_GBP!AA77</f>
        <v>1.390336663</v>
      </c>
      <c r="AN77" s="151">
        <f t="shared" si="75"/>
        <v>0.99857160337860296</v>
      </c>
      <c r="AO77" s="147"/>
    </row>
    <row r="78" spans="1:41" x14ac:dyDescent="0.25">
      <c r="A78" s="38">
        <v>50956</v>
      </c>
      <c r="B78" s="22">
        <v>2.5205479452061701E-5</v>
      </c>
      <c r="C78" s="22">
        <v>9.5101267420916104E-4</v>
      </c>
      <c r="D78" s="22">
        <v>0.96484279489802904</v>
      </c>
      <c r="E78" s="22">
        <v>2.8830343747885401E-3</v>
      </c>
      <c r="F78" s="32">
        <v>0.883599035828177</v>
      </c>
      <c r="G78" s="5">
        <f t="shared" si="63"/>
        <v>19.283333333333335</v>
      </c>
      <c r="H78" s="5">
        <f t="shared" si="65"/>
        <v>2.9443802442779735E-4</v>
      </c>
      <c r="I78" s="5">
        <f t="shared" si="66"/>
        <v>0.99433917234691649</v>
      </c>
      <c r="J78" s="32">
        <f t="shared" si="64"/>
        <v>1.3955198654915617</v>
      </c>
      <c r="K78" s="22" t="s">
        <v>456</v>
      </c>
      <c r="L78" s="40">
        <f t="shared" si="67"/>
        <v>-7.5</v>
      </c>
      <c r="M78" s="96">
        <v>50956</v>
      </c>
      <c r="N78" s="99">
        <f t="shared" si="76"/>
        <v>50864</v>
      </c>
      <c r="O78" s="38">
        <f t="shared" si="77"/>
        <v>50956</v>
      </c>
      <c r="P78" s="88">
        <f t="shared" si="78"/>
        <v>92</v>
      </c>
      <c r="Q78" s="45">
        <v>10000000</v>
      </c>
      <c r="R78" s="105">
        <f t="shared" si="68"/>
        <v>3.7213539425575868E-3</v>
      </c>
      <c r="S78" s="45">
        <f t="shared" si="79"/>
        <v>9510.1267420916101</v>
      </c>
      <c r="T78" s="45">
        <f t="shared" si="80"/>
        <v>252.05479452061701</v>
      </c>
      <c r="V78" s="61">
        <f t="shared" si="69"/>
        <v>-13923254.55977203</v>
      </c>
      <c r="W78" s="47">
        <f t="shared" si="70"/>
        <v>-13955198.654915618</v>
      </c>
      <c r="X78" s="107">
        <f t="shared" si="71"/>
        <v>1.12814388578682E-2</v>
      </c>
      <c r="Y78" s="47">
        <f t="shared" si="72"/>
        <v>-40141.221504754045</v>
      </c>
      <c r="Z78" s="47">
        <f t="shared" si="73"/>
        <v>31944.09514358826</v>
      </c>
      <c r="AC78" s="122">
        <f t="shared" si="81"/>
        <v>19.283333333333335</v>
      </c>
      <c r="AD78" s="113">
        <f>BBG_GBP!V78/100</f>
        <v>3.8498999999999999E-3</v>
      </c>
      <c r="AE78" s="113">
        <f>BBG_EUR!J78/100</f>
        <v>1.1563200000000001E-2</v>
      </c>
      <c r="AF78" s="116">
        <f>BBG_GBP!X78</f>
        <v>1.0021949999999999</v>
      </c>
      <c r="AG78" s="116">
        <f>BBG_EUR!L78</f>
        <v>0.89165799999999995</v>
      </c>
      <c r="AH78" s="112">
        <f t="shared" si="82"/>
        <v>-1.1369765902002893E-4</v>
      </c>
      <c r="AI78" s="112">
        <f t="shared" si="82"/>
        <v>5.9644391360353932E-3</v>
      </c>
      <c r="AJ78" s="112">
        <f t="shared" si="83"/>
        <v>2.944380244278566E-4</v>
      </c>
      <c r="AK78" s="112">
        <f t="shared" si="84"/>
        <v>6.4381940483213551E-3</v>
      </c>
      <c r="AL78" s="143">
        <f t="shared" si="74"/>
        <v>1.3955198654915617</v>
      </c>
      <c r="AM78" s="143">
        <f>BBG_GBP!AA78</f>
        <v>1.393649081</v>
      </c>
      <c r="AN78" s="151">
        <f t="shared" si="75"/>
        <v>0.99865943542774094</v>
      </c>
      <c r="AO78" s="147"/>
    </row>
    <row r="79" spans="1:41" x14ac:dyDescent="0.25">
      <c r="A79" s="38">
        <v>51046</v>
      </c>
      <c r="B79" s="22">
        <v>2.4657534246630399E-5</v>
      </c>
      <c r="C79" s="22">
        <v>9.3032887175636904E-4</v>
      </c>
      <c r="D79" s="22">
        <v>0.96427861698648298</v>
      </c>
      <c r="E79" s="22">
        <v>2.8202714185803202E-3</v>
      </c>
      <c r="F79" s="32">
        <v>0.88157235151177504</v>
      </c>
      <c r="G79" s="5">
        <f t="shared" si="63"/>
        <v>19.533333333333335</v>
      </c>
      <c r="H79" s="5">
        <f t="shared" si="65"/>
        <v>2.9343152981633493E-4</v>
      </c>
      <c r="I79" s="5">
        <f t="shared" si="66"/>
        <v>0.99428553490888105</v>
      </c>
      <c r="J79" s="32">
        <f t="shared" si="64"/>
        <v>1.398652634382255</v>
      </c>
      <c r="K79" s="22" t="s">
        <v>456</v>
      </c>
      <c r="L79" s="40">
        <f t="shared" si="67"/>
        <v>-7.5</v>
      </c>
      <c r="M79" s="96">
        <v>51046</v>
      </c>
      <c r="N79" s="99">
        <f t="shared" si="76"/>
        <v>50956</v>
      </c>
      <c r="O79" s="38">
        <f t="shared" si="77"/>
        <v>51046</v>
      </c>
      <c r="P79" s="88">
        <f t="shared" si="78"/>
        <v>90</v>
      </c>
      <c r="Q79" s="45">
        <v>10000000</v>
      </c>
      <c r="R79" s="105">
        <f t="shared" si="68"/>
        <v>3.7213154870254757E-3</v>
      </c>
      <c r="S79" s="45">
        <f t="shared" si="79"/>
        <v>9303.2887175636897</v>
      </c>
      <c r="T79" s="45">
        <f t="shared" si="80"/>
        <v>246.57534246630399</v>
      </c>
      <c r="V79" s="61">
        <f t="shared" si="69"/>
        <v>-13955198.654915618</v>
      </c>
      <c r="W79" s="47">
        <f t="shared" si="70"/>
        <v>-13986526.34382255</v>
      </c>
      <c r="X79" s="107">
        <f t="shared" si="71"/>
        <v>1.1281085674321279E-2</v>
      </c>
      <c r="Y79" s="47">
        <f t="shared" si="72"/>
        <v>-39357.447907069043</v>
      </c>
      <c r="Z79" s="47">
        <f t="shared" si="73"/>
        <v>31327.68890693225</v>
      </c>
      <c r="AC79" s="122">
        <f t="shared" si="81"/>
        <v>19.533333333333335</v>
      </c>
      <c r="AD79" s="113">
        <f>BBG_GBP!V79/100</f>
        <v>3.8631999999999998E-3</v>
      </c>
      <c r="AE79" s="113">
        <f>BBG_EUR!J79/100</f>
        <v>1.1624199999999999E-2</v>
      </c>
      <c r="AF79" s="116">
        <f>BBG_GBP!X79</f>
        <v>1.0023789999999999</v>
      </c>
      <c r="AG79" s="116">
        <f>BBG_EUR!L79</f>
        <v>0.88970300000000002</v>
      </c>
      <c r="AH79" s="112">
        <f t="shared" si="82"/>
        <v>-1.2163976815715571E-4</v>
      </c>
      <c r="AI79" s="112">
        <f t="shared" si="82"/>
        <v>6.0009156859541779E-3</v>
      </c>
      <c r="AJ79" s="112">
        <f t="shared" si="83"/>
        <v>2.9343152981642362E-4</v>
      </c>
      <c r="AK79" s="112">
        <f t="shared" si="84"/>
        <v>6.4738449953651855E-3</v>
      </c>
      <c r="AL79" s="143">
        <f t="shared" si="74"/>
        <v>1.398652634382255</v>
      </c>
      <c r="AM79" s="143">
        <f>BBG_GBP!AA79</f>
        <v>1.397003456</v>
      </c>
      <c r="AN79" s="151">
        <f t="shared" si="75"/>
        <v>0.99882088065205454</v>
      </c>
      <c r="AO79" s="147"/>
    </row>
    <row r="80" spans="1:41" x14ac:dyDescent="0.25">
      <c r="A80" s="38">
        <v>51138</v>
      </c>
      <c r="B80" s="22">
        <v>2.5205479452061701E-5</v>
      </c>
      <c r="C80" s="22">
        <v>9.5101267420916104E-4</v>
      </c>
      <c r="D80" s="22">
        <v>0.96370224275938698</v>
      </c>
      <c r="E80" s="22">
        <v>2.8830343747885401E-3</v>
      </c>
      <c r="F80" s="32">
        <v>0.87950543432807304</v>
      </c>
      <c r="G80" s="5">
        <f t="shared" si="63"/>
        <v>19.788888888888888</v>
      </c>
      <c r="H80" s="5">
        <f t="shared" si="65"/>
        <v>2.9240266865795115E-4</v>
      </c>
      <c r="I80" s="5">
        <f t="shared" si="66"/>
        <v>0.99423122553265086</v>
      </c>
      <c r="J80" s="32">
        <f t="shared" si="64"/>
        <v>1.4018630183052705</v>
      </c>
      <c r="K80" s="22" t="s">
        <v>456</v>
      </c>
      <c r="L80" s="40">
        <f t="shared" si="67"/>
        <v>-7.5</v>
      </c>
      <c r="M80" s="96">
        <v>51138</v>
      </c>
      <c r="N80" s="99">
        <f t="shared" si="76"/>
        <v>51046</v>
      </c>
      <c r="O80" s="38">
        <f t="shared" si="77"/>
        <v>51138</v>
      </c>
      <c r="P80" s="88">
        <f t="shared" si="78"/>
        <v>92</v>
      </c>
      <c r="Q80" s="45">
        <v>10000000</v>
      </c>
      <c r="R80" s="105">
        <f t="shared" si="68"/>
        <v>3.7213539425575868E-3</v>
      </c>
      <c r="S80" s="45">
        <f t="shared" si="79"/>
        <v>9510.1267420916101</v>
      </c>
      <c r="T80" s="45">
        <f t="shared" si="80"/>
        <v>252.05479452061701</v>
      </c>
      <c r="V80" s="61">
        <f t="shared" si="69"/>
        <v>-13986526.34382255</v>
      </c>
      <c r="W80" s="47">
        <f t="shared" si="70"/>
        <v>-14018630.183052706</v>
      </c>
      <c r="X80" s="107">
        <f t="shared" si="71"/>
        <v>1.12814388578682E-2</v>
      </c>
      <c r="Y80" s="47">
        <f t="shared" si="72"/>
        <v>-40323.636233125893</v>
      </c>
      <c r="Z80" s="47">
        <f t="shared" si="73"/>
        <v>32103.839230155572</v>
      </c>
      <c r="AC80" s="122">
        <f t="shared" si="81"/>
        <v>19.788888888888888</v>
      </c>
      <c r="AD80" s="113">
        <f>BBG_GBP!V80/100</f>
        <v>3.8766E-3</v>
      </c>
      <c r="AE80" s="113">
        <f>BBG_EUR!J80/100</f>
        <v>1.1685300000000001E-2</v>
      </c>
      <c r="AF80" s="116">
        <f>BBG_GBP!X80</f>
        <v>1.0025759999999999</v>
      </c>
      <c r="AG80" s="116">
        <f>BBG_EUR!L80</f>
        <v>0.88769500000000001</v>
      </c>
      <c r="AH80" s="112">
        <f t="shared" si="82"/>
        <v>-1.2999823220605222E-4</v>
      </c>
      <c r="AI80" s="112">
        <f t="shared" si="82"/>
        <v>6.0380525162695431E-3</v>
      </c>
      <c r="AJ80" s="112">
        <f t="shared" si="83"/>
        <v>2.9240266865793174E-4</v>
      </c>
      <c r="AK80" s="112">
        <f t="shared" si="84"/>
        <v>6.5093584107620561E-3</v>
      </c>
      <c r="AL80" s="143">
        <f t="shared" si="74"/>
        <v>1.4018630183052705</v>
      </c>
      <c r="AM80" s="143">
        <f>BBG_GBP!AA80</f>
        <v>1.400400203</v>
      </c>
      <c r="AN80" s="151">
        <f t="shared" si="75"/>
        <v>0.99895652051151262</v>
      </c>
      <c r="AO80" s="147"/>
    </row>
    <row r="81" spans="1:41" x14ac:dyDescent="0.25">
      <c r="A81" s="38">
        <v>51229</v>
      </c>
      <c r="B81" s="22">
        <v>2.4931506849234999E-5</v>
      </c>
      <c r="C81" s="22">
        <v>9.4067071955561399E-4</v>
      </c>
      <c r="D81" s="22">
        <v>0.96313247238731303</v>
      </c>
      <c r="E81" s="22">
        <v>2.8516524056860699E-3</v>
      </c>
      <c r="F81" s="32">
        <v>0.87746575100390301</v>
      </c>
      <c r="G81" s="5">
        <f t="shared" si="63"/>
        <v>20.041666666666668</v>
      </c>
      <c r="H81" s="5">
        <f t="shared" si="65"/>
        <v>2.9138499077302807E-4</v>
      </c>
      <c r="I81" s="5">
        <f t="shared" si="66"/>
        <v>0.99417802357176122</v>
      </c>
      <c r="J81" s="32">
        <f t="shared" si="64"/>
        <v>1.4050464825787339</v>
      </c>
      <c r="K81" s="22" t="s">
        <v>456</v>
      </c>
      <c r="L81" s="40">
        <f t="shared" si="67"/>
        <v>-7.5</v>
      </c>
      <c r="M81" s="96">
        <v>51229</v>
      </c>
      <c r="N81" s="99">
        <f t="shared" si="76"/>
        <v>51138</v>
      </c>
      <c r="O81" s="38">
        <f t="shared" si="77"/>
        <v>51229</v>
      </c>
      <c r="P81" s="88">
        <f t="shared" si="78"/>
        <v>91</v>
      </c>
      <c r="Q81" s="45">
        <v>10000000</v>
      </c>
      <c r="R81" s="105">
        <f t="shared" si="68"/>
        <v>3.7213347147255055E-3</v>
      </c>
      <c r="S81" s="45">
        <f t="shared" si="79"/>
        <v>9406.7071955561405</v>
      </c>
      <c r="T81" s="45">
        <f t="shared" si="80"/>
        <v>249.31506849234998</v>
      </c>
      <c r="V81" s="61">
        <f t="shared" si="69"/>
        <v>-14018630.183052706</v>
      </c>
      <c r="W81" s="47">
        <f t="shared" si="70"/>
        <v>-14050464.825787339</v>
      </c>
      <c r="X81" s="107">
        <f t="shared" si="71"/>
        <v>1.1281262264252585E-2</v>
      </c>
      <c r="Y81" s="47">
        <f t="shared" si="72"/>
        <v>-39976.260485925595</v>
      </c>
      <c r="Z81" s="47">
        <f t="shared" si="73"/>
        <v>31834.642734633759</v>
      </c>
      <c r="AC81" s="122">
        <f t="shared" si="81"/>
        <v>20.041666666666668</v>
      </c>
      <c r="AD81" s="113">
        <f>BBG_GBP!V81/100</f>
        <v>3.8899E-3</v>
      </c>
      <c r="AE81" s="113">
        <f>BBG_EUR!J81/100</f>
        <v>1.17456E-2</v>
      </c>
      <c r="AF81" s="116">
        <f>BBG_GBP!X81</f>
        <v>1.00278</v>
      </c>
      <c r="AG81" s="116">
        <f>BBG_EUR!L81</f>
        <v>0.88569900000000001</v>
      </c>
      <c r="AH81" s="112">
        <f t="shared" si="82"/>
        <v>-1.3850897373601789E-4</v>
      </c>
      <c r="AI81" s="112">
        <f t="shared" si="82"/>
        <v>6.0746648871983222E-3</v>
      </c>
      <c r="AJ81" s="112">
        <f t="shared" si="83"/>
        <v>2.9138499077308033E-4</v>
      </c>
      <c r="AK81" s="112">
        <f t="shared" si="84"/>
        <v>6.5435960318473985E-3</v>
      </c>
      <c r="AL81" s="143">
        <f t="shared" si="74"/>
        <v>1.4050464825787339</v>
      </c>
      <c r="AM81" s="143">
        <f>BBG_GBP!AA81</f>
        <v>1.403801718</v>
      </c>
      <c r="AN81" s="151">
        <f t="shared" si="75"/>
        <v>0.99911407587281431</v>
      </c>
      <c r="AO81" s="147"/>
    </row>
    <row r="82" spans="1:41" x14ac:dyDescent="0.25">
      <c r="A82" s="39">
        <v>51319</v>
      </c>
      <c r="B82" s="11">
        <v>2.4657534246630399E-5</v>
      </c>
      <c r="C82" s="11">
        <v>9.2391114894097004E-4</v>
      </c>
      <c r="D82" s="11">
        <v>0.96257498428154697</v>
      </c>
      <c r="E82" s="11">
        <v>2.8202714185803202E-3</v>
      </c>
      <c r="F82" s="33">
        <v>0.87545313441693096</v>
      </c>
      <c r="G82" s="11">
        <f t="shared" si="63"/>
        <v>20.291666666666668</v>
      </c>
      <c r="H82" s="11">
        <f t="shared" si="65"/>
        <v>2.9037849616156565E-4</v>
      </c>
      <c r="I82" s="11">
        <f t="shared" si="66"/>
        <v>0.99412591199211464</v>
      </c>
      <c r="J82" s="33">
        <f t="shared" si="64"/>
        <v>1.4082027866431719</v>
      </c>
      <c r="K82" s="11" t="s">
        <v>456</v>
      </c>
      <c r="L82" s="41">
        <f t="shared" si="67"/>
        <v>-7.5</v>
      </c>
      <c r="M82" s="95">
        <v>51319</v>
      </c>
      <c r="N82" s="9">
        <f t="shared" si="76"/>
        <v>51229</v>
      </c>
      <c r="O82" s="39">
        <f t="shared" si="77"/>
        <v>51319</v>
      </c>
      <c r="P82" s="87">
        <f t="shared" si="78"/>
        <v>90</v>
      </c>
      <c r="Q82" s="46">
        <v>10000000</v>
      </c>
      <c r="R82" s="106">
        <f t="shared" si="68"/>
        <v>3.6956445957638802E-3</v>
      </c>
      <c r="S82" s="46">
        <f t="shared" si="79"/>
        <v>9239.1114894097009</v>
      </c>
      <c r="T82" s="46">
        <f t="shared" si="80"/>
        <v>246.57534246630399</v>
      </c>
      <c r="U82" s="50">
        <f>Q82</f>
        <v>10000000</v>
      </c>
      <c r="V82" s="62">
        <f t="shared" si="69"/>
        <v>-14050464.825787339</v>
      </c>
      <c r="W82" s="46">
        <f t="shared" si="70"/>
        <v>-14082027.866431719</v>
      </c>
      <c r="X82" s="106">
        <f t="shared" si="71"/>
        <v>1.1281085674321279E-2</v>
      </c>
      <c r="Y82" s="46">
        <f t="shared" si="72"/>
        <v>-39626.12436593615</v>
      </c>
      <c r="Z82" s="46">
        <f t="shared" si="73"/>
        <v>31563.040644379333</v>
      </c>
      <c r="AA82" s="50">
        <f>W82</f>
        <v>-14082027.866431719</v>
      </c>
      <c r="AC82" s="122">
        <f t="shared" si="81"/>
        <v>20.291666666666668</v>
      </c>
      <c r="AD82" s="113">
        <f>BBG_GBP!V82/100</f>
        <v>3.8747E-3</v>
      </c>
      <c r="AE82" s="113">
        <f>BBG_EUR!J82/100</f>
        <v>1.18046E-2</v>
      </c>
      <c r="AF82" s="116">
        <f>BBG_GBP!X82</f>
        <v>1.002991</v>
      </c>
      <c r="AG82" s="116">
        <f>BBG_EUR!L82</f>
        <v>0.88371599999999995</v>
      </c>
      <c r="AH82" s="112">
        <f t="shared" si="82"/>
        <v>-1.4716958142635406E-4</v>
      </c>
      <c r="AI82" s="112">
        <f t="shared" si="82"/>
        <v>6.1107279227827771E-3</v>
      </c>
      <c r="AJ82" s="112">
        <f t="shared" si="83"/>
        <v>2.9037849616164735E-4</v>
      </c>
      <c r="AK82" s="112">
        <f t="shared" si="84"/>
        <v>6.576619516588611E-3</v>
      </c>
      <c r="AL82" s="143">
        <f t="shared" si="74"/>
        <v>1.4082027866431719</v>
      </c>
      <c r="AM82" s="143">
        <f>BBG_GBP!AA82</f>
        <v>1.407322526</v>
      </c>
      <c r="AN82" s="151">
        <f t="shared" si="75"/>
        <v>0.99937490491318348</v>
      </c>
      <c r="AO82" s="147"/>
    </row>
    <row r="83" spans="1:41" x14ac:dyDescent="0.25">
      <c r="A83" s="38">
        <v>51411</v>
      </c>
      <c r="B83" s="22">
        <v>2.5205479452061701E-5</v>
      </c>
      <c r="C83" s="22">
        <v>7.5421715828238802E-4</v>
      </c>
      <c r="D83" s="22">
        <v>0.962174025113813</v>
      </c>
      <c r="E83" s="22">
        <v>2.5865719820290498E-3</v>
      </c>
      <c r="F83" s="32">
        <v>0.87374866006129603</v>
      </c>
      <c r="G83" s="5">
        <f t="shared" si="63"/>
        <v>20.547222222222221</v>
      </c>
      <c r="H83" s="5">
        <f t="shared" si="65"/>
        <v>2.8346170388797264E-4</v>
      </c>
      <c r="I83" s="5">
        <f t="shared" si="66"/>
        <v>0.9941933985682162</v>
      </c>
      <c r="J83" s="32">
        <f t="shared" si="64"/>
        <v>1.41104563579869</v>
      </c>
      <c r="K83" s="22" t="s">
        <v>457</v>
      </c>
      <c r="L83" s="40">
        <f t="shared" si="67"/>
        <v>-7.75</v>
      </c>
      <c r="M83" s="96">
        <v>51411</v>
      </c>
      <c r="N83" s="99">
        <f t="shared" si="76"/>
        <v>51319</v>
      </c>
      <c r="O83" s="38">
        <f t="shared" si="77"/>
        <v>51411</v>
      </c>
      <c r="P83" s="88">
        <f t="shared" si="78"/>
        <v>92</v>
      </c>
      <c r="Q83" s="45">
        <v>10000000</v>
      </c>
      <c r="R83" s="105">
        <f t="shared" si="68"/>
        <v>2.9512845324093447E-3</v>
      </c>
      <c r="S83" s="45">
        <f t="shared" si="79"/>
        <v>7542.1715828238803</v>
      </c>
      <c r="T83" s="45">
        <f t="shared" si="80"/>
        <v>252.05479452061701</v>
      </c>
      <c r="V83" s="61">
        <f t="shared" si="69"/>
        <v>-14082027.866431719</v>
      </c>
      <c r="W83" s="47">
        <f t="shared" si="70"/>
        <v>-14110456.357986901</v>
      </c>
      <c r="X83" s="107">
        <f t="shared" si="71"/>
        <v>1.0121368625331065E-2</v>
      </c>
      <c r="Y83" s="47">
        <f t="shared" si="72"/>
        <v>-36424.178729464606</v>
      </c>
      <c r="Z83" s="47">
        <f t="shared" si="73"/>
        <v>28428.491555182263</v>
      </c>
      <c r="AC83" s="122">
        <f t="shared" si="81"/>
        <v>20.547222222222221</v>
      </c>
      <c r="AD83" s="113">
        <f>BBG_GBP!V83/100</f>
        <v>3.0539E-3</v>
      </c>
      <c r="AE83" s="113">
        <f>BBG_EUR!J83/100</f>
        <v>9.8872000000000005E-3</v>
      </c>
      <c r="AF83" s="116">
        <f>BBG_GBP!X83</f>
        <v>1.002961</v>
      </c>
      <c r="AG83" s="116">
        <f>BBG_EUR!L83</f>
        <v>0.88209599999999999</v>
      </c>
      <c r="AH83" s="112">
        <f t="shared" si="82"/>
        <v>-1.4388378787166811E-4</v>
      </c>
      <c r="AI83" s="112">
        <f t="shared" si="82"/>
        <v>6.1243391283247739E-3</v>
      </c>
      <c r="AJ83" s="112">
        <f t="shared" si="83"/>
        <v>2.8346170388804381E-4</v>
      </c>
      <c r="AK83" s="112">
        <f t="shared" si="84"/>
        <v>6.5900263288747318E-3</v>
      </c>
      <c r="AL83" s="143">
        <f t="shared" si="74"/>
        <v>1.41104563579869</v>
      </c>
      <c r="AM83" s="143">
        <f>BBG_GBP!AA83</f>
        <v>1.409906678</v>
      </c>
      <c r="AN83" s="151">
        <f t="shared" si="75"/>
        <v>0.99919282709942592</v>
      </c>
      <c r="AO83" s="147"/>
    </row>
    <row r="84" spans="1:41" x14ac:dyDescent="0.25">
      <c r="A84" s="38">
        <v>51503</v>
      </c>
      <c r="B84" s="22">
        <v>2.5205479452061701E-5</v>
      </c>
      <c r="C84" s="22">
        <v>7.5421715828216597E-4</v>
      </c>
      <c r="D84" s="22">
        <v>0.96177323296502004</v>
      </c>
      <c r="E84" s="22">
        <v>2.5865719820292702E-3</v>
      </c>
      <c r="F84" s="32">
        <v>0.872047504253182</v>
      </c>
      <c r="G84" s="5">
        <f t="shared" si="63"/>
        <v>20.802777777777777</v>
      </c>
      <c r="H84" s="5">
        <f t="shared" si="65"/>
        <v>2.7654491161437946E-4</v>
      </c>
      <c r="I84" s="5">
        <f t="shared" si="66"/>
        <v>0.99426440467282906</v>
      </c>
      <c r="J84" s="32">
        <f t="shared" si="64"/>
        <v>1.4138992224863949</v>
      </c>
      <c r="K84" s="22" t="s">
        <v>457</v>
      </c>
      <c r="L84" s="40">
        <f t="shared" si="67"/>
        <v>-7.75</v>
      </c>
      <c r="M84" s="96">
        <v>51503</v>
      </c>
      <c r="N84" s="99">
        <f t="shared" si="76"/>
        <v>51411</v>
      </c>
      <c r="O84" s="38">
        <f t="shared" si="77"/>
        <v>51503</v>
      </c>
      <c r="P84" s="88">
        <f t="shared" si="78"/>
        <v>92</v>
      </c>
      <c r="Q84" s="45">
        <v>10000000</v>
      </c>
      <c r="R84" s="105">
        <f t="shared" si="68"/>
        <v>2.9512845324084756E-3</v>
      </c>
      <c r="S84" s="45">
        <f t="shared" si="79"/>
        <v>7542.1715828216593</v>
      </c>
      <c r="T84" s="45">
        <f t="shared" si="80"/>
        <v>252.05479452061701</v>
      </c>
      <c r="V84" s="61">
        <f t="shared" si="69"/>
        <v>-14110456.357986901</v>
      </c>
      <c r="W84" s="47">
        <f t="shared" si="70"/>
        <v>-14138992.224863948</v>
      </c>
      <c r="X84" s="107">
        <f t="shared" si="71"/>
        <v>1.0121368625331927E-2</v>
      </c>
      <c r="Y84" s="47">
        <f t="shared" si="72"/>
        <v>-36497.711069215693</v>
      </c>
      <c r="Z84" s="47">
        <f t="shared" si="73"/>
        <v>28535.866877047345</v>
      </c>
      <c r="AC84" s="122">
        <f t="shared" si="81"/>
        <v>20.802777777777777</v>
      </c>
      <c r="AD84" s="113">
        <f>BBG_GBP!V84/100</f>
        <v>3.0473000000000002E-3</v>
      </c>
      <c r="AE84" s="113">
        <f>BBG_EUR!J84/100</f>
        <v>9.9080000000000001E-3</v>
      </c>
      <c r="AF84" s="116">
        <f>BBG_GBP!X84</f>
        <v>1.0029459999999999</v>
      </c>
      <c r="AG84" s="116">
        <f>BBG_EUR!L84</f>
        <v>0.88048899999999997</v>
      </c>
      <c r="AH84" s="112">
        <f t="shared" si="82"/>
        <v>-1.4139751431685443E-4</v>
      </c>
      <c r="AI84" s="112">
        <f t="shared" si="82"/>
        <v>6.137065123763108E-3</v>
      </c>
      <c r="AJ84" s="112">
        <f t="shared" si="83"/>
        <v>2.7654491161444028E-4</v>
      </c>
      <c r="AK84" s="112">
        <f t="shared" si="84"/>
        <v>6.6031039162917082E-3</v>
      </c>
      <c r="AL84" s="143">
        <f t="shared" si="74"/>
        <v>1.4138992224863949</v>
      </c>
      <c r="AM84" s="143">
        <f>BBG_GBP!AA84</f>
        <v>1.412431625</v>
      </c>
      <c r="AN84" s="151">
        <f t="shared" si="75"/>
        <v>0.99896202115182287</v>
      </c>
      <c r="AO84" s="147"/>
    </row>
    <row r="85" spans="1:41" x14ac:dyDescent="0.25">
      <c r="A85" s="38">
        <v>51593</v>
      </c>
      <c r="B85" s="22">
        <v>2.4657534246630399E-5</v>
      </c>
      <c r="C85" s="22">
        <v>7.3781508598846901E-4</v>
      </c>
      <c r="D85" s="22">
        <v>0.96138131523433201</v>
      </c>
      <c r="E85" s="22">
        <v>2.53027107857173E-3</v>
      </c>
      <c r="F85" s="32">
        <v>0.87038653500455199</v>
      </c>
      <c r="G85" s="5">
        <f t="shared" si="63"/>
        <v>21.052777777777777</v>
      </c>
      <c r="H85" s="5">
        <f t="shared" si="65"/>
        <v>2.6977848439021233E-4</v>
      </c>
      <c r="I85" s="5">
        <f t="shared" si="66"/>
        <v>0.99433727351799039</v>
      </c>
      <c r="J85" s="32">
        <f t="shared" si="64"/>
        <v>1.4167012049229497</v>
      </c>
      <c r="K85" s="22" t="s">
        <v>457</v>
      </c>
      <c r="L85" s="40">
        <f t="shared" si="67"/>
        <v>-7.75</v>
      </c>
      <c r="M85" s="96">
        <v>51593</v>
      </c>
      <c r="N85" s="99">
        <f t="shared" si="76"/>
        <v>51503</v>
      </c>
      <c r="O85" s="38">
        <f t="shared" si="77"/>
        <v>51593</v>
      </c>
      <c r="P85" s="88">
        <f t="shared" si="78"/>
        <v>90</v>
      </c>
      <c r="Q85" s="45">
        <v>10000000</v>
      </c>
      <c r="R85" s="105">
        <f t="shared" si="68"/>
        <v>2.9512603439538761E-3</v>
      </c>
      <c r="S85" s="45">
        <f t="shared" si="79"/>
        <v>7378.1508598846904</v>
      </c>
      <c r="T85" s="45">
        <f t="shared" si="80"/>
        <v>246.57534246630399</v>
      </c>
      <c r="V85" s="61">
        <f t="shared" si="69"/>
        <v>-14138992.224863948</v>
      </c>
      <c r="W85" s="47">
        <f t="shared" si="70"/>
        <v>-14167012.049229497</v>
      </c>
      <c r="X85" s="107">
        <f t="shared" si="71"/>
        <v>1.012108431428692E-2</v>
      </c>
      <c r="Y85" s="47">
        <f t="shared" si="72"/>
        <v>-35775.483106723805</v>
      </c>
      <c r="Z85" s="47">
        <f t="shared" si="73"/>
        <v>28019.82436554879</v>
      </c>
      <c r="AC85" s="122">
        <f t="shared" si="81"/>
        <v>21.052777777777777</v>
      </c>
      <c r="AD85" s="113">
        <f>BBG_GBP!V85/100</f>
        <v>3.0408000000000002E-3</v>
      </c>
      <c r="AE85" s="113">
        <f>BBG_EUR!J85/100</f>
        <v>9.9281000000000005E-3</v>
      </c>
      <c r="AF85" s="116">
        <f>BBG_GBP!X85</f>
        <v>1.002931</v>
      </c>
      <c r="AG85" s="116">
        <f>BBG_EUR!L85</f>
        <v>0.87891399999999997</v>
      </c>
      <c r="AH85" s="112">
        <f t="shared" si="82"/>
        <v>-1.3900823928492123E-4</v>
      </c>
      <c r="AI85" s="112">
        <f t="shared" si="82"/>
        <v>6.1495292838389393E-3</v>
      </c>
      <c r="AJ85" s="112">
        <f t="shared" si="83"/>
        <v>2.6977848439013741E-4</v>
      </c>
      <c r="AK85" s="112">
        <f t="shared" si="84"/>
        <v>6.615590152320161E-3</v>
      </c>
      <c r="AL85" s="143">
        <f t="shared" si="74"/>
        <v>1.4167012049229497</v>
      </c>
      <c r="AM85" s="143">
        <f>BBG_GBP!AA85</f>
        <v>1.414968885</v>
      </c>
      <c r="AN85" s="151">
        <f t="shared" si="75"/>
        <v>0.99877721574815492</v>
      </c>
      <c r="AO85" s="147"/>
    </row>
    <row r="86" spans="1:41" x14ac:dyDescent="0.25">
      <c r="A86" s="38">
        <v>51684</v>
      </c>
      <c r="B86" s="22">
        <v>2.4931506849234999E-5</v>
      </c>
      <c r="C86" s="22">
        <v>7.46016088531975E-4</v>
      </c>
      <c r="D86" s="22">
        <v>0.96098520523804098</v>
      </c>
      <c r="E86" s="22">
        <v>2.55842113508775E-3</v>
      </c>
      <c r="F86" s="32">
        <v>0.86871032705221196</v>
      </c>
      <c r="G86" s="5">
        <f t="shared" si="63"/>
        <v>21.305555555555557</v>
      </c>
      <c r="H86" s="5">
        <f t="shared" si="65"/>
        <v>2.6293687464133209E-4</v>
      </c>
      <c r="I86" s="5">
        <f t="shared" si="66"/>
        <v>0.99441437808839905</v>
      </c>
      <c r="J86" s="32">
        <f t="shared" si="64"/>
        <v>1.4195448492617107</v>
      </c>
      <c r="K86" s="22" t="s">
        <v>457</v>
      </c>
      <c r="L86" s="40">
        <f t="shared" si="67"/>
        <v>-7.75</v>
      </c>
      <c r="M86" s="96">
        <v>51684</v>
      </c>
      <c r="N86" s="99">
        <f t="shared" si="76"/>
        <v>51593</v>
      </c>
      <c r="O86" s="38">
        <f t="shared" si="77"/>
        <v>51684</v>
      </c>
      <c r="P86" s="88">
        <f t="shared" si="78"/>
        <v>91</v>
      </c>
      <c r="Q86" s="45">
        <v>10000000</v>
      </c>
      <c r="R86" s="105">
        <f t="shared" si="68"/>
        <v>2.9512724381484724E-3</v>
      </c>
      <c r="S86" s="45">
        <f t="shared" si="79"/>
        <v>7460.1608853197504</v>
      </c>
      <c r="T86" s="45">
        <f t="shared" si="80"/>
        <v>249.31506849234998</v>
      </c>
      <c r="V86" s="61">
        <f t="shared" si="69"/>
        <v>-14167012.049229497</v>
      </c>
      <c r="W86" s="47">
        <f t="shared" si="70"/>
        <v>-14195448.492617106</v>
      </c>
      <c r="X86" s="107">
        <f t="shared" si="71"/>
        <v>1.012122646847901E-2</v>
      </c>
      <c r="Y86" s="47">
        <f t="shared" si="72"/>
        <v>-36245.183047791557</v>
      </c>
      <c r="Z86" s="47">
        <f t="shared" si="73"/>
        <v>28436.443387608975</v>
      </c>
      <c r="AC86" s="122">
        <f t="shared" si="81"/>
        <v>21.305555555555557</v>
      </c>
      <c r="AD86" s="113">
        <f>BBG_GBP!V86/100</f>
        <v>3.0344E-3</v>
      </c>
      <c r="AE86" s="113">
        <f>BBG_EUR!J86/100</f>
        <v>9.9483000000000002E-3</v>
      </c>
      <c r="AF86" s="116">
        <f>BBG_GBP!X86</f>
        <v>1.0029170000000001</v>
      </c>
      <c r="AG86" s="116">
        <f>BBG_EUR!L86</f>
        <v>0.87732100000000002</v>
      </c>
      <c r="AH86" s="112">
        <f t="shared" si="82"/>
        <v>-1.3670400221355017E-4</v>
      </c>
      <c r="AI86" s="112">
        <f t="shared" si="82"/>
        <v>6.1620157872090964E-3</v>
      </c>
      <c r="AJ86" s="112">
        <f t="shared" si="83"/>
        <v>2.6293687464140625E-4</v>
      </c>
      <c r="AK86" s="112">
        <f t="shared" si="84"/>
        <v>6.6279173466519126E-3</v>
      </c>
      <c r="AL86" s="143">
        <f t="shared" si="74"/>
        <v>1.4195448492617107</v>
      </c>
      <c r="AM86" s="143">
        <f>BBG_GBP!AA86</f>
        <v>1.417518533</v>
      </c>
      <c r="AN86" s="151">
        <f t="shared" si="75"/>
        <v>0.998572559181371</v>
      </c>
      <c r="AO86" s="147"/>
    </row>
    <row r="87" spans="1:41" x14ac:dyDescent="0.25">
      <c r="A87" s="38">
        <v>51776</v>
      </c>
      <c r="B87" s="22">
        <v>2.5205479452061701E-5</v>
      </c>
      <c r="C87" s="22">
        <v>7.5421715828238802E-4</v>
      </c>
      <c r="D87" s="22">
        <v>0.96058490829038601</v>
      </c>
      <c r="E87" s="22">
        <v>2.5865719820290498E-3</v>
      </c>
      <c r="F87" s="32">
        <v>0.86701898068913996</v>
      </c>
      <c r="G87" s="5">
        <f t="shared" si="63"/>
        <v>21.56111111111111</v>
      </c>
      <c r="H87" s="5">
        <f t="shared" si="65"/>
        <v>2.5602008236773907E-4</v>
      </c>
      <c r="I87" s="5">
        <f t="shared" si="66"/>
        <v>0.99449583280536358</v>
      </c>
      <c r="J87" s="32">
        <f t="shared" si="64"/>
        <v>1.4224305461936688</v>
      </c>
      <c r="K87" s="22" t="s">
        <v>457</v>
      </c>
      <c r="L87" s="40">
        <f t="shared" si="67"/>
        <v>-7.75</v>
      </c>
      <c r="M87" s="96">
        <v>51776</v>
      </c>
      <c r="N87" s="99">
        <f t="shared" si="76"/>
        <v>51684</v>
      </c>
      <c r="O87" s="38">
        <f t="shared" si="77"/>
        <v>51776</v>
      </c>
      <c r="P87" s="88">
        <f t="shared" si="78"/>
        <v>92</v>
      </c>
      <c r="Q87" s="45">
        <v>10000000</v>
      </c>
      <c r="R87" s="105">
        <f t="shared" si="68"/>
        <v>2.9512845324093447E-3</v>
      </c>
      <c r="S87" s="45">
        <f t="shared" si="79"/>
        <v>7542.1715828238803</v>
      </c>
      <c r="T87" s="45">
        <f t="shared" si="80"/>
        <v>252.05479452061701</v>
      </c>
      <c r="V87" s="61">
        <f t="shared" si="69"/>
        <v>-14195448.492617106</v>
      </c>
      <c r="W87" s="47">
        <f t="shared" si="70"/>
        <v>-14224305.461936688</v>
      </c>
      <c r="X87" s="107">
        <f t="shared" si="71"/>
        <v>1.0121368625331065E-2</v>
      </c>
      <c r="Y87" s="47">
        <f t="shared" si="72"/>
        <v>-36717.549343339917</v>
      </c>
      <c r="Z87" s="47">
        <f t="shared" si="73"/>
        <v>28856.969319581985</v>
      </c>
      <c r="AC87" s="122">
        <f t="shared" si="81"/>
        <v>21.56111111111111</v>
      </c>
      <c r="AD87" s="113">
        <f>BBG_GBP!V87/100</f>
        <v>3.0277999999999998E-3</v>
      </c>
      <c r="AE87" s="113">
        <f>BBG_EUR!J87/100</f>
        <v>9.9684999999999999E-3</v>
      </c>
      <c r="AF87" s="116">
        <f>BBG_GBP!X87</f>
        <v>1.002902</v>
      </c>
      <c r="AG87" s="116">
        <f>BBG_EUR!L87</f>
        <v>0.87570800000000004</v>
      </c>
      <c r="AH87" s="112">
        <f t="shared" si="82"/>
        <v>-1.3439022644501364E-4</v>
      </c>
      <c r="AI87" s="112">
        <f t="shared" si="82"/>
        <v>6.1746313707475853E-3</v>
      </c>
      <c r="AJ87" s="112">
        <f t="shared" si="83"/>
        <v>2.5602008236780271E-4</v>
      </c>
      <c r="AK87" s="112">
        <f t="shared" si="84"/>
        <v>6.6400863281386169E-3</v>
      </c>
      <c r="AL87" s="143">
        <f t="shared" si="74"/>
        <v>1.4224305461936688</v>
      </c>
      <c r="AM87" s="143">
        <f>BBG_GBP!AA87</f>
        <v>1.4201653240000001</v>
      </c>
      <c r="AN87" s="151">
        <f t="shared" si="75"/>
        <v>0.99840749891112057</v>
      </c>
      <c r="AO87" s="147"/>
    </row>
    <row r="88" spans="1:41" x14ac:dyDescent="0.25">
      <c r="A88" s="38">
        <v>51868</v>
      </c>
      <c r="B88" s="22">
        <v>2.5205479452061701E-5</v>
      </c>
      <c r="C88" s="22">
        <v>7.5421715828216597E-4</v>
      </c>
      <c r="D88" s="22">
        <v>0.96018477808582503</v>
      </c>
      <c r="E88" s="22">
        <v>2.5865719820292702E-3</v>
      </c>
      <c r="F88" s="32">
        <v>0.86533092731388095</v>
      </c>
      <c r="G88" s="5">
        <f t="shared" si="63"/>
        <v>21.816666666666666</v>
      </c>
      <c r="H88" s="5">
        <f t="shared" si="65"/>
        <v>2.4910329009414584E-4</v>
      </c>
      <c r="I88" s="5">
        <f t="shared" si="66"/>
        <v>0.99458081040490165</v>
      </c>
      <c r="J88" s="32">
        <f t="shared" si="64"/>
        <v>1.4253271483219914</v>
      </c>
      <c r="K88" s="22" t="s">
        <v>457</v>
      </c>
      <c r="L88" s="40">
        <f t="shared" si="67"/>
        <v>-7.75</v>
      </c>
      <c r="M88" s="96">
        <v>51868</v>
      </c>
      <c r="N88" s="99">
        <f t="shared" si="76"/>
        <v>51776</v>
      </c>
      <c r="O88" s="38">
        <f t="shared" si="77"/>
        <v>51868</v>
      </c>
      <c r="P88" s="88">
        <f t="shared" si="78"/>
        <v>92</v>
      </c>
      <c r="Q88" s="45">
        <v>10000000</v>
      </c>
      <c r="R88" s="105">
        <f t="shared" si="68"/>
        <v>2.9512845324084756E-3</v>
      </c>
      <c r="S88" s="45">
        <f t="shared" si="79"/>
        <v>7542.1715828216593</v>
      </c>
      <c r="T88" s="45">
        <f t="shared" si="80"/>
        <v>252.05479452061701</v>
      </c>
      <c r="V88" s="61">
        <f t="shared" si="69"/>
        <v>-14224305.461936688</v>
      </c>
      <c r="W88" s="47">
        <f t="shared" si="70"/>
        <v>-14253271.483219914</v>
      </c>
      <c r="X88" s="107">
        <f t="shared" si="71"/>
        <v>1.0121368625331927E-2</v>
      </c>
      <c r="Y88" s="47">
        <f t="shared" si="72"/>
        <v>-36792.189971671352</v>
      </c>
      <c r="Z88" s="47">
        <f t="shared" si="73"/>
        <v>28966.021283226088</v>
      </c>
      <c r="AC88" s="122">
        <f t="shared" si="81"/>
        <v>21.816666666666666</v>
      </c>
      <c r="AD88" s="113">
        <f>BBG_GBP!V88/100</f>
        <v>3.0213000000000002E-3</v>
      </c>
      <c r="AE88" s="113">
        <f>BBG_EUR!J88/100</f>
        <v>9.9883999999999997E-3</v>
      </c>
      <c r="AF88" s="116">
        <f>BBG_GBP!X88</f>
        <v>1.002888</v>
      </c>
      <c r="AG88" s="116">
        <f>BBG_EUR!L88</f>
        <v>0.87409300000000001</v>
      </c>
      <c r="AH88" s="112">
        <f t="shared" si="82"/>
        <v>-1.3217633986506439E-4</v>
      </c>
      <c r="AI88" s="112">
        <f t="shared" si="82"/>
        <v>6.1872135549982943E-3</v>
      </c>
      <c r="AJ88" s="112">
        <f t="shared" si="83"/>
        <v>2.4910329009419918E-4</v>
      </c>
      <c r="AK88" s="112">
        <f t="shared" si="84"/>
        <v>6.6519703621485959E-3</v>
      </c>
      <c r="AL88" s="143">
        <f t="shared" si="74"/>
        <v>1.4253271483219914</v>
      </c>
      <c r="AM88" s="143">
        <f>BBG_GBP!AA88</f>
        <v>1.42274039</v>
      </c>
      <c r="AN88" s="151">
        <f t="shared" si="75"/>
        <v>0.99818514765186594</v>
      </c>
      <c r="AO88" s="147"/>
    </row>
    <row r="89" spans="1:41" x14ac:dyDescent="0.25">
      <c r="A89" s="38">
        <v>51958</v>
      </c>
      <c r="B89" s="22">
        <v>2.4657534246630399E-5</v>
      </c>
      <c r="C89" s="22">
        <v>7.3781508598846901E-4</v>
      </c>
      <c r="D89" s="22">
        <v>0.95979350764247096</v>
      </c>
      <c r="E89" s="22">
        <v>2.5302710785719499E-3</v>
      </c>
      <c r="F89" s="32">
        <v>0.86368275097813496</v>
      </c>
      <c r="G89" s="5">
        <f t="shared" si="63"/>
        <v>22.066666666666666</v>
      </c>
      <c r="H89" s="5">
        <f t="shared" si="65"/>
        <v>2.4233686286997871E-4</v>
      </c>
      <c r="I89" s="5">
        <f t="shared" si="66"/>
        <v>0.99466735040496002</v>
      </c>
      <c r="J89" s="32">
        <f t="shared" si="64"/>
        <v>1.4281713740841142</v>
      </c>
      <c r="K89" s="22" t="s">
        <v>457</v>
      </c>
      <c r="L89" s="40">
        <f t="shared" si="67"/>
        <v>-7.75</v>
      </c>
      <c r="M89" s="96">
        <v>51958</v>
      </c>
      <c r="N89" s="99">
        <f t="shared" si="76"/>
        <v>51868</v>
      </c>
      <c r="O89" s="38">
        <f t="shared" si="77"/>
        <v>51958</v>
      </c>
      <c r="P89" s="88">
        <f t="shared" si="78"/>
        <v>90</v>
      </c>
      <c r="Q89" s="45">
        <v>10000000</v>
      </c>
      <c r="R89" s="105">
        <f t="shared" si="68"/>
        <v>2.9512603439538761E-3</v>
      </c>
      <c r="S89" s="45">
        <f t="shared" si="79"/>
        <v>7378.1508598846904</v>
      </c>
      <c r="T89" s="45">
        <f t="shared" si="80"/>
        <v>246.57534246630399</v>
      </c>
      <c r="V89" s="61">
        <f t="shared" si="69"/>
        <v>-14253271.483219914</v>
      </c>
      <c r="W89" s="47">
        <f t="shared" si="70"/>
        <v>-14281713.740841143</v>
      </c>
      <c r="X89" s="107">
        <f t="shared" si="71"/>
        <v>1.01210843142878E-2</v>
      </c>
      <c r="Y89" s="47">
        <f t="shared" si="72"/>
        <v>-36064.640609025671</v>
      </c>
      <c r="Z89" s="47">
        <f t="shared" si="73"/>
        <v>28442.257621228695</v>
      </c>
      <c r="AC89" s="122">
        <f t="shared" si="81"/>
        <v>22.066666666666666</v>
      </c>
      <c r="AD89" s="113">
        <f>BBG_GBP!V89/100</f>
        <v>3.0148000000000002E-3</v>
      </c>
      <c r="AE89" s="113">
        <f>BBG_EUR!J89/100</f>
        <v>1.00077E-2</v>
      </c>
      <c r="AF89" s="116">
        <f>BBG_GBP!X89</f>
        <v>1.002875</v>
      </c>
      <c r="AG89" s="116">
        <f>BBG_EUR!L89</f>
        <v>0.87251199999999995</v>
      </c>
      <c r="AH89" s="112">
        <f t="shared" si="82"/>
        <v>-1.3009161703503302E-4</v>
      </c>
      <c r="AI89" s="112">
        <f t="shared" si="82"/>
        <v>6.1994489230310368E-3</v>
      </c>
      <c r="AJ89" s="112">
        <f t="shared" si="83"/>
        <v>2.4233686286989631E-4</v>
      </c>
      <c r="AK89" s="112">
        <f t="shared" si="84"/>
        <v>6.6633298299514365E-3</v>
      </c>
      <c r="AL89" s="143">
        <f t="shared" si="74"/>
        <v>1.4281713740841142</v>
      </c>
      <c r="AM89" s="143">
        <f>BBG_GBP!AA89</f>
        <v>1.425328076</v>
      </c>
      <c r="AN89" s="151">
        <f t="shared" si="75"/>
        <v>0.99800913382265655</v>
      </c>
      <c r="AO89" s="147"/>
    </row>
    <row r="90" spans="1:41" x14ac:dyDescent="0.25">
      <c r="A90" s="38">
        <v>52049</v>
      </c>
      <c r="B90" s="22">
        <v>2.4931506849234999E-5</v>
      </c>
      <c r="C90" s="22">
        <v>7.46016088531975E-4</v>
      </c>
      <c r="D90" s="22">
        <v>0.959398051857416</v>
      </c>
      <c r="E90" s="22">
        <v>2.55842113508775E-3</v>
      </c>
      <c r="F90" s="32">
        <v>0.86201945330834595</v>
      </c>
      <c r="G90" s="5">
        <f t="shared" si="63"/>
        <v>22.319444444444443</v>
      </c>
      <c r="H90" s="5">
        <f t="shared" si="65"/>
        <v>2.3549525312109861E-4</v>
      </c>
      <c r="I90" s="5">
        <f t="shared" si="66"/>
        <v>0.99475828158190138</v>
      </c>
      <c r="J90" s="32">
        <f t="shared" si="64"/>
        <v>1.4310578957995452</v>
      </c>
      <c r="K90" s="22" t="s">
        <v>457</v>
      </c>
      <c r="L90" s="40">
        <f t="shared" si="67"/>
        <v>-7.75</v>
      </c>
      <c r="M90" s="96">
        <v>52049</v>
      </c>
      <c r="N90" s="99">
        <f t="shared" si="76"/>
        <v>51958</v>
      </c>
      <c r="O90" s="38">
        <f t="shared" si="77"/>
        <v>52049</v>
      </c>
      <c r="P90" s="88">
        <f t="shared" si="78"/>
        <v>91</v>
      </c>
      <c r="Q90" s="45">
        <v>10000000</v>
      </c>
      <c r="R90" s="105">
        <f t="shared" si="68"/>
        <v>2.9512724381484724E-3</v>
      </c>
      <c r="S90" s="45">
        <f t="shared" si="79"/>
        <v>7460.1608853197504</v>
      </c>
      <c r="T90" s="45">
        <f t="shared" si="80"/>
        <v>249.31506849234998</v>
      </c>
      <c r="V90" s="61">
        <f t="shared" si="69"/>
        <v>-14281713.740841143</v>
      </c>
      <c r="W90" s="47">
        <f t="shared" si="70"/>
        <v>-14310578.957995452</v>
      </c>
      <c r="X90" s="107">
        <f t="shared" si="71"/>
        <v>1.012122646847901E-2</v>
      </c>
      <c r="Y90" s="47">
        <f t="shared" si="72"/>
        <v>-36538.638279841114</v>
      </c>
      <c r="Z90" s="47">
        <f t="shared" si="73"/>
        <v>28865.217154309154</v>
      </c>
      <c r="AC90" s="122">
        <f t="shared" si="81"/>
        <v>22.319444444444443</v>
      </c>
      <c r="AD90" s="113">
        <f>BBG_GBP!V90/100</f>
        <v>3.0084E-3</v>
      </c>
      <c r="AE90" s="113">
        <f>BBG_EUR!J90/100</f>
        <v>1.0026999999999999E-2</v>
      </c>
      <c r="AF90" s="116">
        <f>BBG_GBP!X90</f>
        <v>1.0028619999999999</v>
      </c>
      <c r="AG90" s="116">
        <f>BBG_EUR!L90</f>
        <v>0.87091099999999999</v>
      </c>
      <c r="AH90" s="112">
        <f t="shared" si="82"/>
        <v>-1.2803765427660263E-4</v>
      </c>
      <c r="AI90" s="112">
        <f t="shared" si="82"/>
        <v>6.2118181647992099E-3</v>
      </c>
      <c r="AJ90" s="112">
        <f t="shared" si="83"/>
        <v>2.3549525312116515E-4</v>
      </c>
      <c r="AK90" s="112">
        <f t="shared" si="84"/>
        <v>6.6745569083617173E-3</v>
      </c>
      <c r="AL90" s="143">
        <f t="shared" si="74"/>
        <v>1.4310578957995452</v>
      </c>
      <c r="AM90" s="143">
        <f>BBG_GBP!AA90</f>
        <v>1.427928458</v>
      </c>
      <c r="AN90" s="151">
        <f t="shared" si="75"/>
        <v>0.99781319972537041</v>
      </c>
      <c r="AO90" s="147"/>
    </row>
    <row r="91" spans="1:41" x14ac:dyDescent="0.25">
      <c r="A91" s="38">
        <v>52141</v>
      </c>
      <c r="B91" s="22">
        <v>2.5205479452061701E-5</v>
      </c>
      <c r="C91" s="22">
        <v>7.5421715828238802E-4</v>
      </c>
      <c r="D91" s="22">
        <v>0.95899841603612501</v>
      </c>
      <c r="E91" s="22">
        <v>2.5865719820290498E-3</v>
      </c>
      <c r="F91" s="32">
        <v>0.86034113382502897</v>
      </c>
      <c r="G91" s="5">
        <f t="shared" si="63"/>
        <v>22.574999999999999</v>
      </c>
      <c r="H91" s="5">
        <f t="shared" si="65"/>
        <v>2.2857846084750545E-4</v>
      </c>
      <c r="I91" s="5">
        <f t="shared" si="66"/>
        <v>0.99485371862091554</v>
      </c>
      <c r="J91" s="32">
        <f t="shared" si="64"/>
        <v>1.4339871104113726</v>
      </c>
      <c r="K91" s="22" t="s">
        <v>457</v>
      </c>
      <c r="L91" s="40">
        <f t="shared" si="67"/>
        <v>-7.75</v>
      </c>
      <c r="M91" s="96">
        <v>52141</v>
      </c>
      <c r="N91" s="99">
        <f t="shared" si="76"/>
        <v>52049</v>
      </c>
      <c r="O91" s="38">
        <f t="shared" si="77"/>
        <v>52141</v>
      </c>
      <c r="P91" s="88">
        <f t="shared" si="78"/>
        <v>92</v>
      </c>
      <c r="Q91" s="45">
        <v>10000000</v>
      </c>
      <c r="R91" s="105">
        <f t="shared" si="68"/>
        <v>2.9512845324093447E-3</v>
      </c>
      <c r="S91" s="45">
        <f t="shared" si="79"/>
        <v>7542.1715828238803</v>
      </c>
      <c r="T91" s="45">
        <f t="shared" si="80"/>
        <v>252.05479452061701</v>
      </c>
      <c r="V91" s="61">
        <f t="shared" si="69"/>
        <v>-14310578.957995452</v>
      </c>
      <c r="W91" s="47">
        <f t="shared" si="70"/>
        <v>-14339871.104113726</v>
      </c>
      <c r="X91" s="107">
        <f t="shared" si="71"/>
        <v>1.0121368625331065E-2</v>
      </c>
      <c r="Y91" s="47">
        <f t="shared" si="72"/>
        <v>-37015.342579365511</v>
      </c>
      <c r="Z91" s="47">
        <f t="shared" si="73"/>
        <v>29292.146118273959</v>
      </c>
      <c r="AC91" s="122">
        <f t="shared" si="81"/>
        <v>22.574999999999999</v>
      </c>
      <c r="AD91" s="113">
        <f>BBG_GBP!V91/100</f>
        <v>3.0019000000000001E-3</v>
      </c>
      <c r="AE91" s="113">
        <f>BBG_EUR!J91/100</f>
        <v>1.0046299999999999E-2</v>
      </c>
      <c r="AF91" s="116">
        <f>BBG_GBP!X91</f>
        <v>1.0028490000000001</v>
      </c>
      <c r="AG91" s="116">
        <f>BBG_EUR!L91</f>
        <v>0.86929199999999995</v>
      </c>
      <c r="AH91" s="112">
        <f t="shared" si="82"/>
        <v>-1.2601417654878322E-4</v>
      </c>
      <c r="AI91" s="112">
        <f t="shared" si="82"/>
        <v>6.2242158650249735E-3</v>
      </c>
      <c r="AJ91" s="112">
        <f t="shared" si="83"/>
        <v>2.2857846084756162E-4</v>
      </c>
      <c r="AK91" s="112">
        <f t="shared" si="84"/>
        <v>6.6856519000593195E-3</v>
      </c>
      <c r="AL91" s="143">
        <f t="shared" si="74"/>
        <v>1.4339871104113726</v>
      </c>
      <c r="AM91" s="143">
        <f>BBG_GBP!AA91</f>
        <v>1.4305704019999999</v>
      </c>
      <c r="AN91" s="151">
        <f t="shared" si="75"/>
        <v>0.99761733673436392</v>
      </c>
      <c r="AO91" s="147"/>
    </row>
    <row r="92" spans="1:41" x14ac:dyDescent="0.25">
      <c r="A92" s="38">
        <v>52233</v>
      </c>
      <c r="B92" s="22">
        <v>2.5205479452061701E-5</v>
      </c>
      <c r="C92" s="22">
        <v>7.5421715828216597E-4</v>
      </c>
      <c r="D92" s="22">
        <v>0.95859894668253598</v>
      </c>
      <c r="E92" s="22">
        <v>2.5865719820292702E-3</v>
      </c>
      <c r="F92" s="32">
        <v>0.85866608196667904</v>
      </c>
      <c r="G92" s="5">
        <f t="shared" si="63"/>
        <v>22.830555555555556</v>
      </c>
      <c r="H92" s="5">
        <f t="shared" si="65"/>
        <v>2.2166166857391233E-4</v>
      </c>
      <c r="I92" s="5">
        <f t="shared" si="66"/>
        <v>0.99495268248606383</v>
      </c>
      <c r="J92" s="32">
        <f t="shared" si="64"/>
        <v>1.4369274010742252</v>
      </c>
      <c r="K92" s="22" t="s">
        <v>457</v>
      </c>
      <c r="L92" s="40">
        <f t="shared" si="67"/>
        <v>-7.75</v>
      </c>
      <c r="M92" s="96">
        <v>52233</v>
      </c>
      <c r="N92" s="99">
        <f t="shared" si="76"/>
        <v>52141</v>
      </c>
      <c r="O92" s="38">
        <f t="shared" si="77"/>
        <v>52233</v>
      </c>
      <c r="P92" s="88">
        <f t="shared" si="78"/>
        <v>92</v>
      </c>
      <c r="Q92" s="45">
        <v>10000000</v>
      </c>
      <c r="R92" s="105">
        <f t="shared" si="68"/>
        <v>2.9512845324084756E-3</v>
      </c>
      <c r="S92" s="45">
        <f t="shared" si="79"/>
        <v>7542.1715828216593</v>
      </c>
      <c r="T92" s="45">
        <f t="shared" si="80"/>
        <v>252.05479452061701</v>
      </c>
      <c r="V92" s="61">
        <f t="shared" si="69"/>
        <v>-14339871.104113726</v>
      </c>
      <c r="W92" s="47">
        <f t="shared" si="70"/>
        <v>-14369274.010742253</v>
      </c>
      <c r="X92" s="107">
        <f t="shared" si="71"/>
        <v>1.0121368625331927E-2</v>
      </c>
      <c r="Y92" s="47">
        <f t="shared" si="72"/>
        <v>-37091.108823811701</v>
      </c>
      <c r="Z92" s="47">
        <f t="shared" si="73"/>
        <v>29402.906628526747</v>
      </c>
      <c r="AC92" s="122">
        <f t="shared" si="81"/>
        <v>22.830555555555556</v>
      </c>
      <c r="AD92" s="113">
        <f>BBG_GBP!V92/100</f>
        <v>2.9953999999999996E-3</v>
      </c>
      <c r="AE92" s="113">
        <f>BBG_EUR!J92/100</f>
        <v>1.00654E-2</v>
      </c>
      <c r="AF92" s="116">
        <f>BBG_GBP!X92</f>
        <v>1.002837</v>
      </c>
      <c r="AG92" s="116">
        <f>BBG_EUR!L92</f>
        <v>0.86767099999999997</v>
      </c>
      <c r="AH92" s="112">
        <f t="shared" si="82"/>
        <v>-1.2407965904615015E-4</v>
      </c>
      <c r="AI92" s="112">
        <f t="shared" si="82"/>
        <v>6.2365906339461041E-3</v>
      </c>
      <c r="AJ92" s="112">
        <f t="shared" si="83"/>
        <v>2.2166166857395808E-4</v>
      </c>
      <c r="AK92" s="112">
        <f t="shared" si="84"/>
        <v>6.6964986247013414E-3</v>
      </c>
      <c r="AL92" s="143">
        <f t="shared" si="74"/>
        <v>1.4369274010742252</v>
      </c>
      <c r="AM92" s="143">
        <f>BBG_GBP!AA92</f>
        <v>1.433196554</v>
      </c>
      <c r="AN92" s="151">
        <f t="shared" si="75"/>
        <v>0.99740359389664635</v>
      </c>
      <c r="AO92" s="147"/>
    </row>
    <row r="93" spans="1:41" x14ac:dyDescent="0.25">
      <c r="A93" s="38">
        <v>52323</v>
      </c>
      <c r="B93" s="22">
        <v>2.4657534246630399E-5</v>
      </c>
      <c r="C93" s="22">
        <v>7.3781508598846901E-4</v>
      </c>
      <c r="D93" s="22">
        <v>0.95820832245746201</v>
      </c>
      <c r="E93" s="22">
        <v>2.5302710785719499E-3</v>
      </c>
      <c r="F93" s="32">
        <v>0.85703060001181797</v>
      </c>
      <c r="G93" s="5">
        <f t="shared" si="63"/>
        <v>23.080555555555556</v>
      </c>
      <c r="H93" s="5">
        <f t="shared" si="65"/>
        <v>2.1489524134974514E-4</v>
      </c>
      <c r="I93" s="5">
        <f t="shared" si="66"/>
        <v>0.9950529086612786</v>
      </c>
      <c r="J93" s="32">
        <f t="shared" si="64"/>
        <v>1.4398145317259801</v>
      </c>
      <c r="K93" s="22" t="s">
        <v>457</v>
      </c>
      <c r="L93" s="40">
        <f t="shared" si="67"/>
        <v>-7.75</v>
      </c>
      <c r="M93" s="96">
        <v>52323</v>
      </c>
      <c r="N93" s="99">
        <f t="shared" si="76"/>
        <v>52233</v>
      </c>
      <c r="O93" s="38">
        <f t="shared" si="77"/>
        <v>52323</v>
      </c>
      <c r="P93" s="88">
        <f t="shared" si="78"/>
        <v>90</v>
      </c>
      <c r="Q93" s="45">
        <v>10000000</v>
      </c>
      <c r="R93" s="105">
        <f t="shared" si="68"/>
        <v>2.9512603439538761E-3</v>
      </c>
      <c r="S93" s="45">
        <f t="shared" si="79"/>
        <v>7378.1508598846904</v>
      </c>
      <c r="T93" s="45">
        <f t="shared" si="80"/>
        <v>246.57534246630399</v>
      </c>
      <c r="V93" s="61">
        <f t="shared" si="69"/>
        <v>-14369274.010742253</v>
      </c>
      <c r="W93" s="47">
        <f t="shared" si="70"/>
        <v>-14398145.317259802</v>
      </c>
      <c r="X93" s="107">
        <f t="shared" si="71"/>
        <v>1.01210843142878E-2</v>
      </c>
      <c r="Y93" s="47">
        <f t="shared" si="72"/>
        <v>-36358.158449456685</v>
      </c>
      <c r="Z93" s="47">
        <f t="shared" si="73"/>
        <v>28871.306517548859</v>
      </c>
      <c r="AC93" s="122">
        <f t="shared" si="81"/>
        <v>23.080555555555556</v>
      </c>
      <c r="AD93" s="113">
        <f>BBG_GBP!V93/100</f>
        <v>2.9889999999999999E-3</v>
      </c>
      <c r="AE93" s="113">
        <f>BBG_EUR!J93/100</f>
        <v>1.00838E-2</v>
      </c>
      <c r="AF93" s="116">
        <f>BBG_GBP!X93</f>
        <v>1.0028250000000001</v>
      </c>
      <c r="AG93" s="116">
        <f>BBG_EUR!L93</f>
        <v>0.86608300000000005</v>
      </c>
      <c r="AH93" s="112">
        <f t="shared" si="82"/>
        <v>-1.222173698439688E-4</v>
      </c>
      <c r="AI93" s="112">
        <f t="shared" si="82"/>
        <v>6.2486913141972522E-3</v>
      </c>
      <c r="AJ93" s="112">
        <f t="shared" si="83"/>
        <v>2.1489524134965521E-4</v>
      </c>
      <c r="AK93" s="112">
        <f t="shared" si="84"/>
        <v>6.7068772390928011E-3</v>
      </c>
      <c r="AL93" s="143">
        <f t="shared" si="74"/>
        <v>1.4398145317259801</v>
      </c>
      <c r="AM93" s="143">
        <f>BBG_GBP!AA93</f>
        <v>1.4358356400000001</v>
      </c>
      <c r="AN93" s="151">
        <f t="shared" si="75"/>
        <v>0.99723652481739422</v>
      </c>
      <c r="AO93" s="147"/>
    </row>
    <row r="94" spans="1:41" x14ac:dyDescent="0.25">
      <c r="A94" s="38">
        <v>52414</v>
      </c>
      <c r="B94" s="22">
        <v>2.4931506849234999E-5</v>
      </c>
      <c r="C94" s="22">
        <v>7.46016088531975E-4</v>
      </c>
      <c r="D94" s="22">
        <v>0.95781351980315599</v>
      </c>
      <c r="E94" s="22">
        <v>2.5584211350875201E-3</v>
      </c>
      <c r="F94" s="32">
        <v>0.85538011318859197</v>
      </c>
      <c r="G94" s="5">
        <f t="shared" si="63"/>
        <v>23.333333333333332</v>
      </c>
      <c r="H94" s="5">
        <f t="shared" si="65"/>
        <v>2.0805363160086499E-4</v>
      </c>
      <c r="I94" s="5">
        <f t="shared" si="66"/>
        <v>0.99515768220602185</v>
      </c>
      <c r="J94" s="32">
        <f t="shared" si="64"/>
        <v>1.4427446028682662</v>
      </c>
      <c r="K94" s="22" t="s">
        <v>457</v>
      </c>
      <c r="L94" s="40">
        <f t="shared" si="67"/>
        <v>-7.75</v>
      </c>
      <c r="M94" s="96">
        <v>52414</v>
      </c>
      <c r="N94" s="99">
        <f t="shared" si="76"/>
        <v>52323</v>
      </c>
      <c r="O94" s="38">
        <f t="shared" si="77"/>
        <v>52414</v>
      </c>
      <c r="P94" s="88">
        <f t="shared" si="78"/>
        <v>91</v>
      </c>
      <c r="Q94" s="45">
        <v>10000000</v>
      </c>
      <c r="R94" s="105">
        <f t="shared" si="68"/>
        <v>2.9512724381484724E-3</v>
      </c>
      <c r="S94" s="45">
        <f t="shared" si="79"/>
        <v>7460.1608853197504</v>
      </c>
      <c r="T94" s="45">
        <f t="shared" si="80"/>
        <v>249.31506849234998</v>
      </c>
      <c r="V94" s="61">
        <f t="shared" si="69"/>
        <v>-14398145.317259802</v>
      </c>
      <c r="W94" s="47">
        <f t="shared" si="70"/>
        <v>-14427446.028682662</v>
      </c>
      <c r="X94" s="107">
        <f t="shared" si="71"/>
        <v>1.0121226468478102E-2</v>
      </c>
      <c r="Y94" s="47">
        <f t="shared" si="72"/>
        <v>-36836.519285738883</v>
      </c>
      <c r="Z94" s="47">
        <f t="shared" si="73"/>
        <v>29300.711422860622</v>
      </c>
      <c r="AC94" s="122">
        <f t="shared" si="81"/>
        <v>23.333333333333332</v>
      </c>
      <c r="AD94" s="113">
        <f>BBG_GBP!V94/100</f>
        <v>2.9826999999999996E-3</v>
      </c>
      <c r="AE94" s="113">
        <f>BBG_EUR!J94/100</f>
        <v>1.01023E-2</v>
      </c>
      <c r="AF94" s="116">
        <f>BBG_GBP!X94</f>
        <v>1.002815</v>
      </c>
      <c r="AG94" s="116">
        <f>BBG_EUR!L94</f>
        <v>0.86447700000000005</v>
      </c>
      <c r="AH94" s="112">
        <f t="shared" si="82"/>
        <v>-1.2046611369198601E-4</v>
      </c>
      <c r="AI94" s="112">
        <f t="shared" si="82"/>
        <v>6.2608280991074405E-3</v>
      </c>
      <c r="AJ94" s="112">
        <f t="shared" si="83"/>
        <v>2.0805363160092405E-4</v>
      </c>
      <c r="AK94" s="112">
        <f t="shared" si="84"/>
        <v>6.7171451574576935E-3</v>
      </c>
      <c r="AL94" s="143">
        <f t="shared" si="74"/>
        <v>1.4427446028682662</v>
      </c>
      <c r="AM94" s="143">
        <f>BBG_GBP!AA94</f>
        <v>1.43848774</v>
      </c>
      <c r="AN94" s="151">
        <f t="shared" si="75"/>
        <v>0.99704946886662871</v>
      </c>
      <c r="AO94" s="147"/>
    </row>
    <row r="95" spans="1:41" x14ac:dyDescent="0.25">
      <c r="A95" s="38">
        <v>52506</v>
      </c>
      <c r="B95" s="22">
        <v>2.5205479452061701E-5</v>
      </c>
      <c r="C95" s="22">
        <v>7.5421715828238802E-4</v>
      </c>
      <c r="D95" s="22">
        <v>0.95741454401631798</v>
      </c>
      <c r="E95" s="22">
        <v>2.5865719820290498E-3</v>
      </c>
      <c r="F95" s="32">
        <v>0.85371472025100004</v>
      </c>
      <c r="G95" s="5">
        <f t="shared" si="63"/>
        <v>23.588888888888889</v>
      </c>
      <c r="H95" s="5">
        <f t="shared" si="65"/>
        <v>2.0113683932727189E-4</v>
      </c>
      <c r="I95" s="5">
        <f t="shared" si="66"/>
        <v>0.99526711808868273</v>
      </c>
      <c r="J95" s="32">
        <f t="shared" si="64"/>
        <v>1.4457180178161861</v>
      </c>
      <c r="K95" s="22" t="s">
        <v>457</v>
      </c>
      <c r="L95" s="40">
        <f t="shared" si="67"/>
        <v>-7.75</v>
      </c>
      <c r="M95" s="96">
        <v>52506</v>
      </c>
      <c r="N95" s="99">
        <f t="shared" si="76"/>
        <v>52414</v>
      </c>
      <c r="O95" s="38">
        <f t="shared" si="77"/>
        <v>52506</v>
      </c>
      <c r="P95" s="88">
        <f t="shared" si="78"/>
        <v>92</v>
      </c>
      <c r="Q95" s="45">
        <v>10000000</v>
      </c>
      <c r="R95" s="105">
        <f t="shared" si="68"/>
        <v>2.9512845324093447E-3</v>
      </c>
      <c r="S95" s="45">
        <f t="shared" si="79"/>
        <v>7542.1715828238803</v>
      </c>
      <c r="T95" s="45">
        <f t="shared" si="80"/>
        <v>252.05479452061701</v>
      </c>
      <c r="V95" s="61">
        <f t="shared" si="69"/>
        <v>-14427446.028682662</v>
      </c>
      <c r="W95" s="47">
        <f t="shared" si="70"/>
        <v>-14457180.178161861</v>
      </c>
      <c r="X95" s="107">
        <f t="shared" si="71"/>
        <v>1.0121368625331065E-2</v>
      </c>
      <c r="Y95" s="47">
        <f t="shared" si="72"/>
        <v>-37317.627670026857</v>
      </c>
      <c r="Z95" s="47">
        <f t="shared" si="73"/>
        <v>29734.149479199201</v>
      </c>
      <c r="AC95" s="122">
        <f t="shared" si="81"/>
        <v>23.588888888888889</v>
      </c>
      <c r="AD95" s="113">
        <f>BBG_GBP!V95/100</f>
        <v>2.9762E-3</v>
      </c>
      <c r="AE95" s="113">
        <f>BBG_EUR!J95/100</f>
        <v>1.0120800000000001E-2</v>
      </c>
      <c r="AF95" s="116">
        <f>BBG_GBP!X95</f>
        <v>1.002804</v>
      </c>
      <c r="AG95" s="116">
        <f>BBG_EUR!L95</f>
        <v>0.86285199999999995</v>
      </c>
      <c r="AH95" s="112">
        <f t="shared" si="82"/>
        <v>-1.1869613512172084E-4</v>
      </c>
      <c r="AI95" s="112">
        <f t="shared" si="82"/>
        <v>6.2730504723882419E-3</v>
      </c>
      <c r="AJ95" s="112">
        <f t="shared" si="83"/>
        <v>2.0113683932732052E-4</v>
      </c>
      <c r="AK95" s="112">
        <f t="shared" si="84"/>
        <v>6.7273023110872021E-3</v>
      </c>
      <c r="AL95" s="143">
        <f t="shared" si="74"/>
        <v>1.4457180178161861</v>
      </c>
      <c r="AM95" s="143">
        <f>BBG_GBP!AA95</f>
        <v>1.441182296</v>
      </c>
      <c r="AN95" s="151">
        <f t="shared" si="75"/>
        <v>0.99686265111156491</v>
      </c>
      <c r="AO95" s="147"/>
    </row>
    <row r="96" spans="1:41" x14ac:dyDescent="0.25">
      <c r="A96" s="38">
        <v>52600</v>
      </c>
      <c r="B96" s="22">
        <v>2.5753424657493E-5</v>
      </c>
      <c r="C96" s="22">
        <v>7.7061949940593301E-4</v>
      </c>
      <c r="D96" s="22">
        <v>0.95700706649365697</v>
      </c>
      <c r="E96" s="22">
        <v>2.6428760472782999E-3</v>
      </c>
      <c r="F96" s="32">
        <v>0.85201647202779496</v>
      </c>
      <c r="G96" s="5">
        <f t="shared" si="63"/>
        <v>23.85</v>
      </c>
      <c r="H96" s="5">
        <f t="shared" si="65"/>
        <v>1.9406968200425277E-4</v>
      </c>
      <c r="I96" s="5">
        <f t="shared" si="66"/>
        <v>0.99538258036928584</v>
      </c>
      <c r="J96" s="32">
        <f t="shared" si="64"/>
        <v>1.4487676922233057</v>
      </c>
      <c r="K96" s="22" t="s">
        <v>457</v>
      </c>
      <c r="L96" s="40">
        <f t="shared" si="67"/>
        <v>-7.75</v>
      </c>
      <c r="M96" s="96">
        <v>52600</v>
      </c>
      <c r="N96" s="99">
        <f t="shared" si="76"/>
        <v>52506</v>
      </c>
      <c r="O96" s="38">
        <f t="shared" si="77"/>
        <v>52600</v>
      </c>
      <c r="P96" s="88">
        <f t="shared" si="78"/>
        <v>94</v>
      </c>
      <c r="Q96" s="45">
        <v>10000000</v>
      </c>
      <c r="R96" s="105">
        <f t="shared" si="68"/>
        <v>2.9513087211291049E-3</v>
      </c>
      <c r="S96" s="45">
        <f t="shared" si="79"/>
        <v>7706.1949940593304</v>
      </c>
      <c r="T96" s="45">
        <f t="shared" si="80"/>
        <v>257.53424657493002</v>
      </c>
      <c r="V96" s="61">
        <f t="shared" si="69"/>
        <v>-14457180.178161861</v>
      </c>
      <c r="W96" s="47">
        <f t="shared" si="70"/>
        <v>-14487676.922233056</v>
      </c>
      <c r="X96" s="107">
        <f t="shared" si="71"/>
        <v>1.0121652947023276E-2</v>
      </c>
      <c r="Y96" s="47">
        <f t="shared" si="72"/>
        <v>-38208.535204050611</v>
      </c>
      <c r="Z96" s="47">
        <f t="shared" si="73"/>
        <v>30496.744071194902</v>
      </c>
      <c r="AC96" s="122">
        <f t="shared" si="81"/>
        <v>23.85</v>
      </c>
      <c r="AD96" s="113">
        <f>BBG_GBP!V96/100</f>
        <v>2.9698000000000003E-3</v>
      </c>
      <c r="AE96" s="113">
        <f>BBG_EUR!J96/100</f>
        <v>1.01396E-2</v>
      </c>
      <c r="AF96" s="116">
        <f>BBG_GBP!X96</f>
        <v>1.002794</v>
      </c>
      <c r="AG96" s="116">
        <f>BBG_EUR!L96</f>
        <v>0.86119000000000001</v>
      </c>
      <c r="AH96" s="112">
        <f t="shared" si="82"/>
        <v>-1.1697865168580623E-4</v>
      </c>
      <c r="AI96" s="112">
        <f t="shared" si="82"/>
        <v>6.2855047425889321E-3</v>
      </c>
      <c r="AJ96" s="112">
        <f t="shared" si="83"/>
        <v>1.9406968200419428E-4</v>
      </c>
      <c r="AK96" s="112">
        <f t="shared" si="84"/>
        <v>6.7374555552555115E-3</v>
      </c>
      <c r="AL96" s="143">
        <f t="shared" si="74"/>
        <v>1.4487676922233057</v>
      </c>
      <c r="AM96" s="143">
        <f>BBG_GBP!AA96</f>
        <v>1.443860814</v>
      </c>
      <c r="AN96" s="151">
        <f t="shared" si="75"/>
        <v>0.99661306760935875</v>
      </c>
      <c r="AO96" s="147"/>
    </row>
    <row r="97" spans="1:41" x14ac:dyDescent="0.25">
      <c r="A97" s="38">
        <v>52691</v>
      </c>
      <c r="B97" s="22">
        <v>2.4931506849234999E-5</v>
      </c>
      <c r="C97" s="22">
        <v>7.46016088531975E-4</v>
      </c>
      <c r="D97" s="22">
        <v>0.95661275878291596</v>
      </c>
      <c r="E97" s="22">
        <v>2.55842113508775E-3</v>
      </c>
      <c r="F97" s="32">
        <v>0.85037564151341904</v>
      </c>
      <c r="G97" s="5">
        <f t="shared" si="63"/>
        <v>24.102777777777778</v>
      </c>
      <c r="H97" s="5">
        <f t="shared" si="65"/>
        <v>1.8722807225537267E-4</v>
      </c>
      <c r="I97" s="5">
        <f t="shared" si="66"/>
        <v>0.99549787088605424</v>
      </c>
      <c r="J97" s="32">
        <f t="shared" si="64"/>
        <v>1.4517312695936562</v>
      </c>
      <c r="K97" s="22" t="s">
        <v>457</v>
      </c>
      <c r="L97" s="40">
        <f t="shared" si="67"/>
        <v>-7.75</v>
      </c>
      <c r="M97" s="96">
        <v>52691</v>
      </c>
      <c r="N97" s="99">
        <f t="shared" si="76"/>
        <v>52600</v>
      </c>
      <c r="O97" s="38">
        <f t="shared" si="77"/>
        <v>52691</v>
      </c>
      <c r="P97" s="88">
        <f t="shared" si="78"/>
        <v>91</v>
      </c>
      <c r="Q97" s="45">
        <v>10000000</v>
      </c>
      <c r="R97" s="105">
        <f t="shared" si="68"/>
        <v>2.9512724381484724E-3</v>
      </c>
      <c r="S97" s="45">
        <f t="shared" si="79"/>
        <v>7460.1608853197504</v>
      </c>
      <c r="T97" s="45">
        <f t="shared" si="80"/>
        <v>249.31506849234998</v>
      </c>
      <c r="V97" s="61">
        <f t="shared" si="69"/>
        <v>-14487676.922233056</v>
      </c>
      <c r="W97" s="47">
        <f t="shared" si="70"/>
        <v>-14517312.695936562</v>
      </c>
      <c r="X97" s="107">
        <f t="shared" si="71"/>
        <v>1.012122646847901E-2</v>
      </c>
      <c r="Y97" s="47">
        <f t="shared" si="72"/>
        <v>-37065.578836164095</v>
      </c>
      <c r="Z97" s="47">
        <f t="shared" si="73"/>
        <v>29635.773703506216</v>
      </c>
      <c r="AC97" s="122">
        <f t="shared" si="81"/>
        <v>24.102777777777778</v>
      </c>
      <c r="AD97" s="113">
        <f>BBG_GBP!V97/100</f>
        <v>2.9632999999999999E-3</v>
      </c>
      <c r="AE97" s="113">
        <f>BBG_EUR!J97/100</f>
        <v>1.0157300000000001E-2</v>
      </c>
      <c r="AF97" s="116">
        <f>BBG_GBP!X97</f>
        <v>1.002786</v>
      </c>
      <c r="AG97" s="116">
        <f>BBG_EUR!L97</f>
        <v>0.85958000000000001</v>
      </c>
      <c r="AH97" s="112">
        <f t="shared" si="82"/>
        <v>-1.1542095935201946E-4</v>
      </c>
      <c r="AI97" s="112">
        <f t="shared" si="82"/>
        <v>6.2975033827754601E-3</v>
      </c>
      <c r="AJ97" s="112">
        <f t="shared" si="83"/>
        <v>1.8722807225546312E-4</v>
      </c>
      <c r="AK97" s="112">
        <f t="shared" si="84"/>
        <v>6.7470752883411755E-3</v>
      </c>
      <c r="AL97" s="143">
        <f t="shared" si="74"/>
        <v>1.4517312695936562</v>
      </c>
      <c r="AM97" s="143">
        <f>BBG_GBP!AA97</f>
        <v>1.4465822460000002</v>
      </c>
      <c r="AN97" s="151">
        <f t="shared" si="75"/>
        <v>0.99645318406959904</v>
      </c>
      <c r="AO97" s="147"/>
    </row>
    <row r="98" spans="1:41" x14ac:dyDescent="0.25">
      <c r="A98" s="38">
        <v>52783</v>
      </c>
      <c r="B98" s="22">
        <v>2.5205479452061701E-5</v>
      </c>
      <c r="C98" s="22">
        <v>7.5421715828238802E-4</v>
      </c>
      <c r="D98" s="22">
        <v>0.95621428317128199</v>
      </c>
      <c r="E98" s="22">
        <v>2.5865719820290498E-3</v>
      </c>
      <c r="F98" s="32">
        <v>0.84871999209412496</v>
      </c>
      <c r="G98" s="5">
        <f t="shared" si="63"/>
        <v>24.358333333333334</v>
      </c>
      <c r="H98" s="5">
        <f t="shared" si="65"/>
        <v>1.8031127998177952E-4</v>
      </c>
      <c r="I98" s="5">
        <f t="shared" si="66"/>
        <v>0.99561794301476003</v>
      </c>
      <c r="J98" s="32">
        <f t="shared" si="64"/>
        <v>1.4547386919520999</v>
      </c>
      <c r="K98" s="22" t="s">
        <v>457</v>
      </c>
      <c r="L98" s="40">
        <f t="shared" si="67"/>
        <v>-7.75</v>
      </c>
      <c r="M98" s="96">
        <v>52783</v>
      </c>
      <c r="N98" s="99">
        <f t="shared" si="76"/>
        <v>52691</v>
      </c>
      <c r="O98" s="38">
        <f t="shared" si="77"/>
        <v>52783</v>
      </c>
      <c r="P98" s="88">
        <f t="shared" si="78"/>
        <v>92</v>
      </c>
      <c r="Q98" s="45">
        <v>10000000</v>
      </c>
      <c r="R98" s="105">
        <f t="shared" si="68"/>
        <v>2.9512845324093447E-3</v>
      </c>
      <c r="S98" s="45">
        <f t="shared" si="79"/>
        <v>7542.1715828238803</v>
      </c>
      <c r="T98" s="45">
        <f t="shared" si="80"/>
        <v>252.05479452061701</v>
      </c>
      <c r="V98" s="61">
        <f t="shared" si="69"/>
        <v>-14517312.695936562</v>
      </c>
      <c r="W98" s="47">
        <f t="shared" si="70"/>
        <v>-14547386.919520998</v>
      </c>
      <c r="X98" s="107">
        <f t="shared" si="71"/>
        <v>1.0121368625331065E-2</v>
      </c>
      <c r="Y98" s="47">
        <f t="shared" si="72"/>
        <v>-37550.074273664126</v>
      </c>
      <c r="Z98" s="47">
        <f t="shared" si="73"/>
        <v>30074.22358443588</v>
      </c>
      <c r="AC98" s="122">
        <f t="shared" si="81"/>
        <v>24.358333333333334</v>
      </c>
      <c r="AD98" s="113">
        <f>BBG_GBP!V98/100</f>
        <v>2.9569000000000002E-3</v>
      </c>
      <c r="AE98" s="113">
        <f>BBG_EUR!J98/100</f>
        <v>1.0175099999999999E-2</v>
      </c>
      <c r="AF98" s="116">
        <f>BBG_GBP!X98</f>
        <v>1.0027779999999999</v>
      </c>
      <c r="AG98" s="116">
        <f>BBG_EUR!L98</f>
        <v>0.85795100000000002</v>
      </c>
      <c r="AH98" s="112">
        <f t="shared" si="82"/>
        <v>-1.1388260784339632E-4</v>
      </c>
      <c r="AI98" s="112">
        <f t="shared" si="82"/>
        <v>6.3095911667809812E-3</v>
      </c>
      <c r="AJ98" s="112">
        <f t="shared" si="83"/>
        <v>1.8031127998185958E-4</v>
      </c>
      <c r="AK98" s="112">
        <f t="shared" si="84"/>
        <v>6.7565978632995183E-3</v>
      </c>
      <c r="AL98" s="143">
        <f t="shared" si="74"/>
        <v>1.4547386919520999</v>
      </c>
      <c r="AM98" s="143">
        <f>BBG_GBP!AA98</f>
        <v>1.449287515</v>
      </c>
      <c r="AN98" s="151">
        <f t="shared" si="75"/>
        <v>0.99625281366182328</v>
      </c>
      <c r="AO98" s="147"/>
    </row>
    <row r="99" spans="1:41" x14ac:dyDescent="0.25">
      <c r="A99" s="38">
        <v>52873</v>
      </c>
      <c r="B99" s="22">
        <v>2.4657534246630399E-5</v>
      </c>
      <c r="C99" s="22">
        <v>7.3781508598846901E-4</v>
      </c>
      <c r="D99" s="22">
        <v>0.95582463068453405</v>
      </c>
      <c r="E99" s="22">
        <v>2.5302710785719499E-3</v>
      </c>
      <c r="F99" s="32">
        <v>0.84710345423272404</v>
      </c>
      <c r="G99" s="5">
        <f t="shared" si="63"/>
        <v>24.608333333333334</v>
      </c>
      <c r="H99" s="5">
        <f t="shared" ref="H99:H130" si="85">RE_MATH_LinearInterpolation($BY$3:$BY$36,$CA$3:$CA$36,$G99)</f>
        <v>1.7354485275761233E-4</v>
      </c>
      <c r="I99" s="5">
        <f t="shared" si="66"/>
        <v>0.99573882562396399</v>
      </c>
      <c r="J99" s="32">
        <f t="shared" si="64"/>
        <v>1.457691751209691</v>
      </c>
      <c r="K99" s="22" t="s">
        <v>457</v>
      </c>
      <c r="L99" s="40">
        <f t="shared" ref="L99:L130" si="86">VLOOKUP($K99,$BG$21:$BI$36,3,FALSE)*10000</f>
        <v>-7.75</v>
      </c>
      <c r="M99" s="96">
        <v>52873</v>
      </c>
      <c r="N99" s="99">
        <f t="shared" si="76"/>
        <v>52783</v>
      </c>
      <c r="O99" s="38">
        <f t="shared" si="77"/>
        <v>52873</v>
      </c>
      <c r="P99" s="88">
        <f t="shared" si="78"/>
        <v>90</v>
      </c>
      <c r="Q99" s="45">
        <v>10000000</v>
      </c>
      <c r="R99" s="105">
        <f t="shared" si="68"/>
        <v>2.9512603439538761E-3</v>
      </c>
      <c r="S99" s="45">
        <f t="shared" si="79"/>
        <v>7378.1508598846904</v>
      </c>
      <c r="T99" s="45">
        <f t="shared" si="80"/>
        <v>246.57534246630399</v>
      </c>
      <c r="V99" s="61">
        <f t="shared" si="69"/>
        <v>-14547386.919520998</v>
      </c>
      <c r="W99" s="47">
        <f t="shared" si="70"/>
        <v>-14576917.51209691</v>
      </c>
      <c r="X99" s="107">
        <f t="shared" si="71"/>
        <v>1.01210843142878E-2</v>
      </c>
      <c r="Y99" s="47">
        <f t="shared" si="72"/>
        <v>-36808.832391259872</v>
      </c>
      <c r="Z99" s="47">
        <f t="shared" si="73"/>
        <v>29530.592575911433</v>
      </c>
      <c r="AC99" s="122">
        <f t="shared" si="81"/>
        <v>24.608333333333334</v>
      </c>
      <c r="AD99" s="113">
        <f>BBG_GBP!V99/100</f>
        <v>2.9505E-3</v>
      </c>
      <c r="AE99" s="113">
        <f>BBG_EUR!J99/100</f>
        <v>1.0192300000000001E-2</v>
      </c>
      <c r="AF99" s="116">
        <f>BBG_GBP!X99</f>
        <v>1.0027710000000001</v>
      </c>
      <c r="AG99" s="116">
        <f>BBG_EUR!L99</f>
        <v>0.85635600000000001</v>
      </c>
      <c r="AH99" s="112">
        <f t="shared" si="82"/>
        <v>-1.1244208389316057E-4</v>
      </c>
      <c r="AI99" s="112">
        <f t="shared" si="82"/>
        <v>6.3213835011426411E-3</v>
      </c>
      <c r="AJ99" s="112">
        <f t="shared" si="83"/>
        <v>1.7354485275755671E-4</v>
      </c>
      <c r="AK99" s="112">
        <f t="shared" si="84"/>
        <v>6.7657221306016702E-3</v>
      </c>
      <c r="AL99" s="143">
        <f t="shared" si="74"/>
        <v>1.457691751209691</v>
      </c>
      <c r="AM99" s="143">
        <f>BBG_GBP!AA99</f>
        <v>1.452006213</v>
      </c>
      <c r="AN99" s="151">
        <f t="shared" si="75"/>
        <v>0.996099629290642</v>
      </c>
      <c r="AO99" s="147"/>
    </row>
    <row r="100" spans="1:41" x14ac:dyDescent="0.25">
      <c r="A100" s="38">
        <v>52965</v>
      </c>
      <c r="B100" s="22">
        <v>2.5205479452061701E-5</v>
      </c>
      <c r="C100" s="22">
        <v>7.5421715828238802E-4</v>
      </c>
      <c r="D100" s="22">
        <v>0.95542648336647895</v>
      </c>
      <c r="E100" s="22">
        <v>2.5865719820290498E-3</v>
      </c>
      <c r="F100" s="32">
        <v>0.84545417563910596</v>
      </c>
      <c r="G100" s="5">
        <f t="shared" si="63"/>
        <v>24.863888888888887</v>
      </c>
      <c r="H100" s="5">
        <f t="shared" si="85"/>
        <v>1.6662806048401929E-4</v>
      </c>
      <c r="I100" s="5">
        <f t="shared" si="66"/>
        <v>0.99586589259890579</v>
      </c>
      <c r="J100" s="32">
        <f t="shared" si="64"/>
        <v>1.4607217386777316</v>
      </c>
      <c r="K100" s="22" t="s">
        <v>457</v>
      </c>
      <c r="L100" s="40">
        <f t="shared" si="86"/>
        <v>-7.75</v>
      </c>
      <c r="M100" s="96">
        <v>52965</v>
      </c>
      <c r="N100" s="99">
        <f t="shared" si="76"/>
        <v>52873</v>
      </c>
      <c r="O100" s="38">
        <f t="shared" si="77"/>
        <v>52965</v>
      </c>
      <c r="P100" s="88">
        <f t="shared" si="78"/>
        <v>92</v>
      </c>
      <c r="Q100" s="45">
        <v>10000000</v>
      </c>
      <c r="R100" s="105">
        <f t="shared" si="68"/>
        <v>2.9512845324093447E-3</v>
      </c>
      <c r="S100" s="45">
        <f t="shared" si="79"/>
        <v>7542.1715828238803</v>
      </c>
      <c r="T100" s="45">
        <f t="shared" si="80"/>
        <v>252.05479452061701</v>
      </c>
      <c r="V100" s="61">
        <f t="shared" si="69"/>
        <v>-14576917.51209691</v>
      </c>
      <c r="W100" s="47">
        <f t="shared" si="70"/>
        <v>-14607217.386777315</v>
      </c>
      <c r="X100" s="107">
        <f t="shared" si="71"/>
        <v>1.0121368625331065E-2</v>
      </c>
      <c r="Y100" s="47">
        <f t="shared" si="72"/>
        <v>-37704.246421138472</v>
      </c>
      <c r="Z100" s="47">
        <f t="shared" si="73"/>
        <v>30299.874680405483</v>
      </c>
      <c r="AC100" s="122">
        <f t="shared" si="81"/>
        <v>24.863888888888887</v>
      </c>
      <c r="AD100" s="113">
        <f>BBG_GBP!V100/100</f>
        <v>2.9442000000000001E-3</v>
      </c>
      <c r="AE100" s="113">
        <f>BBG_EUR!J100/100</f>
        <v>1.02098E-2</v>
      </c>
      <c r="AF100" s="116">
        <f>BBG_GBP!X100</f>
        <v>1.0027649999999999</v>
      </c>
      <c r="AG100" s="116">
        <f>BBG_EUR!L100</f>
        <v>0.85472400000000004</v>
      </c>
      <c r="AH100" s="112">
        <f t="shared" si="82"/>
        <v>-1.1104582713361566E-4</v>
      </c>
      <c r="AI100" s="112">
        <f t="shared" si="82"/>
        <v>6.3334117100661835E-3</v>
      </c>
      <c r="AJ100" s="112">
        <f t="shared" si="83"/>
        <v>1.6662806048395318E-4</v>
      </c>
      <c r="AK100" s="112">
        <f t="shared" si="84"/>
        <v>6.7748595965062552E-3</v>
      </c>
      <c r="AL100" s="143">
        <f t="shared" si="74"/>
        <v>1.4607217386777316</v>
      </c>
      <c r="AM100" s="143">
        <f>BBG_GBP!AA100</f>
        <v>1.454738426</v>
      </c>
      <c r="AN100" s="151">
        <f t="shared" si="75"/>
        <v>0.99590386552119925</v>
      </c>
      <c r="AO100" s="147"/>
    </row>
    <row r="101" spans="1:41" x14ac:dyDescent="0.25">
      <c r="A101" s="38">
        <v>53055</v>
      </c>
      <c r="B101" s="22">
        <v>2.4657534246630399E-5</v>
      </c>
      <c r="C101" s="22">
        <v>7.3781508598846901E-4</v>
      </c>
      <c r="D101" s="22">
        <v>0.95503715190417005</v>
      </c>
      <c r="E101" s="22">
        <v>2.5302710785719499E-3</v>
      </c>
      <c r="F101" s="32">
        <v>0.84384385810478202</v>
      </c>
      <c r="G101" s="5">
        <f t="shared" si="63"/>
        <v>25.113888888888887</v>
      </c>
      <c r="H101" s="5">
        <f t="shared" si="85"/>
        <v>1.598616332598521E-4</v>
      </c>
      <c r="I101" s="5">
        <f t="shared" si="66"/>
        <v>0.9959936206106379</v>
      </c>
      <c r="J101" s="32">
        <f t="shared" si="64"/>
        <v>1.4636969589294362</v>
      </c>
      <c r="K101" s="22" t="s">
        <v>457</v>
      </c>
      <c r="L101" s="40">
        <f t="shared" si="86"/>
        <v>-7.75</v>
      </c>
      <c r="M101" s="96">
        <v>53055</v>
      </c>
      <c r="N101" s="99">
        <f t="shared" si="76"/>
        <v>52965</v>
      </c>
      <c r="O101" s="38">
        <f t="shared" si="77"/>
        <v>53055</v>
      </c>
      <c r="P101" s="88">
        <f t="shared" si="78"/>
        <v>90</v>
      </c>
      <c r="Q101" s="45">
        <v>10000000</v>
      </c>
      <c r="R101" s="105">
        <f t="shared" si="68"/>
        <v>2.9512603439538761E-3</v>
      </c>
      <c r="S101" s="45">
        <f t="shared" si="79"/>
        <v>7378.1508598846904</v>
      </c>
      <c r="T101" s="45">
        <f t="shared" si="80"/>
        <v>246.57534246630399</v>
      </c>
      <c r="V101" s="61">
        <f t="shared" si="69"/>
        <v>-14607217.386777315</v>
      </c>
      <c r="W101" s="47">
        <f t="shared" si="70"/>
        <v>-14636969.589294361</v>
      </c>
      <c r="X101" s="107">
        <f t="shared" si="71"/>
        <v>1.01210843142878E-2</v>
      </c>
      <c r="Y101" s="47">
        <f t="shared" si="72"/>
        <v>-36960.219692175975</v>
      </c>
      <c r="Z101" s="47">
        <f t="shared" si="73"/>
        <v>29752.202517045662</v>
      </c>
      <c r="AC101" s="122">
        <f t="shared" si="81"/>
        <v>25.113888888888887</v>
      </c>
      <c r="AD101" s="113">
        <f>BBG_GBP!V101/100</f>
        <v>2.9378999999999998E-3</v>
      </c>
      <c r="AE101" s="113">
        <f>BBG_EUR!J101/100</f>
        <v>1.0226599999999999E-2</v>
      </c>
      <c r="AF101" s="116">
        <f>BBG_GBP!X101</f>
        <v>1.0027600000000001</v>
      </c>
      <c r="AG101" s="116">
        <f>BBG_EUR!L101</f>
        <v>0.85312699999999997</v>
      </c>
      <c r="AH101" s="112">
        <f t="shared" si="82"/>
        <v>-1.0974194271029525E-4</v>
      </c>
      <c r="AI101" s="112">
        <f t="shared" si="82"/>
        <v>6.3451055220764552E-3</v>
      </c>
      <c r="AJ101" s="112">
        <f t="shared" si="83"/>
        <v>1.5986163325987235E-4</v>
      </c>
      <c r="AK101" s="112">
        <f t="shared" si="84"/>
        <v>6.7836185565257612E-3</v>
      </c>
      <c r="AL101" s="143">
        <f t="shared" si="74"/>
        <v>1.4636969589294362</v>
      </c>
      <c r="AM101" s="143">
        <f>BBG_GBP!AA101</f>
        <v>1.4574842369999998</v>
      </c>
      <c r="AN101" s="151">
        <f t="shared" si="75"/>
        <v>0.99575545887997174</v>
      </c>
      <c r="AO101" s="147"/>
    </row>
    <row r="102" spans="1:41" x14ac:dyDescent="0.25">
      <c r="A102" s="39">
        <v>53146</v>
      </c>
      <c r="B102" s="11">
        <v>2.4931506849234999E-5</v>
      </c>
      <c r="C102" s="11">
        <v>7.4088897265256405E-4</v>
      </c>
      <c r="D102" s="11">
        <v>0.95465055373791097</v>
      </c>
      <c r="E102" s="11">
        <v>2.55842113508775E-3</v>
      </c>
      <c r="F102" s="33">
        <v>0.842218766575211</v>
      </c>
      <c r="G102" s="11">
        <f t="shared" si="63"/>
        <v>25.366666666666667</v>
      </c>
      <c r="H102" s="11">
        <f t="shared" si="85"/>
        <v>1.5302002351097189E-4</v>
      </c>
      <c r="I102" s="11">
        <f t="shared" si="66"/>
        <v>0.99612621157370185</v>
      </c>
      <c r="J102" s="33">
        <f t="shared" si="64"/>
        <v>1.46671644470206</v>
      </c>
      <c r="K102" s="11" t="s">
        <v>457</v>
      </c>
      <c r="L102" s="41">
        <f t="shared" si="86"/>
        <v>-7.75</v>
      </c>
      <c r="M102" s="95">
        <v>53146</v>
      </c>
      <c r="N102" s="9">
        <f t="shared" si="76"/>
        <v>53055</v>
      </c>
      <c r="O102" s="39">
        <f t="shared" si="77"/>
        <v>53146</v>
      </c>
      <c r="P102" s="87">
        <f t="shared" si="78"/>
        <v>91</v>
      </c>
      <c r="Q102" s="46">
        <v>10000000</v>
      </c>
      <c r="R102" s="106">
        <f t="shared" si="68"/>
        <v>2.9309893423617919E-3</v>
      </c>
      <c r="S102" s="46">
        <f t="shared" si="79"/>
        <v>7408.889726525641</v>
      </c>
      <c r="T102" s="46">
        <f t="shared" si="80"/>
        <v>249.31506849234998</v>
      </c>
      <c r="U102" s="50">
        <f>Q102</f>
        <v>10000000</v>
      </c>
      <c r="V102" s="62">
        <f t="shared" si="69"/>
        <v>-14636969.589294361</v>
      </c>
      <c r="W102" s="46">
        <f t="shared" si="70"/>
        <v>-14667164.4470206</v>
      </c>
      <c r="X102" s="106">
        <f t="shared" si="71"/>
        <v>1.012122646847901E-2</v>
      </c>
      <c r="Y102" s="46">
        <f t="shared" si="72"/>
        <v>-37447.532350887355</v>
      </c>
      <c r="Z102" s="46">
        <f t="shared" si="73"/>
        <v>30194.857726238668</v>
      </c>
      <c r="AA102" s="50">
        <f>W102</f>
        <v>-14667164.4470206</v>
      </c>
      <c r="AC102" s="122">
        <f t="shared" si="81"/>
        <v>25.366666666666667</v>
      </c>
      <c r="AD102" s="113">
        <f>BBG_GBP!V102/100</f>
        <v>2.9177999999999999E-3</v>
      </c>
      <c r="AE102" s="113">
        <f>BBG_EUR!J102/100</f>
        <v>1.0243500000000001E-2</v>
      </c>
      <c r="AF102" s="116">
        <f>BBG_GBP!X102</f>
        <v>1.002756</v>
      </c>
      <c r="AG102" s="116">
        <f>BBG_EUR!L102</f>
        <v>0.85151100000000002</v>
      </c>
      <c r="AH102" s="112">
        <f t="shared" si="82"/>
        <v>-1.0849119175226907E-4</v>
      </c>
      <c r="AI102" s="112">
        <f t="shared" si="82"/>
        <v>6.3568948907466449E-3</v>
      </c>
      <c r="AJ102" s="112">
        <f t="shared" si="83"/>
        <v>1.5302002351091915E-4</v>
      </c>
      <c r="AK102" s="112">
        <f t="shared" si="84"/>
        <v>6.792299378356903E-3</v>
      </c>
      <c r="AL102" s="143">
        <f t="shared" si="74"/>
        <v>1.46671644470206</v>
      </c>
      <c r="AM102" s="143">
        <f>BBG_GBP!AA102</f>
        <v>1.4602437349999999</v>
      </c>
      <c r="AN102" s="151">
        <f t="shared" si="75"/>
        <v>0.99558693861690839</v>
      </c>
      <c r="AO102" s="147"/>
    </row>
    <row r="103" spans="1:41" x14ac:dyDescent="0.25">
      <c r="A103" s="38">
        <v>53237</v>
      </c>
      <c r="B103" s="22">
        <v>2.4931506849234999E-5</v>
      </c>
      <c r="C103" s="22">
        <v>5.90505259171481E-4</v>
      </c>
      <c r="D103" s="22">
        <v>0.95446639063422001</v>
      </c>
      <c r="E103" s="22">
        <v>2.4322106196452602E-3</v>
      </c>
      <c r="F103" s="32">
        <v>0.84066266514325805</v>
      </c>
      <c r="G103" s="5">
        <f t="shared" si="63"/>
        <v>25.619444444444444</v>
      </c>
      <c r="H103" s="5">
        <f t="shared" si="85"/>
        <v>1.5496885918774795E-4</v>
      </c>
      <c r="I103" s="5">
        <f t="shared" si="66"/>
        <v>0.99603796118884191</v>
      </c>
      <c r="J103" s="32">
        <f t="shared" si="64"/>
        <v>1.469301215440314</v>
      </c>
      <c r="K103" s="22" t="s">
        <v>457</v>
      </c>
      <c r="L103" s="40">
        <f t="shared" si="86"/>
        <v>-7.75</v>
      </c>
      <c r="M103" s="96">
        <v>53237</v>
      </c>
      <c r="N103" s="99">
        <f t="shared" si="76"/>
        <v>53146</v>
      </c>
      <c r="O103" s="38">
        <f t="shared" si="77"/>
        <v>53237</v>
      </c>
      <c r="P103" s="88">
        <f t="shared" si="78"/>
        <v>91</v>
      </c>
      <c r="Q103" s="45">
        <v>10000000</v>
      </c>
      <c r="R103" s="105">
        <f t="shared" si="68"/>
        <v>2.3360647615575073E-3</v>
      </c>
      <c r="S103" s="45">
        <f t="shared" si="79"/>
        <v>5905.0525917148098</v>
      </c>
      <c r="T103" s="45">
        <f t="shared" si="80"/>
        <v>249.31506849234998</v>
      </c>
      <c r="V103" s="61">
        <f t="shared" si="69"/>
        <v>-14667164.4470206</v>
      </c>
      <c r="W103" s="47">
        <f t="shared" si="70"/>
        <v>-14693012.154403141</v>
      </c>
      <c r="X103" s="107">
        <f t="shared" si="71"/>
        <v>9.6219321216735564E-3</v>
      </c>
      <c r="Y103" s="47">
        <f t="shared" si="72"/>
        <v>-35673.633128126901</v>
      </c>
      <c r="Z103" s="47">
        <f t="shared" si="73"/>
        <v>25847.70738254115</v>
      </c>
      <c r="AC103" s="122">
        <f t="shared" si="81"/>
        <v>25.619444444444444</v>
      </c>
      <c r="AD103" s="113">
        <f>BBG_GBP!V103/100</f>
        <v>2.5011E-3</v>
      </c>
      <c r="AE103" s="113">
        <f>BBG_EUR!J103/100</f>
        <v>9.5454000000000008E-3</v>
      </c>
      <c r="AF103" s="116">
        <f>BBG_GBP!X103</f>
        <v>1.0029600000000001</v>
      </c>
      <c r="AG103" s="116">
        <f>BBG_EUR!L103</f>
        <v>0.85006999999999999</v>
      </c>
      <c r="AH103" s="112">
        <f t="shared" si="82"/>
        <v>-1.1535993094047292E-4</v>
      </c>
      <c r="AI103" s="112">
        <f t="shared" si="82"/>
        <v>6.3605057403441911E-3</v>
      </c>
      <c r="AJ103" s="112">
        <f t="shared" si="83"/>
        <v>1.5496885918775405E-4</v>
      </c>
      <c r="AK103" s="112">
        <f t="shared" si="84"/>
        <v>6.7977300885482261E-3</v>
      </c>
      <c r="AL103" s="143">
        <f t="shared" si="74"/>
        <v>1.469301215440314</v>
      </c>
      <c r="AM103" s="143">
        <f>BBG_GBP!AA103</f>
        <v>1.4630170060000001</v>
      </c>
      <c r="AN103" s="151">
        <f t="shared" si="75"/>
        <v>0.99572299445867485</v>
      </c>
      <c r="AO103" s="147"/>
    </row>
    <row r="104" spans="1:41" x14ac:dyDescent="0.25">
      <c r="A104" s="38">
        <v>53329</v>
      </c>
      <c r="B104" s="22">
        <v>2.5205479452061701E-5</v>
      </c>
      <c r="C104" s="22">
        <v>5.9699626454534605E-4</v>
      </c>
      <c r="D104" s="22">
        <v>0.95428023987507904</v>
      </c>
      <c r="E104" s="22">
        <v>2.4589710433004998E-3</v>
      </c>
      <c r="F104" s="32">
        <v>0.83909238632724403</v>
      </c>
      <c r="G104" s="5">
        <f t="shared" si="63"/>
        <v>25.875</v>
      </c>
      <c r="H104" s="5">
        <f t="shared" si="85"/>
        <v>1.5693911064119188E-4</v>
      </c>
      <c r="I104" s="5">
        <f t="shared" si="66"/>
        <v>0.99594775173385863</v>
      </c>
      <c r="J104" s="32">
        <f t="shared" si="64"/>
        <v>1.4719175469237089</v>
      </c>
      <c r="K104" s="22" t="s">
        <v>458</v>
      </c>
      <c r="L104" s="40">
        <f t="shared" si="86"/>
        <v>-5.875</v>
      </c>
      <c r="M104" s="96">
        <v>53329</v>
      </c>
      <c r="N104" s="99">
        <f t="shared" si="76"/>
        <v>53237</v>
      </c>
      <c r="O104" s="38">
        <f t="shared" si="77"/>
        <v>53329</v>
      </c>
      <c r="P104" s="88">
        <f t="shared" si="78"/>
        <v>92</v>
      </c>
      <c r="Q104" s="45">
        <v>10000000</v>
      </c>
      <c r="R104" s="105">
        <f t="shared" si="68"/>
        <v>2.3360723395252671E-3</v>
      </c>
      <c r="S104" s="45">
        <f t="shared" si="79"/>
        <v>5969.9626454534609</v>
      </c>
      <c r="T104" s="45">
        <f t="shared" si="80"/>
        <v>252.05479452061701</v>
      </c>
      <c r="V104" s="61">
        <f t="shared" si="69"/>
        <v>-14693012.154403141</v>
      </c>
      <c r="W104" s="47">
        <f t="shared" si="70"/>
        <v>-14719175.469237089</v>
      </c>
      <c r="X104" s="107">
        <f t="shared" si="71"/>
        <v>9.6220606042193464E-3</v>
      </c>
      <c r="Y104" s="47">
        <f t="shared" si="72"/>
        <v>-36129.691426539619</v>
      </c>
      <c r="Z104" s="47">
        <f t="shared" si="73"/>
        <v>26163.314833948389</v>
      </c>
      <c r="AC104" s="122">
        <f t="shared" si="81"/>
        <v>25.875</v>
      </c>
      <c r="AD104" s="113">
        <f>BBG_GBP!V104/100</f>
        <v>2.4870000000000001E-3</v>
      </c>
      <c r="AE104" s="113">
        <f>BBG_EUR!J104/100</f>
        <v>9.551500000000001E-3</v>
      </c>
      <c r="AF104" s="116">
        <f>BBG_GBP!X104</f>
        <v>1.0031779999999999</v>
      </c>
      <c r="AG104" s="116">
        <f>BBG_EUR!L104</f>
        <v>0.84862000000000004</v>
      </c>
      <c r="AH104" s="112">
        <f t="shared" si="82"/>
        <v>-1.2261898724252873E-4</v>
      </c>
      <c r="AI104" s="112">
        <f t="shared" si="82"/>
        <v>6.363884912162332E-3</v>
      </c>
      <c r="AJ104" s="112">
        <f t="shared" si="83"/>
        <v>1.5693911064129651E-4</v>
      </c>
      <c r="AK104" s="112">
        <f t="shared" si="84"/>
        <v>6.8031126430769806E-3</v>
      </c>
      <c r="AL104" s="143">
        <f t="shared" si="74"/>
        <v>1.4719175469237089</v>
      </c>
      <c r="AM104" s="143">
        <f>BBG_GBP!AA104</f>
        <v>1.465804138</v>
      </c>
      <c r="AN104" s="151">
        <f t="shared" si="75"/>
        <v>0.99584663628986159</v>
      </c>
      <c r="AO104" s="147"/>
    </row>
    <row r="105" spans="1:41" x14ac:dyDescent="0.25">
      <c r="A105" s="38">
        <v>53419</v>
      </c>
      <c r="B105" s="22">
        <v>2.4657534246630399E-5</v>
      </c>
      <c r="C105" s="22">
        <v>5.8401429590570998E-4</v>
      </c>
      <c r="D105" s="22">
        <v>0.95409817100154704</v>
      </c>
      <c r="E105" s="22">
        <v>2.4054509103537099E-3</v>
      </c>
      <c r="F105" s="32">
        <v>0.83755908222628594</v>
      </c>
      <c r="G105" s="5">
        <f t="shared" si="63"/>
        <v>26.125</v>
      </c>
      <c r="H105" s="5">
        <f t="shared" si="85"/>
        <v>1.5886653054130012E-4</v>
      </c>
      <c r="I105" s="5">
        <f t="shared" si="66"/>
        <v>0.9958585411258325</v>
      </c>
      <c r="J105" s="32">
        <f t="shared" si="64"/>
        <v>1.4744800731758894</v>
      </c>
      <c r="K105" s="22" t="s">
        <v>458</v>
      </c>
      <c r="L105" s="40">
        <f t="shared" si="86"/>
        <v>-5.875</v>
      </c>
      <c r="M105" s="96">
        <v>53419</v>
      </c>
      <c r="N105" s="99">
        <f t="shared" si="76"/>
        <v>53329</v>
      </c>
      <c r="O105" s="38">
        <f t="shared" si="77"/>
        <v>53419</v>
      </c>
      <c r="P105" s="88">
        <f t="shared" si="78"/>
        <v>90</v>
      </c>
      <c r="Q105" s="45">
        <v>10000000</v>
      </c>
      <c r="R105" s="105">
        <f t="shared" si="68"/>
        <v>2.3360571836228399E-3</v>
      </c>
      <c r="S105" s="45">
        <f t="shared" si="79"/>
        <v>5840.1429590570997</v>
      </c>
      <c r="T105" s="45">
        <f t="shared" si="80"/>
        <v>246.57534246630399</v>
      </c>
      <c r="V105" s="61">
        <f t="shared" si="69"/>
        <v>-14719175.469237089</v>
      </c>
      <c r="W105" s="47">
        <f t="shared" si="70"/>
        <v>-14744800.731758894</v>
      </c>
      <c r="X105" s="107">
        <f t="shared" si="71"/>
        <v>9.6218036414148396E-3</v>
      </c>
      <c r="Y105" s="47">
        <f t="shared" si="72"/>
        <v>-35406.254032132354</v>
      </c>
      <c r="Z105" s="47">
        <f t="shared" si="73"/>
        <v>25625.262521805242</v>
      </c>
      <c r="AC105" s="122">
        <f t="shared" si="81"/>
        <v>26.125</v>
      </c>
      <c r="AD105" s="113">
        <f>BBG_GBP!V105/100</f>
        <v>2.4729000000000001E-3</v>
      </c>
      <c r="AE105" s="113">
        <f>BBG_EUR!J105/100</f>
        <v>9.5570999999999989E-3</v>
      </c>
      <c r="AF105" s="116">
        <f>BBG_GBP!X105</f>
        <v>1.003396</v>
      </c>
      <c r="AG105" s="116">
        <f>BBG_EUR!L105</f>
        <v>0.84720300000000004</v>
      </c>
      <c r="AH105" s="112">
        <f t="shared" si="82"/>
        <v>-1.2976178553114615E-4</v>
      </c>
      <c r="AI105" s="112">
        <f t="shared" si="82"/>
        <v>6.3671682692876264E-3</v>
      </c>
      <c r="AJ105" s="112">
        <f t="shared" si="83"/>
        <v>1.5886653054120181E-4</v>
      </c>
      <c r="AK105" s="112">
        <f t="shared" si="84"/>
        <v>6.8082763169303728E-3</v>
      </c>
      <c r="AL105" s="143">
        <f t="shared" si="74"/>
        <v>1.4744800731758894</v>
      </c>
      <c r="AM105" s="143">
        <f>BBG_GBP!AA105</f>
        <v>1.468605221</v>
      </c>
      <c r="AN105" s="151">
        <f t="shared" si="75"/>
        <v>0.99601564491594963</v>
      </c>
      <c r="AO105" s="147"/>
    </row>
    <row r="106" spans="1:41" x14ac:dyDescent="0.25">
      <c r="A106" s="38">
        <v>53510</v>
      </c>
      <c r="B106" s="22">
        <v>2.4931506849234999E-5</v>
      </c>
      <c r="C106" s="22">
        <v>5.90505259171481E-4</v>
      </c>
      <c r="D106" s="22">
        <v>0.95391411445885799</v>
      </c>
      <c r="E106" s="22">
        <v>2.4322106196452602E-3</v>
      </c>
      <c r="F106" s="32">
        <v>0.83601159012693804</v>
      </c>
      <c r="G106" s="5">
        <f t="shared" si="63"/>
        <v>26.377777777777776</v>
      </c>
      <c r="H106" s="5">
        <f t="shared" si="85"/>
        <v>1.6081536621807618E-4</v>
      </c>
      <c r="I106" s="5">
        <f t="shared" si="66"/>
        <v>0.99576737198213738</v>
      </c>
      <c r="J106" s="32">
        <f t="shared" si="64"/>
        <v>1.4770741609067306</v>
      </c>
      <c r="K106" s="22" t="s">
        <v>458</v>
      </c>
      <c r="L106" s="40">
        <f t="shared" si="86"/>
        <v>-5.875</v>
      </c>
      <c r="M106" s="96">
        <v>53510</v>
      </c>
      <c r="N106" s="99">
        <f t="shared" si="76"/>
        <v>53419</v>
      </c>
      <c r="O106" s="38">
        <f t="shared" si="77"/>
        <v>53510</v>
      </c>
      <c r="P106" s="88">
        <f t="shared" si="78"/>
        <v>91</v>
      </c>
      <c r="Q106" s="45">
        <v>10000000</v>
      </c>
      <c r="R106" s="105">
        <f t="shared" si="68"/>
        <v>2.3360647615575073E-3</v>
      </c>
      <c r="S106" s="45">
        <f t="shared" si="79"/>
        <v>5905.0525917148098</v>
      </c>
      <c r="T106" s="45">
        <f t="shared" si="80"/>
        <v>249.31506849234998</v>
      </c>
      <c r="V106" s="61">
        <f t="shared" si="69"/>
        <v>-14744800.731758894</v>
      </c>
      <c r="W106" s="47">
        <f t="shared" si="70"/>
        <v>-14770741.609067306</v>
      </c>
      <c r="X106" s="107">
        <f t="shared" si="71"/>
        <v>9.6219321216735564E-3</v>
      </c>
      <c r="Y106" s="47">
        <f t="shared" si="72"/>
        <v>-35862.460924337189</v>
      </c>
      <c r="Z106" s="47">
        <f t="shared" si="73"/>
        <v>25940.877308411524</v>
      </c>
      <c r="AC106" s="122">
        <f t="shared" si="81"/>
        <v>26.377777777777776</v>
      </c>
      <c r="AD106" s="113">
        <f>BBG_GBP!V106/100</f>
        <v>2.4590000000000002E-3</v>
      </c>
      <c r="AE106" s="113">
        <f>BBG_EUR!J106/100</f>
        <v>9.5630000000000003E-3</v>
      </c>
      <c r="AF106" s="116">
        <f>BBG_GBP!X106</f>
        <v>1.0036210000000001</v>
      </c>
      <c r="AG106" s="116">
        <f>BBG_EUR!L106</f>
        <v>0.84577199999999997</v>
      </c>
      <c r="AH106" s="112">
        <f t="shared" si="82"/>
        <v>-1.3701731682580487E-4</v>
      </c>
      <c r="AI106" s="112">
        <f t="shared" si="82"/>
        <v>6.3704546660228178E-3</v>
      </c>
      <c r="AJ106" s="112">
        <f t="shared" si="83"/>
        <v>1.6081536621803671E-4</v>
      </c>
      <c r="AK106" s="112">
        <f t="shared" si="84"/>
        <v>6.8133978744917556E-3</v>
      </c>
      <c r="AL106" s="143">
        <f t="shared" si="74"/>
        <v>1.4770741609067306</v>
      </c>
      <c r="AM106" s="143">
        <f>BBG_GBP!AA106</f>
        <v>1.471420344</v>
      </c>
      <c r="AN106" s="151">
        <f t="shared" si="75"/>
        <v>0.9961722863642406</v>
      </c>
      <c r="AO106" s="147"/>
    </row>
    <row r="107" spans="1:41" x14ac:dyDescent="0.25">
      <c r="A107" s="38">
        <v>53602</v>
      </c>
      <c r="B107" s="22">
        <v>2.5205479452061701E-5</v>
      </c>
      <c r="C107" s="22">
        <v>5.9699626454534605E-4</v>
      </c>
      <c r="D107" s="22">
        <v>0.95372807141082105</v>
      </c>
      <c r="E107" s="22">
        <v>2.4589710433004998E-3</v>
      </c>
      <c r="F107" s="32">
        <v>0.834449999081741</v>
      </c>
      <c r="G107" s="5">
        <f t="shared" si="63"/>
        <v>26.633333333333333</v>
      </c>
      <c r="H107" s="5">
        <f t="shared" si="85"/>
        <v>1.6278561767152014E-4</v>
      </c>
      <c r="I107" s="5">
        <f t="shared" si="66"/>
        <v>0.99567421251337573</v>
      </c>
      <c r="J107" s="32">
        <f t="shared" si="64"/>
        <v>1.4796999128726527</v>
      </c>
      <c r="K107" s="22" t="s">
        <v>458</v>
      </c>
      <c r="L107" s="40">
        <f t="shared" si="86"/>
        <v>-5.875</v>
      </c>
      <c r="M107" s="96">
        <v>53602</v>
      </c>
      <c r="N107" s="99">
        <f t="shared" si="76"/>
        <v>53510</v>
      </c>
      <c r="O107" s="38">
        <f t="shared" si="77"/>
        <v>53602</v>
      </c>
      <c r="P107" s="88">
        <f t="shared" si="78"/>
        <v>92</v>
      </c>
      <c r="Q107" s="45">
        <v>10000000</v>
      </c>
      <c r="R107" s="105">
        <f t="shared" si="68"/>
        <v>2.3360723395252671E-3</v>
      </c>
      <c r="S107" s="45">
        <f t="shared" si="79"/>
        <v>5969.9626454534609</v>
      </c>
      <c r="T107" s="45">
        <f t="shared" si="80"/>
        <v>252.05479452061701</v>
      </c>
      <c r="V107" s="61">
        <f t="shared" si="69"/>
        <v>-14770741.609067306</v>
      </c>
      <c r="W107" s="47">
        <f t="shared" si="70"/>
        <v>-14796999.128726527</v>
      </c>
      <c r="X107" s="107">
        <f t="shared" si="71"/>
        <v>9.6220606042193464E-3</v>
      </c>
      <c r="Y107" s="47">
        <f t="shared" si="72"/>
        <v>-36320.82590477034</v>
      </c>
      <c r="Z107" s="47">
        <f t="shared" si="73"/>
        <v>26257.519659221172</v>
      </c>
      <c r="AC107" s="122">
        <f t="shared" si="81"/>
        <v>26.633333333333333</v>
      </c>
      <c r="AD107" s="113">
        <f>BBG_GBP!V107/100</f>
        <v>2.4449000000000003E-3</v>
      </c>
      <c r="AE107" s="113">
        <f>BBG_EUR!J107/100</f>
        <v>9.5687999999999988E-3</v>
      </c>
      <c r="AF107" s="116">
        <f>BBG_GBP!X107</f>
        <v>1.0038530000000001</v>
      </c>
      <c r="AG107" s="116">
        <f>BBG_EUR!L107</f>
        <v>0.84432600000000002</v>
      </c>
      <c r="AH107" s="112">
        <f t="shared" si="82"/>
        <v>-1.4437992192095628E-4</v>
      </c>
      <c r="AI107" s="112">
        <f t="shared" si="82"/>
        <v>6.3737912756056669E-3</v>
      </c>
      <c r="AJ107" s="112">
        <f t="shared" si="83"/>
        <v>1.6278561767157917E-4</v>
      </c>
      <c r="AK107" s="112">
        <f t="shared" si="84"/>
        <v>6.8184769125572142E-3</v>
      </c>
      <c r="AL107" s="143">
        <f t="shared" si="74"/>
        <v>1.4796999128726527</v>
      </c>
      <c r="AM107" s="143">
        <f>BBG_GBP!AA107</f>
        <v>1.474280767</v>
      </c>
      <c r="AN107" s="151">
        <f t="shared" si="75"/>
        <v>0.99633767237160131</v>
      </c>
      <c r="AO107" s="147"/>
    </row>
    <row r="108" spans="1:41" x14ac:dyDescent="0.25">
      <c r="A108" s="38">
        <v>53694</v>
      </c>
      <c r="B108" s="22">
        <v>2.5205479452061701E-5</v>
      </c>
      <c r="C108" s="22">
        <v>5.9699626454534605E-4</v>
      </c>
      <c r="D108" s="22">
        <v>0.95354206464699098</v>
      </c>
      <c r="E108" s="22">
        <v>2.4589710433004998E-3</v>
      </c>
      <c r="F108" s="32">
        <v>0.83289132494178997</v>
      </c>
      <c r="G108" s="5">
        <f t="shared" si="63"/>
        <v>26.888888888888889</v>
      </c>
      <c r="H108" s="5">
        <f t="shared" si="85"/>
        <v>1.6475586912496407E-4</v>
      </c>
      <c r="I108" s="5">
        <f t="shared" si="66"/>
        <v>0.99558005945931349</v>
      </c>
      <c r="J108" s="32">
        <f t="shared" si="64"/>
        <v>1.4823288402262818</v>
      </c>
      <c r="K108" s="22" t="s">
        <v>458</v>
      </c>
      <c r="L108" s="40">
        <f t="shared" si="86"/>
        <v>-5.875</v>
      </c>
      <c r="M108" s="96">
        <v>53694</v>
      </c>
      <c r="N108" s="99">
        <f t="shared" si="76"/>
        <v>53602</v>
      </c>
      <c r="O108" s="38">
        <f t="shared" si="77"/>
        <v>53694</v>
      </c>
      <c r="P108" s="88">
        <f t="shared" si="78"/>
        <v>92</v>
      </c>
      <c r="Q108" s="45">
        <v>10000000</v>
      </c>
      <c r="R108" s="105">
        <f t="shared" si="68"/>
        <v>2.3360723395252671E-3</v>
      </c>
      <c r="S108" s="45">
        <f t="shared" si="79"/>
        <v>5969.9626454534609</v>
      </c>
      <c r="T108" s="45">
        <f t="shared" si="80"/>
        <v>252.05479452061701</v>
      </c>
      <c r="V108" s="61">
        <f t="shared" si="69"/>
        <v>-14796999.128726527</v>
      </c>
      <c r="W108" s="47">
        <f t="shared" si="70"/>
        <v>-14823288.402262818</v>
      </c>
      <c r="X108" s="107">
        <f t="shared" si="71"/>
        <v>9.6220606042193464E-3</v>
      </c>
      <c r="Y108" s="47">
        <f t="shared" si="72"/>
        <v>-36385.392385281251</v>
      </c>
      <c r="Z108" s="47">
        <f t="shared" si="73"/>
        <v>26289.273536290973</v>
      </c>
      <c r="AC108" s="122">
        <f t="shared" si="81"/>
        <v>26.888888888888889</v>
      </c>
      <c r="AD108" s="113">
        <f>BBG_GBP!V108/100</f>
        <v>2.4307999999999999E-3</v>
      </c>
      <c r="AE108" s="113">
        <f>BBG_EUR!J108/100</f>
        <v>9.5744000000000003E-3</v>
      </c>
      <c r="AF108" s="116">
        <f>BBG_GBP!X108</f>
        <v>1.0040899999999999</v>
      </c>
      <c r="AG108" s="116">
        <f>BBG_EUR!L108</f>
        <v>0.84288099999999999</v>
      </c>
      <c r="AH108" s="112">
        <f t="shared" si="82"/>
        <v>-1.5178570325302676E-4</v>
      </c>
      <c r="AI108" s="112">
        <f t="shared" si="82"/>
        <v>6.3771298441406277E-3</v>
      </c>
      <c r="AJ108" s="112">
        <f t="shared" si="83"/>
        <v>1.6475586912489959E-4</v>
      </c>
      <c r="AK108" s="112">
        <f t="shared" si="84"/>
        <v>6.8234594318201669E-3</v>
      </c>
      <c r="AL108" s="143">
        <f t="shared" si="74"/>
        <v>1.4823288402262818</v>
      </c>
      <c r="AM108" s="143">
        <f>BBG_GBP!AA108</f>
        <v>1.4771243999999999</v>
      </c>
      <c r="AN108" s="151">
        <f t="shared" si="75"/>
        <v>0.99648901101763132</v>
      </c>
      <c r="AO108" s="147"/>
    </row>
    <row r="109" spans="1:41" x14ac:dyDescent="0.25">
      <c r="A109" s="38">
        <v>53784</v>
      </c>
      <c r="B109" s="22">
        <v>2.4657534246630399E-5</v>
      </c>
      <c r="C109" s="22">
        <v>5.8401429590570998E-4</v>
      </c>
      <c r="D109" s="22">
        <v>0.95336013661126096</v>
      </c>
      <c r="E109" s="22">
        <v>2.4054509103537099E-3</v>
      </c>
      <c r="F109" s="32">
        <v>0.83136935226631903</v>
      </c>
      <c r="G109" s="5">
        <f t="shared" si="63"/>
        <v>27.138888888888889</v>
      </c>
      <c r="H109" s="5">
        <f t="shared" si="85"/>
        <v>1.6668328902507228E-4</v>
      </c>
      <c r="I109" s="5">
        <f t="shared" si="66"/>
        <v>0.99548699206539215</v>
      </c>
      <c r="J109" s="32">
        <f t="shared" si="64"/>
        <v>1.4849036899123444</v>
      </c>
      <c r="K109" s="22" t="s">
        <v>458</v>
      </c>
      <c r="L109" s="40">
        <f t="shared" si="86"/>
        <v>-5.875</v>
      </c>
      <c r="M109" s="96">
        <v>53784</v>
      </c>
      <c r="N109" s="99">
        <f t="shared" si="76"/>
        <v>53694</v>
      </c>
      <c r="O109" s="38">
        <f t="shared" si="77"/>
        <v>53784</v>
      </c>
      <c r="P109" s="88">
        <f t="shared" si="78"/>
        <v>90</v>
      </c>
      <c r="Q109" s="45">
        <v>10000000</v>
      </c>
      <c r="R109" s="105">
        <f t="shared" si="68"/>
        <v>2.3360571836228399E-3</v>
      </c>
      <c r="S109" s="45">
        <f t="shared" si="79"/>
        <v>5840.1429590570997</v>
      </c>
      <c r="T109" s="45">
        <f t="shared" si="80"/>
        <v>246.57534246630399</v>
      </c>
      <c r="V109" s="61">
        <f t="shared" si="69"/>
        <v>-14823288.402262818</v>
      </c>
      <c r="W109" s="47">
        <f t="shared" si="70"/>
        <v>-14849036.899123445</v>
      </c>
      <c r="X109" s="107">
        <f t="shared" si="71"/>
        <v>9.6218036414148396E-3</v>
      </c>
      <c r="Y109" s="47">
        <f t="shared" si="72"/>
        <v>-35656.692581658688</v>
      </c>
      <c r="Z109" s="47">
        <f t="shared" si="73"/>
        <v>25748.496860627085</v>
      </c>
      <c r="AC109" s="122">
        <f t="shared" si="81"/>
        <v>27.138888888888889</v>
      </c>
      <c r="AD109" s="113">
        <f>BBG_GBP!V109/100</f>
        <v>2.4168000000000002E-3</v>
      </c>
      <c r="AE109" s="113">
        <f>BBG_EUR!J109/100</f>
        <v>9.5796000000000006E-3</v>
      </c>
      <c r="AF109" s="116">
        <f>BBG_GBP!X109</f>
        <v>1.004327</v>
      </c>
      <c r="AG109" s="116">
        <f>BBG_EUR!L109</f>
        <v>0.84147000000000005</v>
      </c>
      <c r="AH109" s="112">
        <f t="shared" si="82"/>
        <v>-1.5908248966844951E-4</v>
      </c>
      <c r="AI109" s="112">
        <f t="shared" si="82"/>
        <v>6.3803264568609297E-3</v>
      </c>
      <c r="AJ109" s="112">
        <f t="shared" si="83"/>
        <v>1.6668328902502694E-4</v>
      </c>
      <c r="AK109" s="112">
        <f t="shared" si="84"/>
        <v>6.8282428597656875E-3</v>
      </c>
      <c r="AL109" s="143">
        <f t="shared" si="74"/>
        <v>1.4849036899123444</v>
      </c>
      <c r="AM109" s="143">
        <f>BBG_GBP!AA109</f>
        <v>1.4799823480000001</v>
      </c>
      <c r="AN109" s="151">
        <f t="shared" si="75"/>
        <v>0.99668575009559379</v>
      </c>
      <c r="AO109" s="147"/>
    </row>
    <row r="110" spans="1:41" x14ac:dyDescent="0.25">
      <c r="A110" s="38">
        <v>53875</v>
      </c>
      <c r="B110" s="22">
        <v>2.4931506849234999E-5</v>
      </c>
      <c r="C110" s="22">
        <v>5.90505259171481E-4</v>
      </c>
      <c r="D110" s="22">
        <v>0.95317622244391897</v>
      </c>
      <c r="E110" s="22">
        <v>2.4322106196452602E-3</v>
      </c>
      <c r="F110" s="32">
        <v>0.82983329644461901</v>
      </c>
      <c r="G110" s="5">
        <f t="shared" si="63"/>
        <v>27.391666666666666</v>
      </c>
      <c r="H110" s="5">
        <f t="shared" si="85"/>
        <v>1.6863212470184834E-4</v>
      </c>
      <c r="I110" s="5">
        <f t="shared" si="66"/>
        <v>0.99539192438278246</v>
      </c>
      <c r="J110" s="32">
        <f t="shared" si="64"/>
        <v>1.4875102393646462</v>
      </c>
      <c r="K110" s="22" t="s">
        <v>458</v>
      </c>
      <c r="L110" s="40">
        <f t="shared" si="86"/>
        <v>-5.875</v>
      </c>
      <c r="M110" s="96">
        <v>53875</v>
      </c>
      <c r="N110" s="99">
        <f t="shared" si="76"/>
        <v>53784</v>
      </c>
      <c r="O110" s="38">
        <f t="shared" si="77"/>
        <v>53875</v>
      </c>
      <c r="P110" s="88">
        <f t="shared" si="78"/>
        <v>91</v>
      </c>
      <c r="Q110" s="45">
        <v>10000000</v>
      </c>
      <c r="R110" s="105">
        <f t="shared" si="68"/>
        <v>2.3360647615575073E-3</v>
      </c>
      <c r="S110" s="45">
        <f t="shared" si="79"/>
        <v>5905.0525917148098</v>
      </c>
      <c r="T110" s="45">
        <f t="shared" si="80"/>
        <v>249.31506849234998</v>
      </c>
      <c r="V110" s="61">
        <f t="shared" si="69"/>
        <v>-14849036.899123445</v>
      </c>
      <c r="W110" s="47">
        <f t="shared" si="70"/>
        <v>-14875102.393646462</v>
      </c>
      <c r="X110" s="107">
        <f t="shared" si="71"/>
        <v>9.6219321216735564E-3</v>
      </c>
      <c r="Y110" s="47">
        <f t="shared" si="72"/>
        <v>-36115.98523755237</v>
      </c>
      <c r="Z110" s="47">
        <f t="shared" si="73"/>
        <v>26065.494523016736</v>
      </c>
      <c r="AC110" s="122">
        <f t="shared" si="81"/>
        <v>27.391666666666666</v>
      </c>
      <c r="AD110" s="113">
        <f>BBG_GBP!V110/100</f>
        <v>2.4030000000000002E-3</v>
      </c>
      <c r="AE110" s="113">
        <f>BBG_EUR!J110/100</f>
        <v>9.5849999999999998E-3</v>
      </c>
      <c r="AF110" s="116">
        <f>BBG_GBP!X110</f>
        <v>1.004572</v>
      </c>
      <c r="AG110" s="116">
        <f>BBG_EUR!L110</f>
        <v>0.84004400000000001</v>
      </c>
      <c r="AH110" s="112">
        <f t="shared" si="82"/>
        <v>-1.6651781026721935E-4</v>
      </c>
      <c r="AI110" s="112">
        <f t="shared" si="82"/>
        <v>6.383574662466529E-3</v>
      </c>
      <c r="AJ110" s="112">
        <f t="shared" si="83"/>
        <v>1.6863212470186184E-4</v>
      </c>
      <c r="AK110" s="112">
        <f t="shared" si="84"/>
        <v>6.832990683350415E-3</v>
      </c>
      <c r="AL110" s="143">
        <f t="shared" si="74"/>
        <v>1.4875102393646462</v>
      </c>
      <c r="AM110" s="143">
        <f>BBG_GBP!AA110</f>
        <v>1.482854704</v>
      </c>
      <c r="AN110" s="151">
        <f t="shared" si="75"/>
        <v>0.99687024987025652</v>
      </c>
      <c r="AO110" s="147"/>
    </row>
    <row r="111" spans="1:41" x14ac:dyDescent="0.25">
      <c r="A111" s="38">
        <v>53967</v>
      </c>
      <c r="B111" s="22">
        <v>2.5205479452061701E-5</v>
      </c>
      <c r="C111" s="22">
        <v>5.9699626454512401E-4</v>
      </c>
      <c r="D111" s="22">
        <v>0.95299032330787403</v>
      </c>
      <c r="E111" s="22">
        <v>2.4589710433007201E-3</v>
      </c>
      <c r="F111" s="32">
        <v>0.82828324587111302</v>
      </c>
      <c r="G111" s="5">
        <f t="shared" si="63"/>
        <v>27.647222222222222</v>
      </c>
      <c r="H111" s="5">
        <f t="shared" si="85"/>
        <v>1.706023761552923E-4</v>
      </c>
      <c r="I111" s="5">
        <f t="shared" si="66"/>
        <v>0.9952948246701574</v>
      </c>
      <c r="J111" s="32">
        <f t="shared" si="64"/>
        <v>1.4901485913497796</v>
      </c>
      <c r="K111" s="22" t="s">
        <v>458</v>
      </c>
      <c r="L111" s="40">
        <f t="shared" si="86"/>
        <v>-5.875</v>
      </c>
      <c r="M111" s="96">
        <v>53967</v>
      </c>
      <c r="N111" s="99">
        <f t="shared" si="76"/>
        <v>53875</v>
      </c>
      <c r="O111" s="38">
        <f t="shared" si="77"/>
        <v>53967</v>
      </c>
      <c r="P111" s="88">
        <f t="shared" si="78"/>
        <v>92</v>
      </c>
      <c r="Q111" s="45">
        <v>10000000</v>
      </c>
      <c r="R111" s="105">
        <f t="shared" si="68"/>
        <v>2.3360723395243984E-3</v>
      </c>
      <c r="S111" s="45">
        <f t="shared" si="79"/>
        <v>5969.96264545124</v>
      </c>
      <c r="T111" s="45">
        <f t="shared" si="80"/>
        <v>252.05479452061701</v>
      </c>
      <c r="V111" s="61">
        <f t="shared" si="69"/>
        <v>-14875102.393646462</v>
      </c>
      <c r="W111" s="47">
        <f t="shared" si="70"/>
        <v>-14901485.913497796</v>
      </c>
      <c r="X111" s="107">
        <f t="shared" si="71"/>
        <v>9.6220606042202086E-3</v>
      </c>
      <c r="Y111" s="47">
        <f t="shared" si="72"/>
        <v>-36577.446052109881</v>
      </c>
      <c r="Z111" s="47">
        <f t="shared" si="73"/>
        <v>26383.519851334393</v>
      </c>
      <c r="AC111" s="122">
        <f t="shared" si="81"/>
        <v>27.647222222222222</v>
      </c>
      <c r="AD111" s="113">
        <f>BBG_GBP!V111/100</f>
        <v>2.3890999999999999E-3</v>
      </c>
      <c r="AE111" s="113">
        <f>BBG_EUR!J111/100</f>
        <v>9.5905000000000001E-3</v>
      </c>
      <c r="AF111" s="116">
        <f>BBG_GBP!X111</f>
        <v>1.0048239999999999</v>
      </c>
      <c r="AG111" s="116">
        <f>BBG_EUR!L111</f>
        <v>0.83860400000000002</v>
      </c>
      <c r="AH111" s="112">
        <f t="shared" si="82"/>
        <v>-1.7404941979948241E-4</v>
      </c>
      <c r="AI111" s="112">
        <f t="shared" si="82"/>
        <v>6.3868323206111022E-3</v>
      </c>
      <c r="AJ111" s="112">
        <f t="shared" si="83"/>
        <v>1.7060237615518226E-4</v>
      </c>
      <c r="AK111" s="112">
        <f t="shared" si="84"/>
        <v>6.8377024482038085E-3</v>
      </c>
      <c r="AL111" s="143">
        <f t="shared" si="74"/>
        <v>1.4901485913497796</v>
      </c>
      <c r="AM111" s="143">
        <f>BBG_GBP!AA111</f>
        <v>1.485836983</v>
      </c>
      <c r="AN111" s="151">
        <f t="shared" si="75"/>
        <v>0.99710659166823479</v>
      </c>
      <c r="AO111" s="147"/>
    </row>
    <row r="112" spans="1:41" x14ac:dyDescent="0.25">
      <c r="A112" s="38">
        <v>54059</v>
      </c>
      <c r="B112" s="22">
        <v>2.5205479452061701E-5</v>
      </c>
      <c r="C112" s="22">
        <v>5.9699626454534605E-4</v>
      </c>
      <c r="D112" s="22">
        <v>0.95280446042796696</v>
      </c>
      <c r="E112" s="22">
        <v>2.4589710433004998E-3</v>
      </c>
      <c r="F112" s="32">
        <v>0.82673609064633602</v>
      </c>
      <c r="G112" s="5">
        <f t="shared" si="63"/>
        <v>27.902777777777779</v>
      </c>
      <c r="H112" s="5">
        <f t="shared" si="85"/>
        <v>1.7257262760873624E-4</v>
      </c>
      <c r="I112" s="5">
        <f t="shared" si="66"/>
        <v>0.99519673252630503</v>
      </c>
      <c r="J112" s="32">
        <f t="shared" si="64"/>
        <v>1.4927901200503138</v>
      </c>
      <c r="K112" s="22" t="s">
        <v>458</v>
      </c>
      <c r="L112" s="40">
        <f t="shared" si="86"/>
        <v>-5.875</v>
      </c>
      <c r="M112" s="96">
        <v>54059</v>
      </c>
      <c r="N112" s="99">
        <f t="shared" si="76"/>
        <v>53967</v>
      </c>
      <c r="O112" s="38">
        <f t="shared" si="77"/>
        <v>54059</v>
      </c>
      <c r="P112" s="88">
        <f t="shared" si="78"/>
        <v>92</v>
      </c>
      <c r="Q112" s="45">
        <v>10000000</v>
      </c>
      <c r="R112" s="105">
        <f t="shared" si="68"/>
        <v>2.3360723395252671E-3</v>
      </c>
      <c r="S112" s="45">
        <f t="shared" si="79"/>
        <v>5969.9626454534609</v>
      </c>
      <c r="T112" s="45">
        <f t="shared" si="80"/>
        <v>252.05479452061701</v>
      </c>
      <c r="V112" s="61">
        <f t="shared" si="69"/>
        <v>-14901485.913497796</v>
      </c>
      <c r="W112" s="47">
        <f t="shared" si="70"/>
        <v>-14927901.200503137</v>
      </c>
      <c r="X112" s="107">
        <f t="shared" si="71"/>
        <v>9.6220606042193464E-3</v>
      </c>
      <c r="Y112" s="47">
        <f t="shared" si="72"/>
        <v>-36642.322363441381</v>
      </c>
      <c r="Z112" s="47">
        <f t="shared" si="73"/>
        <v>26415.28700534068</v>
      </c>
      <c r="AC112" s="122">
        <f t="shared" si="81"/>
        <v>27.902777777777779</v>
      </c>
      <c r="AD112" s="113">
        <f>BBG_GBP!V112/100</f>
        <v>2.3749999999999999E-3</v>
      </c>
      <c r="AE112" s="113">
        <f>BBG_EUR!J112/100</f>
        <v>9.5957000000000004E-3</v>
      </c>
      <c r="AF112" s="116">
        <f>BBG_GBP!X112</f>
        <v>1.0050809999999999</v>
      </c>
      <c r="AG112" s="116">
        <f>BBG_EUR!L112</f>
        <v>0.83716500000000005</v>
      </c>
      <c r="AH112" s="112">
        <f t="shared" si="82"/>
        <v>-1.8161901548863213E-4</v>
      </c>
      <c r="AI112" s="112">
        <f t="shared" si="82"/>
        <v>6.390093581742029E-3</v>
      </c>
      <c r="AJ112" s="112">
        <f t="shared" si="83"/>
        <v>1.7257262760872472E-4</v>
      </c>
      <c r="AK112" s="112">
        <f t="shared" si="84"/>
        <v>6.8423279264182568E-3</v>
      </c>
      <c r="AL112" s="143">
        <f t="shared" si="74"/>
        <v>1.4927901200503138</v>
      </c>
      <c r="AM112" s="143">
        <f>BBG_GBP!AA112</f>
        <v>1.4887389230000001</v>
      </c>
      <c r="AN112" s="151">
        <f t="shared" si="75"/>
        <v>0.99728615764808448</v>
      </c>
      <c r="AO112" s="147"/>
    </row>
    <row r="113" spans="1:41" x14ac:dyDescent="0.25">
      <c r="A113" s="38">
        <v>54150</v>
      </c>
      <c r="B113" s="22">
        <v>2.4931506849234999E-5</v>
      </c>
      <c r="C113" s="22">
        <v>5.90505259171481E-4</v>
      </c>
      <c r="D113" s="22">
        <v>0.95262065345697</v>
      </c>
      <c r="E113" s="22">
        <v>2.4322106196452602E-3</v>
      </c>
      <c r="F113" s="32">
        <v>0.82520859533804103</v>
      </c>
      <c r="G113" s="5">
        <f t="shared" si="63"/>
        <v>28.155555555555555</v>
      </c>
      <c r="H113" s="5">
        <f t="shared" si="85"/>
        <v>1.7452146328551232E-4</v>
      </c>
      <c r="I113" s="5">
        <f t="shared" si="66"/>
        <v>0.99509873058485454</v>
      </c>
      <c r="J113" s="32">
        <f t="shared" si="64"/>
        <v>1.4954060618973186</v>
      </c>
      <c r="K113" s="22" t="s">
        <v>458</v>
      </c>
      <c r="L113" s="40">
        <f t="shared" si="86"/>
        <v>-5.875</v>
      </c>
      <c r="M113" s="96">
        <v>54150</v>
      </c>
      <c r="N113" s="99">
        <f t="shared" si="76"/>
        <v>54059</v>
      </c>
      <c r="O113" s="38">
        <f t="shared" si="77"/>
        <v>54150</v>
      </c>
      <c r="P113" s="88">
        <f t="shared" si="78"/>
        <v>91</v>
      </c>
      <c r="Q113" s="45">
        <v>10000000</v>
      </c>
      <c r="R113" s="105">
        <f t="shared" si="68"/>
        <v>2.3360647615575073E-3</v>
      </c>
      <c r="S113" s="45">
        <f t="shared" si="79"/>
        <v>5905.0525917148098</v>
      </c>
      <c r="T113" s="45">
        <f t="shared" si="80"/>
        <v>249.31506849234998</v>
      </c>
      <c r="V113" s="61">
        <f t="shared" si="69"/>
        <v>-14927901.200503137</v>
      </c>
      <c r="W113" s="47">
        <f t="shared" si="70"/>
        <v>-14954060.618973186</v>
      </c>
      <c r="X113" s="107">
        <f t="shared" si="71"/>
        <v>9.6219321216735564E-3</v>
      </c>
      <c r="Y113" s="47">
        <f t="shared" si="72"/>
        <v>-36307.79982887896</v>
      </c>
      <c r="Z113" s="47">
        <f t="shared" si="73"/>
        <v>26159.418470049277</v>
      </c>
      <c r="AC113" s="122">
        <f t="shared" si="81"/>
        <v>28.155555555555555</v>
      </c>
      <c r="AD113" s="113">
        <f>BBG_GBP!V113/100</f>
        <v>2.3610999999999997E-3</v>
      </c>
      <c r="AE113" s="113">
        <f>BBG_EUR!J113/100</f>
        <v>9.6007000000000002E-3</v>
      </c>
      <c r="AF113" s="116">
        <f>BBG_GBP!X113</f>
        <v>1.0053399999999999</v>
      </c>
      <c r="AG113" s="116">
        <f>BBG_EUR!L113</f>
        <v>0.83574300000000001</v>
      </c>
      <c r="AH113" s="112">
        <f t="shared" si="82"/>
        <v>-1.8913812848508904E-4</v>
      </c>
      <c r="AI113" s="112">
        <f t="shared" si="82"/>
        <v>6.3933069465835768E-3</v>
      </c>
      <c r="AJ113" s="112">
        <f t="shared" si="83"/>
        <v>1.7452146328555962E-4</v>
      </c>
      <c r="AK113" s="112">
        <f t="shared" si="84"/>
        <v>6.8468205452529851E-3</v>
      </c>
      <c r="AL113" s="143">
        <f t="shared" si="74"/>
        <v>1.4954060618973186</v>
      </c>
      <c r="AM113" s="143">
        <f>BBG_GBP!AA113</f>
        <v>1.491687693</v>
      </c>
      <c r="AN113" s="151">
        <f t="shared" si="75"/>
        <v>0.99751347209827357</v>
      </c>
      <c r="AO113" s="147"/>
    </row>
    <row r="114" spans="1:41" x14ac:dyDescent="0.25">
      <c r="A114" s="38">
        <v>54241</v>
      </c>
      <c r="B114" s="22">
        <v>2.4931506849234999E-5</v>
      </c>
      <c r="C114" s="22">
        <v>5.90505259171481E-4</v>
      </c>
      <c r="D114" s="22">
        <v>0.95243688194445897</v>
      </c>
      <c r="E114" s="22">
        <v>2.4322106196452602E-3</v>
      </c>
      <c r="F114" s="32">
        <v>0.82368392226279297</v>
      </c>
      <c r="G114" s="5">
        <f t="shared" si="63"/>
        <v>28.408333333333335</v>
      </c>
      <c r="H114" s="5">
        <f t="shared" si="85"/>
        <v>1.7647029896228843E-4</v>
      </c>
      <c r="I114" s="5">
        <f t="shared" si="66"/>
        <v>0.99499975825283415</v>
      </c>
      <c r="J114" s="32">
        <f t="shared" si="64"/>
        <v>1.498025112375168</v>
      </c>
      <c r="K114" s="22" t="s">
        <v>458</v>
      </c>
      <c r="L114" s="40">
        <f t="shared" si="86"/>
        <v>-5.875</v>
      </c>
      <c r="M114" s="96">
        <v>54241</v>
      </c>
      <c r="N114" s="99">
        <f t="shared" si="76"/>
        <v>54150</v>
      </c>
      <c r="O114" s="38">
        <f t="shared" si="77"/>
        <v>54241</v>
      </c>
      <c r="P114" s="88">
        <f t="shared" si="78"/>
        <v>91</v>
      </c>
      <c r="Q114" s="45">
        <v>10000000</v>
      </c>
      <c r="R114" s="105">
        <f t="shared" si="68"/>
        <v>2.3360647615575073E-3</v>
      </c>
      <c r="S114" s="45">
        <f t="shared" si="79"/>
        <v>5905.0525917148098</v>
      </c>
      <c r="T114" s="45">
        <f t="shared" si="80"/>
        <v>249.31506849234998</v>
      </c>
      <c r="V114" s="61">
        <f t="shared" si="69"/>
        <v>-14954060.618973186</v>
      </c>
      <c r="W114" s="47">
        <f t="shared" si="70"/>
        <v>-14980251.123751679</v>
      </c>
      <c r="X114" s="107">
        <f t="shared" si="71"/>
        <v>9.6219321216735564E-3</v>
      </c>
      <c r="Y114" s="47">
        <f t="shared" si="72"/>
        <v>-36371.425044285555</v>
      </c>
      <c r="Z114" s="47">
        <f t="shared" si="73"/>
        <v>26190.504778493196</v>
      </c>
      <c r="AC114" s="122">
        <f t="shared" si="81"/>
        <v>28.408333333333335</v>
      </c>
      <c r="AD114" s="113">
        <f>BBG_GBP!V114/100</f>
        <v>2.3473000000000001E-3</v>
      </c>
      <c r="AE114" s="113">
        <f>BBG_EUR!J114/100</f>
        <v>9.6055999999999989E-3</v>
      </c>
      <c r="AF114" s="116">
        <f>BBG_GBP!X114</f>
        <v>1.0056039999999999</v>
      </c>
      <c r="AG114" s="116">
        <f>BBG_EUR!L114</f>
        <v>0.83432300000000004</v>
      </c>
      <c r="AH114" s="112">
        <f t="shared" si="82"/>
        <v>-1.9669603011995829E-4</v>
      </c>
      <c r="AI114" s="112">
        <f t="shared" si="82"/>
        <v>6.3964807743059904E-3</v>
      </c>
      <c r="AJ114" s="112">
        <f t="shared" si="83"/>
        <v>1.7647029896239452E-4</v>
      </c>
      <c r="AK114" s="112">
        <f t="shared" si="84"/>
        <v>6.8512332328221071E-3</v>
      </c>
      <c r="AL114" s="143">
        <f t="shared" si="74"/>
        <v>1.498025112375168</v>
      </c>
      <c r="AM114" s="143">
        <f>BBG_GBP!AA114</f>
        <v>1.4946192869999999</v>
      </c>
      <c r="AN114" s="151">
        <f t="shared" si="75"/>
        <v>0.99772645642116908</v>
      </c>
      <c r="AO114" s="147"/>
    </row>
    <row r="115" spans="1:41" x14ac:dyDescent="0.25">
      <c r="A115" s="38">
        <v>54333</v>
      </c>
      <c r="B115" s="22">
        <v>2.5205479452061701E-5</v>
      </c>
      <c r="C115" s="22">
        <v>5.9699626454512401E-4</v>
      </c>
      <c r="D115" s="22">
        <v>0.95225112700290404</v>
      </c>
      <c r="E115" s="22">
        <v>2.4589710433004998E-3</v>
      </c>
      <c r="F115" s="32">
        <v>0.82214535814207002</v>
      </c>
      <c r="G115" s="5">
        <f t="shared" si="63"/>
        <v>28.663888888888888</v>
      </c>
      <c r="H115" s="5">
        <f t="shared" si="85"/>
        <v>1.7844055041573234E-4</v>
      </c>
      <c r="I115" s="5">
        <f t="shared" si="66"/>
        <v>0.99489871216847547</v>
      </c>
      <c r="J115" s="32">
        <f t="shared" si="64"/>
        <v>1.5006761039778631</v>
      </c>
      <c r="K115" s="22" t="s">
        <v>458</v>
      </c>
      <c r="L115" s="40">
        <f t="shared" si="86"/>
        <v>-5.875</v>
      </c>
      <c r="M115" s="96">
        <v>54333</v>
      </c>
      <c r="N115" s="99">
        <f t="shared" si="76"/>
        <v>54241</v>
      </c>
      <c r="O115" s="38">
        <f t="shared" si="77"/>
        <v>54333</v>
      </c>
      <c r="P115" s="88">
        <f t="shared" si="78"/>
        <v>92</v>
      </c>
      <c r="Q115" s="45">
        <v>10000000</v>
      </c>
      <c r="R115" s="105">
        <f t="shared" si="68"/>
        <v>2.3360723395243984E-3</v>
      </c>
      <c r="S115" s="45">
        <f t="shared" si="79"/>
        <v>5969.96264545124</v>
      </c>
      <c r="T115" s="45">
        <f t="shared" si="80"/>
        <v>252.05479452061701</v>
      </c>
      <c r="V115" s="61">
        <f t="shared" si="69"/>
        <v>-14980251.123751679</v>
      </c>
      <c r="W115" s="47">
        <f t="shared" si="70"/>
        <v>-15006761.039778631</v>
      </c>
      <c r="X115" s="107">
        <f t="shared" si="71"/>
        <v>9.6220606042193464E-3</v>
      </c>
      <c r="Y115" s="47">
        <f t="shared" si="72"/>
        <v>-36836.003734675149</v>
      </c>
      <c r="Z115" s="47">
        <f t="shared" si="73"/>
        <v>26509.916026951745</v>
      </c>
      <c r="AC115" s="122">
        <f t="shared" si="81"/>
        <v>28.663888888888888</v>
      </c>
      <c r="AD115" s="113">
        <f>BBG_GBP!V115/100</f>
        <v>2.3333999999999998E-3</v>
      </c>
      <c r="AE115" s="113">
        <f>BBG_EUR!J115/100</f>
        <v>9.6106999999999998E-3</v>
      </c>
      <c r="AF115" s="116">
        <f>BBG_GBP!X115</f>
        <v>1.005876</v>
      </c>
      <c r="AG115" s="116">
        <f>BBG_EUR!L115</f>
        <v>0.83288899999999999</v>
      </c>
      <c r="AH115" s="112">
        <f t="shared" si="82"/>
        <v>-2.0437578956866709E-4</v>
      </c>
      <c r="AI115" s="112">
        <f t="shared" si="82"/>
        <v>6.3996683412228528E-3</v>
      </c>
      <c r="AJ115" s="112">
        <f t="shared" si="83"/>
        <v>1.7844055041571494E-4</v>
      </c>
      <c r="AK115" s="112">
        <f t="shared" si="84"/>
        <v>6.8556153148260357E-3</v>
      </c>
      <c r="AL115" s="143">
        <f t="shared" si="74"/>
        <v>1.5006761039778631</v>
      </c>
      <c r="AM115" s="143">
        <f>BBG_GBP!AA115</f>
        <v>1.497598236</v>
      </c>
      <c r="AN115" s="151">
        <f t="shared" si="75"/>
        <v>0.99794901246864354</v>
      </c>
      <c r="AO115" s="147"/>
    </row>
    <row r="116" spans="1:41" x14ac:dyDescent="0.25">
      <c r="A116" s="38">
        <v>54427</v>
      </c>
      <c r="B116" s="22">
        <v>2.5753424657493E-5</v>
      </c>
      <c r="C116" s="22">
        <v>6.0997840161802698E-4</v>
      </c>
      <c r="D116" s="22">
        <v>0.95206137132831803</v>
      </c>
      <c r="E116" s="22">
        <v>2.5124940337783999E-3</v>
      </c>
      <c r="F116" s="32">
        <v>0.82057631522115604</v>
      </c>
      <c r="G116" s="5">
        <f t="shared" si="63"/>
        <v>28.925000000000001</v>
      </c>
      <c r="H116" s="5">
        <f t="shared" si="85"/>
        <v>1.8045363342251202E-4</v>
      </c>
      <c r="I116" s="5">
        <f t="shared" si="66"/>
        <v>0.99479444564850261</v>
      </c>
      <c r="J116" s="32">
        <f t="shared" si="64"/>
        <v>1.5033880081174713</v>
      </c>
      <c r="K116" s="22" t="s">
        <v>458</v>
      </c>
      <c r="L116" s="40">
        <f t="shared" si="86"/>
        <v>-5.875</v>
      </c>
      <c r="M116" s="96">
        <v>54427</v>
      </c>
      <c r="N116" s="99">
        <f t="shared" si="76"/>
        <v>54333</v>
      </c>
      <c r="O116" s="38">
        <f t="shared" si="77"/>
        <v>54427</v>
      </c>
      <c r="P116" s="88">
        <f t="shared" si="78"/>
        <v>94</v>
      </c>
      <c r="Q116" s="45">
        <v>10000000</v>
      </c>
      <c r="R116" s="105">
        <f t="shared" si="68"/>
        <v>2.3360874955584013E-3</v>
      </c>
      <c r="S116" s="45">
        <f t="shared" si="79"/>
        <v>6099.7840161802696</v>
      </c>
      <c r="T116" s="45">
        <f t="shared" si="80"/>
        <v>257.53424657493002</v>
      </c>
      <c r="V116" s="61">
        <f t="shared" si="69"/>
        <v>-15006761.039778631</v>
      </c>
      <c r="W116" s="47">
        <f t="shared" si="70"/>
        <v>-15033880.081174713</v>
      </c>
      <c r="X116" s="107">
        <f t="shared" si="71"/>
        <v>9.6223175761725958E-3</v>
      </c>
      <c r="Y116" s="47">
        <f t="shared" si="72"/>
        <v>-37704.397578781951</v>
      </c>
      <c r="Z116" s="47">
        <f t="shared" si="73"/>
        <v>27119.041396081448</v>
      </c>
      <c r="AC116" s="122">
        <f t="shared" si="81"/>
        <v>28.925000000000001</v>
      </c>
      <c r="AD116" s="113">
        <f>BBG_GBP!V116/100</f>
        <v>2.3194000000000001E-3</v>
      </c>
      <c r="AE116" s="113">
        <f>BBG_EUR!J116/100</f>
        <v>9.6159000000000001E-3</v>
      </c>
      <c r="AF116" s="116">
        <f>BBG_GBP!X116</f>
        <v>1.0061599999999999</v>
      </c>
      <c r="AG116" s="116">
        <f>BBG_EUR!L116</f>
        <v>0.83142499999999997</v>
      </c>
      <c r="AH116" s="112">
        <f t="shared" si="82"/>
        <v>-2.122887775242166E-4</v>
      </c>
      <c r="AI116" s="112">
        <f t="shared" si="82"/>
        <v>6.4029244415209075E-3</v>
      </c>
      <c r="AJ116" s="112">
        <f t="shared" si="83"/>
        <v>1.8045363342245047E-4</v>
      </c>
      <c r="AK116" s="112">
        <f t="shared" si="84"/>
        <v>6.8600127030364888E-3</v>
      </c>
      <c r="AL116" s="143">
        <f t="shared" si="74"/>
        <v>1.5033880081174713</v>
      </c>
      <c r="AM116" s="143">
        <f>BBG_GBP!AA116</f>
        <v>1.500559878</v>
      </c>
      <c r="AN116" s="151">
        <f t="shared" si="75"/>
        <v>0.99811882887039083</v>
      </c>
      <c r="AO116" s="147"/>
    </row>
    <row r="117" spans="1:41" x14ac:dyDescent="0.25">
      <c r="A117" s="38">
        <v>54515</v>
      </c>
      <c r="B117" s="22">
        <v>2.4109589041198998E-5</v>
      </c>
      <c r="C117" s="22">
        <v>5.7103249569712101E-4</v>
      </c>
      <c r="D117" s="22">
        <v>0.95188376198760505</v>
      </c>
      <c r="E117" s="22">
        <v>2.3519336347854699E-3</v>
      </c>
      <c r="F117" s="32">
        <v>0.81911013795852206</v>
      </c>
      <c r="G117" s="5">
        <f t="shared" si="63"/>
        <v>29.169444444444444</v>
      </c>
      <c r="H117" s="5">
        <f t="shared" si="85"/>
        <v>1.8233822176928448E-4</v>
      </c>
      <c r="I117" s="5">
        <f t="shared" si="66"/>
        <v>0.99469589690717375</v>
      </c>
      <c r="J117" s="32">
        <f t="shared" si="64"/>
        <v>1.5059298189482904</v>
      </c>
      <c r="K117" s="22" t="s">
        <v>458</v>
      </c>
      <c r="L117" s="40">
        <f t="shared" si="86"/>
        <v>-5.875</v>
      </c>
      <c r="M117" s="96">
        <v>54515</v>
      </c>
      <c r="N117" s="99">
        <f t="shared" si="76"/>
        <v>54427</v>
      </c>
      <c r="O117" s="38">
        <f t="shared" si="77"/>
        <v>54515</v>
      </c>
      <c r="P117" s="88">
        <f t="shared" si="78"/>
        <v>88</v>
      </c>
      <c r="Q117" s="45">
        <v>10000000</v>
      </c>
      <c r="R117" s="105">
        <f t="shared" si="68"/>
        <v>2.3360420278518588E-3</v>
      </c>
      <c r="S117" s="45">
        <f t="shared" si="79"/>
        <v>5710.3249569712098</v>
      </c>
      <c r="T117" s="45">
        <f t="shared" si="80"/>
        <v>241.09589041198998</v>
      </c>
      <c r="V117" s="61">
        <f t="shared" si="69"/>
        <v>-15033880.081174713</v>
      </c>
      <c r="W117" s="47">
        <f t="shared" si="70"/>
        <v>-15059298.189482903</v>
      </c>
      <c r="X117" s="107">
        <f t="shared" si="71"/>
        <v>9.6215466877587405E-3</v>
      </c>
      <c r="Y117" s="47">
        <f t="shared" si="72"/>
        <v>-35358.688224246114</v>
      </c>
      <c r="Z117" s="47">
        <f t="shared" si="73"/>
        <v>25418.10830819048</v>
      </c>
      <c r="AC117" s="122">
        <f t="shared" si="81"/>
        <v>29.169444444444444</v>
      </c>
      <c r="AD117" s="113">
        <f>BBG_GBP!V117/100</f>
        <v>2.3055999999999997E-3</v>
      </c>
      <c r="AE117" s="113">
        <f>BBG_EUR!J117/100</f>
        <v>9.6197999999999995E-3</v>
      </c>
      <c r="AF117" s="116">
        <f>BBG_GBP!X117</f>
        <v>1.0064299999999999</v>
      </c>
      <c r="AG117" s="116">
        <f>BBG_EUR!L117</f>
        <v>0.83005600000000002</v>
      </c>
      <c r="AH117" s="112">
        <f t="shared" si="82"/>
        <v>-2.1970633114221094E-4</v>
      </c>
      <c r="AI117" s="112">
        <f t="shared" si="82"/>
        <v>6.4059522666850555E-3</v>
      </c>
      <c r="AJ117" s="112">
        <f t="shared" si="83"/>
        <v>1.8233822176938475E-4</v>
      </c>
      <c r="AK117" s="112">
        <f t="shared" si="84"/>
        <v>6.8640580744490087E-3</v>
      </c>
      <c r="AL117" s="143">
        <f t="shared" si="74"/>
        <v>1.5059298189482904</v>
      </c>
      <c r="AM117" s="143">
        <f>BBG_GBP!AA117</f>
        <v>1.5035366130000001</v>
      </c>
      <c r="AN117" s="151">
        <f t="shared" si="75"/>
        <v>0.99841081176680491</v>
      </c>
      <c r="AO117" s="147"/>
    </row>
    <row r="118" spans="1:41" x14ac:dyDescent="0.25">
      <c r="A118" s="38">
        <v>54606</v>
      </c>
      <c r="B118" s="22">
        <v>2.4931506849234999E-5</v>
      </c>
      <c r="C118" s="22">
        <v>5.90505259171481E-4</v>
      </c>
      <c r="D118" s="22">
        <v>0.95170013262995801</v>
      </c>
      <c r="E118" s="22">
        <v>2.4322106196452602E-3</v>
      </c>
      <c r="F118" s="32">
        <v>0.81759673252374698</v>
      </c>
      <c r="G118" s="5">
        <f t="shared" si="63"/>
        <v>29.422222222222221</v>
      </c>
      <c r="H118" s="5">
        <f t="shared" si="85"/>
        <v>1.8428705744606054E-4</v>
      </c>
      <c r="I118" s="5">
        <f t="shared" si="66"/>
        <v>0.99459303533579635</v>
      </c>
      <c r="J118" s="32">
        <f t="shared" si="64"/>
        <v>1.5085613408858594</v>
      </c>
      <c r="K118" s="22" t="s">
        <v>458</v>
      </c>
      <c r="L118" s="40">
        <f t="shared" si="86"/>
        <v>-5.875</v>
      </c>
      <c r="M118" s="96">
        <v>54606</v>
      </c>
      <c r="N118" s="99">
        <f t="shared" si="76"/>
        <v>54515</v>
      </c>
      <c r="O118" s="38">
        <f t="shared" si="77"/>
        <v>54606</v>
      </c>
      <c r="P118" s="88">
        <f t="shared" si="78"/>
        <v>91</v>
      </c>
      <c r="Q118" s="45">
        <v>10000000</v>
      </c>
      <c r="R118" s="105">
        <f t="shared" si="68"/>
        <v>2.3360647615575073E-3</v>
      </c>
      <c r="S118" s="45">
        <f t="shared" si="79"/>
        <v>5905.0525917148098</v>
      </c>
      <c r="T118" s="45">
        <f t="shared" si="80"/>
        <v>249.31506849234998</v>
      </c>
      <c r="V118" s="61">
        <f t="shared" si="69"/>
        <v>-15059298.189482903</v>
      </c>
      <c r="W118" s="47">
        <f t="shared" si="70"/>
        <v>-15085613.408858594</v>
      </c>
      <c r="X118" s="107">
        <f t="shared" si="71"/>
        <v>9.6219321216735564E-3</v>
      </c>
      <c r="Y118" s="47">
        <f t="shared" si="72"/>
        <v>-36627.384980864954</v>
      </c>
      <c r="Z118" s="47">
        <f t="shared" si="73"/>
        <v>26315.219375690445</v>
      </c>
      <c r="AC118" s="122">
        <f t="shared" si="81"/>
        <v>29.422222222222221</v>
      </c>
      <c r="AD118" s="113">
        <f>BBG_GBP!V118/100</f>
        <v>2.2921E-3</v>
      </c>
      <c r="AE118" s="113">
        <f>BBG_EUR!J118/100</f>
        <v>9.6246999999999999E-3</v>
      </c>
      <c r="AF118" s="116">
        <f>BBG_GBP!X118</f>
        <v>1.006715</v>
      </c>
      <c r="AG118" s="116">
        <f>BBG_EUR!L118</f>
        <v>0.82864199999999999</v>
      </c>
      <c r="AH118" s="112">
        <f t="shared" si="82"/>
        <v>-2.2744011835607036E-4</v>
      </c>
      <c r="AI118" s="112">
        <f t="shared" si="82"/>
        <v>6.4090593144368047E-3</v>
      </c>
      <c r="AJ118" s="112">
        <f t="shared" si="83"/>
        <v>1.842870574459976E-4</v>
      </c>
      <c r="AK118" s="112">
        <f t="shared" si="84"/>
        <v>6.8681706773445761E-3</v>
      </c>
      <c r="AL118" s="143">
        <f t="shared" si="74"/>
        <v>1.5085613408858594</v>
      </c>
      <c r="AM118" s="143">
        <f>BBG_GBP!AA118</f>
        <v>1.5065285400000001</v>
      </c>
      <c r="AN118" s="151">
        <f t="shared" si="75"/>
        <v>0.99865249040210358</v>
      </c>
      <c r="AO118" s="147"/>
    </row>
    <row r="119" spans="1:41" x14ac:dyDescent="0.25">
      <c r="A119" s="38">
        <v>54700</v>
      </c>
      <c r="B119" s="22">
        <v>2.5753424657493E-5</v>
      </c>
      <c r="C119" s="22">
        <v>6.0997840161802698E-4</v>
      </c>
      <c r="D119" s="22">
        <v>0.95151048675236405</v>
      </c>
      <c r="E119" s="22">
        <v>2.5124940337783999E-3</v>
      </c>
      <c r="F119" s="32">
        <v>0.81603637053590194</v>
      </c>
      <c r="G119" s="5">
        <f t="shared" si="63"/>
        <v>29.683333333333334</v>
      </c>
      <c r="H119" s="5">
        <f t="shared" si="85"/>
        <v>1.8630014045284025E-4</v>
      </c>
      <c r="I119" s="5">
        <f t="shared" si="66"/>
        <v>0.9944857654014847</v>
      </c>
      <c r="J119" s="32">
        <f t="shared" si="64"/>
        <v>1.511282881747638</v>
      </c>
      <c r="K119" s="22" t="s">
        <v>458</v>
      </c>
      <c r="L119" s="40">
        <f t="shared" si="86"/>
        <v>-5.875</v>
      </c>
      <c r="M119" s="96">
        <v>54700</v>
      </c>
      <c r="N119" s="99">
        <f t="shared" si="76"/>
        <v>54606</v>
      </c>
      <c r="O119" s="38">
        <f t="shared" si="77"/>
        <v>54700</v>
      </c>
      <c r="P119" s="88">
        <f t="shared" si="78"/>
        <v>94</v>
      </c>
      <c r="Q119" s="45">
        <v>10000000</v>
      </c>
      <c r="R119" s="105">
        <f t="shared" si="68"/>
        <v>2.3360874955584013E-3</v>
      </c>
      <c r="S119" s="45">
        <f t="shared" si="79"/>
        <v>6099.7840161802696</v>
      </c>
      <c r="T119" s="45">
        <f t="shared" si="80"/>
        <v>257.53424657493002</v>
      </c>
      <c r="V119" s="61">
        <f t="shared" si="69"/>
        <v>-15085613.408858594</v>
      </c>
      <c r="W119" s="47">
        <f t="shared" si="70"/>
        <v>-15112828.817476381</v>
      </c>
      <c r="X119" s="107">
        <f t="shared" si="71"/>
        <v>9.6223175761725958E-3</v>
      </c>
      <c r="Y119" s="47">
        <f t="shared" si="72"/>
        <v>-37902.513685644648</v>
      </c>
      <c r="Z119" s="47">
        <f t="shared" si="73"/>
        <v>27215.408617787063</v>
      </c>
      <c r="AC119" s="122">
        <f t="shared" si="81"/>
        <v>29.683333333333334</v>
      </c>
      <c r="AD119" s="113">
        <f>BBG_GBP!V119/100</f>
        <v>2.2781999999999998E-3</v>
      </c>
      <c r="AE119" s="113">
        <f>BBG_EUR!J119/100</f>
        <v>9.6296999999999997E-3</v>
      </c>
      <c r="AF119" s="116">
        <f>BBG_GBP!X119</f>
        <v>1.007015</v>
      </c>
      <c r="AG119" s="116">
        <f>BBG_EUR!L119</f>
        <v>0.827183</v>
      </c>
      <c r="AH119" s="112">
        <f t="shared" si="82"/>
        <v>-2.3547511322552506E-4</v>
      </c>
      <c r="AI119" s="112">
        <f t="shared" si="82"/>
        <v>6.4122506912174249E-3</v>
      </c>
      <c r="AJ119" s="112">
        <f t="shared" si="83"/>
        <v>1.8630014045273313E-4</v>
      </c>
      <c r="AK119" s="112">
        <f t="shared" si="84"/>
        <v>6.8723453316101857E-3</v>
      </c>
      <c r="AL119" s="143">
        <f t="shared" si="74"/>
        <v>1.511282881747638</v>
      </c>
      <c r="AM119" s="143">
        <f>BBG_GBP!AA119</f>
        <v>1.509568893</v>
      </c>
      <c r="AN119" s="151">
        <f t="shared" si="75"/>
        <v>0.99886587165888097</v>
      </c>
      <c r="AO119" s="147"/>
    </row>
    <row r="120" spans="1:41" x14ac:dyDescent="0.25">
      <c r="A120" s="38">
        <v>54792</v>
      </c>
      <c r="B120" s="22">
        <v>2.5205479452061701E-5</v>
      </c>
      <c r="C120" s="22">
        <v>5.9699626454512401E-4</v>
      </c>
      <c r="D120" s="22">
        <v>0.95132491248680795</v>
      </c>
      <c r="E120" s="22">
        <v>2.4589710433004998E-3</v>
      </c>
      <c r="F120" s="32">
        <v>0.81451209132275104</v>
      </c>
      <c r="G120" s="5">
        <f t="shared" si="63"/>
        <v>29.93888888888889</v>
      </c>
      <c r="H120" s="5">
        <f t="shared" si="85"/>
        <v>1.8827039190628418E-4</v>
      </c>
      <c r="I120" s="5">
        <f t="shared" si="66"/>
        <v>0.9943797770707028</v>
      </c>
      <c r="J120" s="32">
        <f t="shared" si="64"/>
        <v>1.5139497309890146</v>
      </c>
      <c r="K120" s="22" t="s">
        <v>458</v>
      </c>
      <c r="L120" s="40">
        <f t="shared" si="86"/>
        <v>-5.875</v>
      </c>
      <c r="M120" s="96">
        <v>54792</v>
      </c>
      <c r="N120" s="99">
        <f t="shared" si="76"/>
        <v>54700</v>
      </c>
      <c r="O120" s="38">
        <f t="shared" si="77"/>
        <v>54792</v>
      </c>
      <c r="P120" s="88">
        <f t="shared" si="78"/>
        <v>92</v>
      </c>
      <c r="Q120" s="45">
        <v>10000000</v>
      </c>
      <c r="R120" s="105">
        <f t="shared" si="68"/>
        <v>2.3360723395243984E-3</v>
      </c>
      <c r="S120" s="45">
        <f t="shared" si="79"/>
        <v>5969.96264545124</v>
      </c>
      <c r="T120" s="45">
        <f t="shared" si="80"/>
        <v>252.05479452061701</v>
      </c>
      <c r="V120" s="61">
        <f t="shared" si="69"/>
        <v>-15112828.817476381</v>
      </c>
      <c r="W120" s="47">
        <f t="shared" si="70"/>
        <v>-15139497.309890147</v>
      </c>
      <c r="X120" s="107">
        <f t="shared" si="71"/>
        <v>9.6220606042193464E-3</v>
      </c>
      <c r="Y120" s="47">
        <f t="shared" si="72"/>
        <v>-37162.008444531755</v>
      </c>
      <c r="Z120" s="47">
        <f t="shared" si="73"/>
        <v>26668.492413766682</v>
      </c>
      <c r="AC120" s="122">
        <f t="shared" si="81"/>
        <v>29.93888888888889</v>
      </c>
      <c r="AD120" s="113">
        <f>BBG_GBP!V120/100</f>
        <v>2.2642000000000001E-3</v>
      </c>
      <c r="AE120" s="113">
        <f>BBG_EUR!J120/100</f>
        <v>9.6340000000000002E-3</v>
      </c>
      <c r="AF120" s="116">
        <f>BBG_GBP!X120</f>
        <v>1.0073129999999999</v>
      </c>
      <c r="AG120" s="116">
        <f>BBG_EUR!L120</f>
        <v>0.82575600000000005</v>
      </c>
      <c r="AH120" s="112">
        <f t="shared" si="82"/>
        <v>-2.4334580704910014E-4</v>
      </c>
      <c r="AI120" s="112">
        <f t="shared" si="82"/>
        <v>6.4153825599628789E-3</v>
      </c>
      <c r="AJ120" s="112">
        <f t="shared" si="83"/>
        <v>1.8827039190627559E-4</v>
      </c>
      <c r="AK120" s="112">
        <f t="shared" si="84"/>
        <v>6.8763606690385171E-3</v>
      </c>
      <c r="AL120" s="143">
        <f t="shared" si="74"/>
        <v>1.5139497309890146</v>
      </c>
      <c r="AM120" s="143">
        <f>BBG_GBP!AA120</f>
        <v>1.5125916800000001</v>
      </c>
      <c r="AN120" s="151">
        <f t="shared" si="75"/>
        <v>0.9991029748470398</v>
      </c>
      <c r="AO120" s="147"/>
    </row>
    <row r="121" spans="1:41" x14ac:dyDescent="0.25">
      <c r="A121" s="38">
        <v>54882</v>
      </c>
      <c r="B121" s="22">
        <v>2.4657534246630399E-5</v>
      </c>
      <c r="C121" s="22">
        <v>5.8401429590570998E-4</v>
      </c>
      <c r="D121" s="22">
        <v>0.951143407465597</v>
      </c>
      <c r="E121" s="22">
        <v>2.4054509103539302E-3</v>
      </c>
      <c r="F121" s="32">
        <v>0.81302370369076205</v>
      </c>
      <c r="G121" s="5">
        <f t="shared" si="63"/>
        <v>30.18888888888889</v>
      </c>
      <c r="H121" s="5">
        <f t="shared" si="85"/>
        <v>1.9019781180639239E-4</v>
      </c>
      <c r="I121" s="5">
        <f t="shared" si="66"/>
        <v>0.9942751352184408</v>
      </c>
      <c r="J121" s="32">
        <f t="shared" si="64"/>
        <v>1.5165616815193947</v>
      </c>
      <c r="K121" s="22" t="s">
        <v>458</v>
      </c>
      <c r="L121" s="40">
        <f t="shared" si="86"/>
        <v>-5.875</v>
      </c>
      <c r="M121" s="96">
        <v>54882</v>
      </c>
      <c r="N121" s="99">
        <f t="shared" si="76"/>
        <v>54792</v>
      </c>
      <c r="O121" s="38">
        <f t="shared" si="77"/>
        <v>54882</v>
      </c>
      <c r="P121" s="88">
        <f t="shared" si="78"/>
        <v>90</v>
      </c>
      <c r="Q121" s="45">
        <v>10000000</v>
      </c>
      <c r="R121" s="105">
        <f t="shared" si="68"/>
        <v>2.3360571836228399E-3</v>
      </c>
      <c r="S121" s="45">
        <f t="shared" si="79"/>
        <v>5840.1429590570997</v>
      </c>
      <c r="T121" s="45">
        <f t="shared" si="80"/>
        <v>246.57534246630399</v>
      </c>
      <c r="V121" s="61">
        <f t="shared" si="69"/>
        <v>-15139497.309890147</v>
      </c>
      <c r="W121" s="47">
        <f t="shared" si="70"/>
        <v>-15165616.815193947</v>
      </c>
      <c r="X121" s="107">
        <f t="shared" si="71"/>
        <v>9.6218036414157208E-3</v>
      </c>
      <c r="Y121" s="47">
        <f t="shared" si="72"/>
        <v>-36417.317586376135</v>
      </c>
      <c r="Z121" s="47">
        <f t="shared" si="73"/>
        <v>26119.505303800106</v>
      </c>
      <c r="AC121" s="122">
        <f t="shared" si="81"/>
        <v>30.18888888888889</v>
      </c>
      <c r="AD121" s="113">
        <f>BBG_GBP!V121/100</f>
        <v>2.2504999999999999E-3</v>
      </c>
      <c r="AE121" s="113">
        <f>BBG_EUR!J121/100</f>
        <v>9.6381000000000001E-3</v>
      </c>
      <c r="AF121" s="116">
        <f>BBG_GBP!X121</f>
        <v>1.007611</v>
      </c>
      <c r="AG121" s="116">
        <f>BBG_EUR!L121</f>
        <v>0.82436200000000004</v>
      </c>
      <c r="AH121" s="112">
        <f t="shared" si="82"/>
        <v>-2.5112651253333951E-4</v>
      </c>
      <c r="AI121" s="112">
        <f t="shared" si="82"/>
        <v>6.4184113777485674E-3</v>
      </c>
      <c r="AJ121" s="112">
        <f t="shared" si="83"/>
        <v>1.9019781180640294E-4</v>
      </c>
      <c r="AK121" s="112">
        <f t="shared" si="84"/>
        <v>6.8802229509321577E-3</v>
      </c>
      <c r="AL121" s="143">
        <f t="shared" si="74"/>
        <v>1.5165616815193947</v>
      </c>
      <c r="AM121" s="143">
        <f>BBG_GBP!AA121</f>
        <v>1.5156299689999999</v>
      </c>
      <c r="AN121" s="151">
        <f t="shared" si="75"/>
        <v>0.99938564152665299</v>
      </c>
      <c r="AO121" s="147"/>
    </row>
    <row r="122" spans="1:41" x14ac:dyDescent="0.25">
      <c r="A122" s="39">
        <v>54974</v>
      </c>
      <c r="B122" s="11">
        <v>2.5205479452061701E-5</v>
      </c>
      <c r="C122" s="11">
        <v>5.8253454791223902E-4</v>
      </c>
      <c r="D122" s="11">
        <v>0.95096873618394895</v>
      </c>
      <c r="E122" s="11">
        <v>2.4527578650472802E-3</v>
      </c>
      <c r="F122" s="33">
        <v>0.81150505185601496</v>
      </c>
      <c r="G122" s="11">
        <f t="shared" si="63"/>
        <v>30.444444444444443</v>
      </c>
      <c r="H122" s="11">
        <f t="shared" si="85"/>
        <v>1.9216806325983633E-4</v>
      </c>
      <c r="I122" s="11">
        <f t="shared" si="66"/>
        <v>0.99416718941462101</v>
      </c>
      <c r="J122" s="33">
        <f t="shared" si="64"/>
        <v>1.5192348202557076</v>
      </c>
      <c r="K122" s="11" t="s">
        <v>458</v>
      </c>
      <c r="L122" s="41">
        <f t="shared" si="86"/>
        <v>-5.875</v>
      </c>
      <c r="M122" s="95">
        <v>54974</v>
      </c>
      <c r="N122" s="9">
        <f t="shared" si="76"/>
        <v>54882</v>
      </c>
      <c r="O122" s="39">
        <f t="shared" si="77"/>
        <v>54974</v>
      </c>
      <c r="P122" s="87">
        <f t="shared" si="78"/>
        <v>92</v>
      </c>
      <c r="Q122" s="46">
        <v>10000000</v>
      </c>
      <c r="R122" s="106">
        <f t="shared" si="68"/>
        <v>2.2794830135696308E-3</v>
      </c>
      <c r="S122" s="46">
        <f t="shared" si="79"/>
        <v>5825.3454791223903</v>
      </c>
      <c r="T122" s="46">
        <f t="shared" si="80"/>
        <v>252.05479452061701</v>
      </c>
      <c r="U122" s="50">
        <f>Q122</f>
        <v>10000000</v>
      </c>
      <c r="V122" s="62">
        <f t="shared" si="69"/>
        <v>-15165616.815193947</v>
      </c>
      <c r="W122" s="46">
        <f t="shared" si="70"/>
        <v>-15192348.202557076</v>
      </c>
      <c r="X122" s="106">
        <f t="shared" si="71"/>
        <v>9.5977481675763136E-3</v>
      </c>
      <c r="Y122" s="46">
        <f t="shared" si="72"/>
        <v>-37197.585921760241</v>
      </c>
      <c r="Z122" s="46">
        <f t="shared" si="73"/>
        <v>26731.387363128364</v>
      </c>
      <c r="AA122" s="50">
        <f>W122</f>
        <v>-15192348.202557076</v>
      </c>
      <c r="AC122" s="122">
        <f t="shared" si="81"/>
        <v>30.444444444444443</v>
      </c>
      <c r="AD122" s="113">
        <f>BBG_GBP!V122/100</f>
        <v>2.2098999999999999E-3</v>
      </c>
      <c r="AE122" s="113">
        <f>BBG_EUR!J122/100</f>
        <v>9.6425999999999994E-3</v>
      </c>
      <c r="AF122" s="116">
        <f>BBG_GBP!X122</f>
        <v>1.0079199999999999</v>
      </c>
      <c r="AG122" s="116">
        <f>BBG_EUR!L122</f>
        <v>0.82293799999999995</v>
      </c>
      <c r="AH122" s="112">
        <f t="shared" si="82"/>
        <v>-2.590876455309532E-4</v>
      </c>
      <c r="AI122" s="112">
        <f t="shared" si="82"/>
        <v>6.42151452550066E-3</v>
      </c>
      <c r="AJ122" s="112">
        <f t="shared" si="83"/>
        <v>1.921680632599454E-4</v>
      </c>
      <c r="AK122" s="112">
        <f t="shared" si="84"/>
        <v>6.8841055145574259E-3</v>
      </c>
      <c r="AL122" s="143">
        <f t="shared" si="74"/>
        <v>1.5192348202557076</v>
      </c>
      <c r="AM122" s="143">
        <f>BBG_GBP!AA122</f>
        <v>0</v>
      </c>
      <c r="AN122" s="151">
        <f t="shared" si="75"/>
        <v>0</v>
      </c>
      <c r="AO122" s="147"/>
    </row>
    <row r="123" spans="1:41" x14ac:dyDescent="0.25">
      <c r="A123" s="38">
        <v>55064</v>
      </c>
      <c r="B123" s="22">
        <v>2.4657534246630399E-5</v>
      </c>
      <c r="C123" s="22">
        <v>3.2373875048308199E-4</v>
      </c>
      <c r="D123" s="22">
        <v>0.95098224806967802</v>
      </c>
      <c r="E123" s="22">
        <v>1.8464489136962301E-3</v>
      </c>
      <c r="F123" s="32">
        <v>0.81041803497931197</v>
      </c>
      <c r="G123" s="5">
        <f t="shared" si="63"/>
        <v>30.694444444444443</v>
      </c>
      <c r="H123" s="5">
        <f t="shared" si="85"/>
        <v>1.9027920550445936E-4</v>
      </c>
      <c r="I123" s="5">
        <f t="shared" si="66"/>
        <v>0.99417706050448262</v>
      </c>
      <c r="J123" s="32">
        <f t="shared" si="64"/>
        <v>1.5212876805771991</v>
      </c>
      <c r="K123" s="22" t="s">
        <v>459</v>
      </c>
      <c r="L123" s="40">
        <f t="shared" si="86"/>
        <v>-2.875</v>
      </c>
      <c r="M123" s="96">
        <v>55064</v>
      </c>
      <c r="N123" s="99">
        <f t="shared" si="76"/>
        <v>54974</v>
      </c>
      <c r="O123" s="38">
        <f t="shared" si="77"/>
        <v>55064</v>
      </c>
      <c r="P123" s="88">
        <f t="shared" si="78"/>
        <v>90</v>
      </c>
      <c r="Q123" s="45">
        <v>10000000</v>
      </c>
      <c r="R123" s="105">
        <f t="shared" si="68"/>
        <v>1.294955001932328E-3</v>
      </c>
      <c r="S123" s="45">
        <f t="shared" si="79"/>
        <v>3237.38750483082</v>
      </c>
      <c r="T123" s="45">
        <f t="shared" si="80"/>
        <v>246.57534246630399</v>
      </c>
      <c r="V123" s="61">
        <f t="shared" si="69"/>
        <v>-15192348.202557076</v>
      </c>
      <c r="W123" s="47">
        <f t="shared" si="70"/>
        <v>-15212876.805771992</v>
      </c>
      <c r="X123" s="107">
        <f t="shared" si="71"/>
        <v>7.3857956547849204E-3</v>
      </c>
      <c r="Y123" s="47">
        <f t="shared" si="72"/>
        <v>-28051.894835106388</v>
      </c>
      <c r="Z123" s="47">
        <f t="shared" si="73"/>
        <v>20528.603214915842</v>
      </c>
      <c r="AN123" s="51"/>
      <c r="AO123" s="42"/>
    </row>
    <row r="124" spans="1:41" x14ac:dyDescent="0.25">
      <c r="A124" s="38">
        <v>55156</v>
      </c>
      <c r="B124" s="22">
        <v>2.5205479452061701E-5</v>
      </c>
      <c r="C124" s="22">
        <v>3.3093413521090298E-4</v>
      </c>
      <c r="D124" s="22">
        <v>0.95099606041796603</v>
      </c>
      <c r="E124" s="22">
        <v>1.8875198122449901E-3</v>
      </c>
      <c r="F124" s="32">
        <v>0.80930836711912202</v>
      </c>
      <c r="G124" s="5">
        <f t="shared" si="63"/>
        <v>30.95</v>
      </c>
      <c r="H124" s="5">
        <f t="shared" si="85"/>
        <v>1.8834837313229627E-4</v>
      </c>
      <c r="I124" s="5">
        <f t="shared" si="66"/>
        <v>0.9941881214504118</v>
      </c>
      <c r="J124" s="32">
        <f t="shared" si="64"/>
        <v>1.5233905140501114</v>
      </c>
      <c r="K124" s="22" t="s">
        <v>459</v>
      </c>
      <c r="L124" s="40">
        <f t="shared" si="86"/>
        <v>-2.875</v>
      </c>
      <c r="M124" s="96">
        <v>55156</v>
      </c>
      <c r="N124" s="99">
        <f t="shared" si="76"/>
        <v>55064</v>
      </c>
      <c r="O124" s="38">
        <f t="shared" si="77"/>
        <v>55156</v>
      </c>
      <c r="P124" s="88">
        <f t="shared" si="78"/>
        <v>92</v>
      </c>
      <c r="Q124" s="45">
        <v>10000000</v>
      </c>
      <c r="R124" s="105">
        <f t="shared" si="68"/>
        <v>1.2949596595209247E-3</v>
      </c>
      <c r="S124" s="45">
        <f t="shared" si="79"/>
        <v>3309.3413521090297</v>
      </c>
      <c r="T124" s="45">
        <f t="shared" si="80"/>
        <v>252.05479452061701</v>
      </c>
      <c r="V124" s="61">
        <f t="shared" si="69"/>
        <v>-15212876.805771992</v>
      </c>
      <c r="W124" s="47">
        <f t="shared" si="70"/>
        <v>-15233905.140501114</v>
      </c>
      <c r="X124" s="107">
        <f t="shared" si="71"/>
        <v>7.3859470913934392E-3</v>
      </c>
      <c r="Y124" s="47">
        <f t="shared" si="72"/>
        <v>-28714.606372136914</v>
      </c>
      <c r="Z124" s="47">
        <f t="shared" si="73"/>
        <v>21028.334729121998</v>
      </c>
      <c r="AN124" s="51"/>
      <c r="AO124" s="42"/>
    </row>
    <row r="125" spans="1:41" x14ac:dyDescent="0.25">
      <c r="A125" s="38">
        <v>55247</v>
      </c>
      <c r="B125" s="22">
        <v>2.4931506849234999E-5</v>
      </c>
      <c r="C125" s="22">
        <v>3.2733643637739002E-4</v>
      </c>
      <c r="D125" s="22">
        <v>0.951009722829389</v>
      </c>
      <c r="E125" s="22">
        <v>1.86698415251118E-3</v>
      </c>
      <c r="F125" s="32">
        <v>0.80821225560696197</v>
      </c>
      <c r="G125" s="5">
        <f t="shared" si="63"/>
        <v>31.202777777777779</v>
      </c>
      <c r="H125" s="5">
        <f t="shared" si="85"/>
        <v>1.864385280685262E-4</v>
      </c>
      <c r="I125" s="5">
        <f t="shared" si="66"/>
        <v>0.9942000274273689</v>
      </c>
      <c r="J125" s="32">
        <f t="shared" si="64"/>
        <v>1.5254748309734241</v>
      </c>
      <c r="K125" s="22" t="s">
        <v>459</v>
      </c>
      <c r="L125" s="40">
        <f t="shared" si="86"/>
        <v>-2.875</v>
      </c>
      <c r="M125" s="96">
        <v>55247</v>
      </c>
      <c r="N125" s="99">
        <f t="shared" si="76"/>
        <v>55156</v>
      </c>
      <c r="O125" s="38">
        <f t="shared" si="77"/>
        <v>55247</v>
      </c>
      <c r="P125" s="88">
        <f t="shared" si="78"/>
        <v>91</v>
      </c>
      <c r="Q125" s="45">
        <v>10000000</v>
      </c>
      <c r="R125" s="105">
        <f t="shared" si="68"/>
        <v>1.2949573307237407E-3</v>
      </c>
      <c r="S125" s="45">
        <f t="shared" si="79"/>
        <v>3273.3643637739001</v>
      </c>
      <c r="T125" s="45">
        <f t="shared" si="80"/>
        <v>249.31506849234998</v>
      </c>
      <c r="V125" s="61">
        <f t="shared" si="69"/>
        <v>-15233905.140501114</v>
      </c>
      <c r="W125" s="47">
        <f t="shared" si="70"/>
        <v>-15254748.30973424</v>
      </c>
      <c r="X125" s="107">
        <f t="shared" si="71"/>
        <v>7.3858713725717014E-3</v>
      </c>
      <c r="Y125" s="47">
        <f t="shared" si="72"/>
        <v>-28441.45947817418</v>
      </c>
      <c r="Z125" s="47">
        <f t="shared" si="73"/>
        <v>20843.169233126566</v>
      </c>
      <c r="AN125" s="51"/>
      <c r="AO125" s="42"/>
    </row>
    <row r="126" spans="1:41" x14ac:dyDescent="0.25">
      <c r="A126" s="38">
        <v>55337</v>
      </c>
      <c r="B126" s="22">
        <v>2.4657534246630399E-5</v>
      </c>
      <c r="C126" s="22">
        <v>3.2373875048308199E-4</v>
      </c>
      <c r="D126" s="22">
        <v>0.95102323529748001</v>
      </c>
      <c r="E126" s="22">
        <v>1.84644891369645E-3</v>
      </c>
      <c r="F126" s="32">
        <v>0.80712964945461196</v>
      </c>
      <c r="G126" s="5">
        <f t="shared" si="63"/>
        <v>31.452777777777779</v>
      </c>
      <c r="H126" s="5">
        <f t="shared" si="85"/>
        <v>1.8454967031314925E-4</v>
      </c>
      <c r="I126" s="5">
        <f t="shared" si="66"/>
        <v>0.99421274682414373</v>
      </c>
      <c r="J126" s="32">
        <f t="shared" si="64"/>
        <v>1.5275404988154293</v>
      </c>
      <c r="K126" s="22" t="s">
        <v>459</v>
      </c>
      <c r="L126" s="40">
        <f t="shared" si="86"/>
        <v>-2.875</v>
      </c>
      <c r="M126" s="96">
        <v>55337</v>
      </c>
      <c r="N126" s="99">
        <f t="shared" si="76"/>
        <v>55247</v>
      </c>
      <c r="O126" s="38">
        <f t="shared" si="77"/>
        <v>55337</v>
      </c>
      <c r="P126" s="88">
        <f t="shared" si="78"/>
        <v>90</v>
      </c>
      <c r="Q126" s="45">
        <v>10000000</v>
      </c>
      <c r="R126" s="105">
        <f t="shared" si="68"/>
        <v>1.294955001932328E-3</v>
      </c>
      <c r="S126" s="45">
        <f t="shared" si="79"/>
        <v>3237.38750483082</v>
      </c>
      <c r="T126" s="45">
        <f t="shared" si="80"/>
        <v>246.57534246630399</v>
      </c>
      <c r="V126" s="61">
        <f t="shared" si="69"/>
        <v>-15254748.30973424</v>
      </c>
      <c r="W126" s="47">
        <f t="shared" si="70"/>
        <v>-15275404.988154294</v>
      </c>
      <c r="X126" s="107">
        <f t="shared" si="71"/>
        <v>7.3857956547857999E-3</v>
      </c>
      <c r="Y126" s="47">
        <f t="shared" si="72"/>
        <v>-28167.113445221545</v>
      </c>
      <c r="Z126" s="47">
        <f t="shared" si="73"/>
        <v>20656.678420053795</v>
      </c>
      <c r="AN126" s="51"/>
      <c r="AO126" s="42"/>
    </row>
    <row r="127" spans="1:41" x14ac:dyDescent="0.25">
      <c r="A127" s="38">
        <v>55428</v>
      </c>
      <c r="B127" s="22">
        <v>2.4931506849234999E-5</v>
      </c>
      <c r="C127" s="22">
        <v>3.2733643637739002E-4</v>
      </c>
      <c r="D127" s="22">
        <v>0.95103689809930902</v>
      </c>
      <c r="E127" s="22">
        <v>1.86698415251118E-3</v>
      </c>
      <c r="F127" s="32">
        <v>0.806036488755283</v>
      </c>
      <c r="G127" s="5">
        <f t="shared" si="63"/>
        <v>31.705555555555556</v>
      </c>
      <c r="H127" s="5">
        <f t="shared" si="85"/>
        <v>1.8263982524937923E-4</v>
      </c>
      <c r="I127" s="5">
        <f t="shared" si="66"/>
        <v>0.99422656233363726</v>
      </c>
      <c r="J127" s="32">
        <f t="shared" si="64"/>
        <v>1.5296334311786608</v>
      </c>
      <c r="K127" s="22" t="s">
        <v>459</v>
      </c>
      <c r="L127" s="40">
        <f t="shared" si="86"/>
        <v>-2.875</v>
      </c>
      <c r="M127" s="96">
        <v>55428</v>
      </c>
      <c r="N127" s="99">
        <f t="shared" si="76"/>
        <v>55337</v>
      </c>
      <c r="O127" s="38">
        <f t="shared" si="77"/>
        <v>55428</v>
      </c>
      <c r="P127" s="88">
        <f t="shared" si="78"/>
        <v>91</v>
      </c>
      <c r="Q127" s="45">
        <v>10000000</v>
      </c>
      <c r="R127" s="105">
        <f t="shared" si="68"/>
        <v>1.2949573307237407E-3</v>
      </c>
      <c r="S127" s="45">
        <f t="shared" si="79"/>
        <v>3273.3643637739001</v>
      </c>
      <c r="T127" s="45">
        <f t="shared" si="80"/>
        <v>249.31506849234998</v>
      </c>
      <c r="V127" s="61">
        <f t="shared" si="69"/>
        <v>-15275404.988154294</v>
      </c>
      <c r="W127" s="47">
        <f t="shared" si="70"/>
        <v>-15296334.311786609</v>
      </c>
      <c r="X127" s="107">
        <f t="shared" si="71"/>
        <v>7.3858713725717014E-3</v>
      </c>
      <c r="Y127" s="47">
        <f t="shared" si="72"/>
        <v>-28518.939036074298</v>
      </c>
      <c r="Z127" s="47">
        <f t="shared" si="73"/>
        <v>20929.323632314801</v>
      </c>
      <c r="AN127" s="51"/>
      <c r="AO127" s="42"/>
    </row>
    <row r="128" spans="1:41" x14ac:dyDescent="0.25">
      <c r="A128" s="38">
        <v>55520</v>
      </c>
      <c r="B128" s="22">
        <v>2.5205479452061701E-5</v>
      </c>
      <c r="C128" s="22">
        <v>3.3093413521068001E-4</v>
      </c>
      <c r="D128" s="22">
        <v>0.95105071124134999</v>
      </c>
      <c r="E128" s="22">
        <v>1.8875198122452099E-3</v>
      </c>
      <c r="F128" s="32">
        <v>0.80493282034329505</v>
      </c>
      <c r="G128" s="5">
        <f t="shared" si="63"/>
        <v>31.961111111111112</v>
      </c>
      <c r="H128" s="5">
        <f t="shared" si="85"/>
        <v>1.8070899287721612E-4</v>
      </c>
      <c r="I128" s="5">
        <f t="shared" si="66"/>
        <v>0.99424150564970026</v>
      </c>
      <c r="J128" s="32">
        <f t="shared" si="64"/>
        <v>1.5317537811793409</v>
      </c>
      <c r="K128" s="22" t="s">
        <v>459</v>
      </c>
      <c r="L128" s="40">
        <f t="shared" si="86"/>
        <v>-2.875</v>
      </c>
      <c r="M128" s="96">
        <v>55520</v>
      </c>
      <c r="N128" s="99">
        <f t="shared" si="76"/>
        <v>55428</v>
      </c>
      <c r="O128" s="38">
        <f t="shared" si="77"/>
        <v>55520</v>
      </c>
      <c r="P128" s="88">
        <f t="shared" si="78"/>
        <v>92</v>
      </c>
      <c r="Q128" s="45">
        <v>10000000</v>
      </c>
      <c r="R128" s="105">
        <f t="shared" si="68"/>
        <v>1.2949596595200521E-3</v>
      </c>
      <c r="S128" s="45">
        <f t="shared" si="79"/>
        <v>3309.3413521068001</v>
      </c>
      <c r="T128" s="45">
        <f t="shared" si="80"/>
        <v>252.05479452061701</v>
      </c>
      <c r="V128" s="61">
        <f t="shared" si="69"/>
        <v>-15296334.311786609</v>
      </c>
      <c r="W128" s="47">
        <f t="shared" si="70"/>
        <v>-15317537.811793409</v>
      </c>
      <c r="X128" s="107">
        <f t="shared" si="71"/>
        <v>7.3859470913942996E-3</v>
      </c>
      <c r="Y128" s="47">
        <f t="shared" si="72"/>
        <v>-28872.134068223422</v>
      </c>
      <c r="Z128" s="47">
        <f t="shared" si="73"/>
        <v>21203.500006800517</v>
      </c>
      <c r="AN128" s="51"/>
      <c r="AO128" s="42"/>
    </row>
    <row r="129" spans="1:41" x14ac:dyDescent="0.25">
      <c r="A129" s="38">
        <v>55611</v>
      </c>
      <c r="B129" s="22">
        <v>2.4931506849234999E-5</v>
      </c>
      <c r="C129" s="22">
        <v>3.2733643637739002E-4</v>
      </c>
      <c r="D129" s="22">
        <v>0.95106437443791003</v>
      </c>
      <c r="E129" s="22">
        <v>1.86698415251118E-3</v>
      </c>
      <c r="F129" s="32">
        <v>0.80384263498658803</v>
      </c>
      <c r="G129" s="5">
        <f t="shared" si="63"/>
        <v>32.213888888888889</v>
      </c>
      <c r="H129" s="5">
        <f t="shared" si="85"/>
        <v>1.7879914781344607E-4</v>
      </c>
      <c r="I129" s="5">
        <f t="shared" si="66"/>
        <v>0.99425725196361514</v>
      </c>
      <c r="J129" s="32">
        <f t="shared" si="64"/>
        <v>1.5338554643604481</v>
      </c>
      <c r="K129" s="22" t="s">
        <v>459</v>
      </c>
      <c r="L129" s="40">
        <f t="shared" si="86"/>
        <v>-2.875</v>
      </c>
      <c r="M129" s="96">
        <v>55611</v>
      </c>
      <c r="N129" s="99">
        <f t="shared" si="76"/>
        <v>55520</v>
      </c>
      <c r="O129" s="38">
        <f t="shared" si="77"/>
        <v>55611</v>
      </c>
      <c r="P129" s="88">
        <f t="shared" si="78"/>
        <v>91</v>
      </c>
      <c r="Q129" s="45">
        <v>10000000</v>
      </c>
      <c r="R129" s="105">
        <f t="shared" si="68"/>
        <v>1.2949573307237407E-3</v>
      </c>
      <c r="S129" s="45">
        <f t="shared" si="79"/>
        <v>3273.3643637739001</v>
      </c>
      <c r="T129" s="45">
        <f t="shared" si="80"/>
        <v>249.31506849234998</v>
      </c>
      <c r="V129" s="61">
        <f t="shared" si="69"/>
        <v>-15317537.811793409</v>
      </c>
      <c r="W129" s="47">
        <f t="shared" si="70"/>
        <v>-15338554.64360448</v>
      </c>
      <c r="X129" s="107">
        <f t="shared" si="71"/>
        <v>7.3858713725717014E-3</v>
      </c>
      <c r="Y129" s="47">
        <f t="shared" si="72"/>
        <v>-28597.600350109074</v>
      </c>
      <c r="Z129" s="47">
        <f t="shared" si="73"/>
        <v>21016.831811070442</v>
      </c>
      <c r="AN129" s="51"/>
      <c r="AO129" s="42"/>
    </row>
    <row r="130" spans="1:41" x14ac:dyDescent="0.25">
      <c r="A130" s="38">
        <v>55702</v>
      </c>
      <c r="B130" s="22">
        <v>2.4931506849234999E-5</v>
      </c>
      <c r="C130" s="22">
        <v>3.2733643637739002E-4</v>
      </c>
      <c r="D130" s="22">
        <v>0.95107803783076095</v>
      </c>
      <c r="E130" s="22">
        <v>1.8669841525113999E-3</v>
      </c>
      <c r="F130" s="32">
        <v>0.80275392615572505</v>
      </c>
      <c r="G130" s="5">
        <f t="shared" ref="G130:G193" si="87">YEARFRAC($BH$2,$A130,2)</f>
        <v>32.466666666666669</v>
      </c>
      <c r="H130" s="5">
        <f t="shared" si="85"/>
        <v>1.7688930274967603E-4</v>
      </c>
      <c r="I130" s="5">
        <f t="shared" si="66"/>
        <v>0.9942739584757263</v>
      </c>
      <c r="J130" s="32">
        <f t="shared" ref="J130:J193" si="88">$BI$2*I130/F130</f>
        <v>1.535961514147189</v>
      </c>
      <c r="K130" s="22" t="s">
        <v>459</v>
      </c>
      <c r="L130" s="40">
        <f t="shared" si="86"/>
        <v>-2.875</v>
      </c>
      <c r="M130" s="96">
        <v>55702</v>
      </c>
      <c r="N130" s="99">
        <f t="shared" si="76"/>
        <v>55611</v>
      </c>
      <c r="O130" s="38">
        <f t="shared" si="77"/>
        <v>55702</v>
      </c>
      <c r="P130" s="88">
        <f t="shared" si="78"/>
        <v>91</v>
      </c>
      <c r="Q130" s="45">
        <v>10000000</v>
      </c>
      <c r="R130" s="105">
        <f t="shared" si="68"/>
        <v>1.2949573307237407E-3</v>
      </c>
      <c r="S130" s="45">
        <f t="shared" si="79"/>
        <v>3273.3643637739001</v>
      </c>
      <c r="T130" s="45">
        <f t="shared" si="80"/>
        <v>249.31506849234998</v>
      </c>
      <c r="V130" s="61">
        <f t="shared" si="69"/>
        <v>-15338554.64360448</v>
      </c>
      <c r="W130" s="47">
        <f t="shared" si="70"/>
        <v>-15359615.141471889</v>
      </c>
      <c r="X130" s="107">
        <f t="shared" si="71"/>
        <v>7.3858713725725713E-3</v>
      </c>
      <c r="Y130" s="47">
        <f t="shared" si="72"/>
        <v>-28636.838442039709</v>
      </c>
      <c r="Z130" s="47">
        <f t="shared" si="73"/>
        <v>21060.49786740914</v>
      </c>
      <c r="AN130" s="51"/>
      <c r="AO130" s="42"/>
    </row>
    <row r="131" spans="1:41" x14ac:dyDescent="0.25">
      <c r="A131" s="38">
        <v>55794</v>
      </c>
      <c r="B131" s="22">
        <v>2.5205479452061701E-5</v>
      </c>
      <c r="C131" s="22">
        <v>3.3093413521068001E-4</v>
      </c>
      <c r="D131" s="22">
        <v>0.95109185157032805</v>
      </c>
      <c r="E131" s="22">
        <v>1.8875198122449901E-3</v>
      </c>
      <c r="F131" s="32">
        <v>0.80165475240458905</v>
      </c>
      <c r="G131" s="5">
        <f t="shared" si="87"/>
        <v>32.722222222222221</v>
      </c>
      <c r="H131" s="5">
        <f t="shared" ref="H131:H162" si="89">RE_MATH_LinearInterpolation($BY$3:$BY$36,$CA$3:$CA$36,$G131)</f>
        <v>1.7495847037751297E-4</v>
      </c>
      <c r="I131" s="5">
        <f t="shared" ref="I131:I194" si="90">(1+H131)^-$G131</f>
        <v>0.99429182471167654</v>
      </c>
      <c r="J131" s="32">
        <f t="shared" si="88"/>
        <v>1.5380951564578933</v>
      </c>
      <c r="K131" s="22" t="s">
        <v>459</v>
      </c>
      <c r="L131" s="40">
        <f t="shared" ref="L131:L162" si="91">VLOOKUP($K131,$BG$21:$BI$36,3,FALSE)*10000</f>
        <v>-2.875</v>
      </c>
      <c r="M131" s="96">
        <v>55794</v>
      </c>
      <c r="N131" s="99">
        <f t="shared" si="76"/>
        <v>55702</v>
      </c>
      <c r="O131" s="38">
        <f t="shared" si="77"/>
        <v>55794</v>
      </c>
      <c r="P131" s="88">
        <f t="shared" si="78"/>
        <v>92</v>
      </c>
      <c r="Q131" s="45">
        <v>10000000</v>
      </c>
      <c r="R131" s="105">
        <f t="shared" ref="R131:R194" si="92">C131*360/P131</f>
        <v>1.2949596595200521E-3</v>
      </c>
      <c r="S131" s="45">
        <f t="shared" si="79"/>
        <v>3309.3413521068001</v>
      </c>
      <c r="T131" s="45">
        <f t="shared" si="80"/>
        <v>252.05479452061701</v>
      </c>
      <c r="V131" s="61">
        <f t="shared" ref="V131:V194" si="93">W130</f>
        <v>-15359615.141471889</v>
      </c>
      <c r="W131" s="47">
        <f t="shared" ref="W131:W194" si="94">-Q131*J131</f>
        <v>-15380951.564578934</v>
      </c>
      <c r="X131" s="107">
        <f t="shared" ref="X131:X194" si="95">E131*360/P131</f>
        <v>7.3859470913934392E-3</v>
      </c>
      <c r="Y131" s="47">
        <f t="shared" ref="Y131:Y194" si="96">V131*E131</f>
        <v>-28991.577887986325</v>
      </c>
      <c r="Z131" s="47">
        <f t="shared" ref="Z131:Z194" si="97">V131-W131</f>
        <v>21336.423107044771</v>
      </c>
      <c r="AN131" s="51"/>
      <c r="AO131" s="42"/>
    </row>
    <row r="132" spans="1:41" x14ac:dyDescent="0.25">
      <c r="A132" s="38">
        <v>55886</v>
      </c>
      <c r="B132" s="22">
        <v>2.5205479452061701E-5</v>
      </c>
      <c r="C132" s="22">
        <v>3.3093413521090298E-4</v>
      </c>
      <c r="D132" s="22">
        <v>0.95110566551053</v>
      </c>
      <c r="E132" s="22">
        <v>1.8875198122449901E-3</v>
      </c>
      <c r="F132" s="32">
        <v>0.80055708370113399</v>
      </c>
      <c r="G132" s="5">
        <f t="shared" si="87"/>
        <v>32.977777777777774</v>
      </c>
      <c r="H132" s="5">
        <f t="shared" si="89"/>
        <v>1.7302763800534985E-4</v>
      </c>
      <c r="I132" s="5">
        <f t="shared" si="90"/>
        <v>0.99431067247303617</v>
      </c>
      <c r="J132" s="32">
        <f t="shared" si="88"/>
        <v>1.5402332825951677</v>
      </c>
      <c r="K132" s="22" t="s">
        <v>459</v>
      </c>
      <c r="L132" s="40">
        <f t="shared" si="91"/>
        <v>-2.875</v>
      </c>
      <c r="M132" s="96">
        <v>55886</v>
      </c>
      <c r="N132" s="99">
        <f t="shared" ref="N132:N195" si="98">M131</f>
        <v>55794</v>
      </c>
      <c r="O132" s="38">
        <f t="shared" ref="O132:O195" si="99">M132</f>
        <v>55886</v>
      </c>
      <c r="P132" s="88">
        <f t="shared" ref="P132:P195" si="100">O132-N132</f>
        <v>92</v>
      </c>
      <c r="Q132" s="45">
        <v>10000000</v>
      </c>
      <c r="R132" s="105">
        <f t="shared" si="92"/>
        <v>1.2949596595209247E-3</v>
      </c>
      <c r="S132" s="45">
        <f t="shared" ref="S132:S195" si="101">Q132*$C132</f>
        <v>3309.3413521090297</v>
      </c>
      <c r="T132" s="45">
        <f t="shared" ref="T132:T195" si="102">Q132*$B132</f>
        <v>252.05479452061701</v>
      </c>
      <c r="V132" s="61">
        <f t="shared" si="93"/>
        <v>-15380951.564578934</v>
      </c>
      <c r="W132" s="47">
        <f t="shared" si="94"/>
        <v>-15402332.825951677</v>
      </c>
      <c r="X132" s="107">
        <f t="shared" si="95"/>
        <v>7.3859470913934392E-3</v>
      </c>
      <c r="Y132" s="47">
        <f t="shared" si="96"/>
        <v>-29031.850809323314</v>
      </c>
      <c r="Z132" s="47">
        <f t="shared" si="97"/>
        <v>21381.261372743174</v>
      </c>
      <c r="AN132" s="51"/>
      <c r="AO132" s="42"/>
    </row>
    <row r="133" spans="1:41" x14ac:dyDescent="0.25">
      <c r="A133" s="38">
        <v>55976</v>
      </c>
      <c r="B133" s="22">
        <v>2.4657534246630399E-5</v>
      </c>
      <c r="C133" s="22">
        <v>3.2373875048308199E-4</v>
      </c>
      <c r="D133" s="22">
        <v>0.95111917934182599</v>
      </c>
      <c r="E133" s="22">
        <v>1.84644891369645E-3</v>
      </c>
      <c r="F133" s="32">
        <v>0.79948473170682899</v>
      </c>
      <c r="G133" s="5">
        <f t="shared" si="87"/>
        <v>33.227777777777774</v>
      </c>
      <c r="H133" s="5">
        <f t="shared" si="89"/>
        <v>1.7113878024997291E-4</v>
      </c>
      <c r="I133" s="5">
        <f t="shared" si="90"/>
        <v>0.99433006030786752</v>
      </c>
      <c r="J133" s="32">
        <f t="shared" si="88"/>
        <v>1.5423292764519645</v>
      </c>
      <c r="K133" s="22" t="s">
        <v>459</v>
      </c>
      <c r="L133" s="40">
        <f t="shared" si="91"/>
        <v>-2.875</v>
      </c>
      <c r="M133" s="96">
        <v>55976</v>
      </c>
      <c r="N133" s="99">
        <f t="shared" si="98"/>
        <v>55886</v>
      </c>
      <c r="O133" s="38">
        <f t="shared" si="99"/>
        <v>55976</v>
      </c>
      <c r="P133" s="88">
        <f t="shared" si="100"/>
        <v>90</v>
      </c>
      <c r="Q133" s="45">
        <v>10000000</v>
      </c>
      <c r="R133" s="105">
        <f t="shared" si="92"/>
        <v>1.294955001932328E-3</v>
      </c>
      <c r="S133" s="45">
        <f t="shared" si="101"/>
        <v>3237.38750483082</v>
      </c>
      <c r="T133" s="45">
        <f t="shared" si="102"/>
        <v>246.57534246630399</v>
      </c>
      <c r="V133" s="61">
        <f t="shared" si="93"/>
        <v>-15402332.825951677</v>
      </c>
      <c r="W133" s="47">
        <f t="shared" si="94"/>
        <v>-15423292.764519645</v>
      </c>
      <c r="X133" s="107">
        <f t="shared" si="95"/>
        <v>7.3857956547857999E-3</v>
      </c>
      <c r="Y133" s="47">
        <f t="shared" si="96"/>
        <v>-28439.620714869645</v>
      </c>
      <c r="Z133" s="47">
        <f t="shared" si="97"/>
        <v>20959.938567968085</v>
      </c>
      <c r="AN133" s="51"/>
      <c r="AO133" s="42"/>
    </row>
    <row r="134" spans="1:41" x14ac:dyDescent="0.25">
      <c r="A134" s="38">
        <v>56067</v>
      </c>
      <c r="B134" s="22">
        <v>2.4931506849234999E-5</v>
      </c>
      <c r="C134" s="22">
        <v>3.2733643637739002E-4</v>
      </c>
      <c r="D134" s="22">
        <v>0.95113284352202798</v>
      </c>
      <c r="E134" s="22">
        <v>1.8669841525113999E-3</v>
      </c>
      <c r="F134" s="32">
        <v>0.79840192513541097</v>
      </c>
      <c r="G134" s="5">
        <f t="shared" si="87"/>
        <v>33.480555555555554</v>
      </c>
      <c r="H134" s="5">
        <f t="shared" si="89"/>
        <v>1.6922893518620286E-4</v>
      </c>
      <c r="I134" s="5">
        <f t="shared" si="90"/>
        <v>0.99435061870639119</v>
      </c>
      <c r="J134" s="32">
        <f t="shared" si="88"/>
        <v>1.5444529421051432</v>
      </c>
      <c r="K134" s="22" t="s">
        <v>459</v>
      </c>
      <c r="L134" s="40">
        <f t="shared" si="91"/>
        <v>-2.875</v>
      </c>
      <c r="M134" s="96">
        <v>56067</v>
      </c>
      <c r="N134" s="99">
        <f t="shared" si="98"/>
        <v>55976</v>
      </c>
      <c r="O134" s="38">
        <f t="shared" si="99"/>
        <v>56067</v>
      </c>
      <c r="P134" s="88">
        <f t="shared" si="100"/>
        <v>91</v>
      </c>
      <c r="Q134" s="45">
        <v>10000000</v>
      </c>
      <c r="R134" s="105">
        <f t="shared" si="92"/>
        <v>1.2949573307237407E-3</v>
      </c>
      <c r="S134" s="45">
        <f t="shared" si="101"/>
        <v>3273.3643637739001</v>
      </c>
      <c r="T134" s="45">
        <f t="shared" si="102"/>
        <v>249.31506849234998</v>
      </c>
      <c r="V134" s="61">
        <f t="shared" si="93"/>
        <v>-15423292.764519645</v>
      </c>
      <c r="W134" s="47">
        <f t="shared" si="94"/>
        <v>-15444529.421051431</v>
      </c>
      <c r="X134" s="107">
        <f t="shared" si="95"/>
        <v>7.3858713725725713E-3</v>
      </c>
      <c r="Y134" s="47">
        <f t="shared" si="96"/>
        <v>-28795.043170901914</v>
      </c>
      <c r="Z134" s="47">
        <f t="shared" si="97"/>
        <v>21236.656531786546</v>
      </c>
      <c r="AN134" s="51"/>
      <c r="AO134" s="42"/>
    </row>
    <row r="135" spans="1:41" x14ac:dyDescent="0.25">
      <c r="A135" s="38">
        <v>56159</v>
      </c>
      <c r="B135" s="22">
        <v>2.5205479452061701E-5</v>
      </c>
      <c r="C135" s="22">
        <v>3.3093413521068001E-4</v>
      </c>
      <c r="D135" s="22">
        <v>0.95114665805760901</v>
      </c>
      <c r="E135" s="22">
        <v>1.8875198122452099E-3</v>
      </c>
      <c r="F135" s="32">
        <v>0.79730871037759798</v>
      </c>
      <c r="G135" s="5">
        <f t="shared" si="87"/>
        <v>33.736111111111114</v>
      </c>
      <c r="H135" s="5">
        <f t="shared" si="89"/>
        <v>1.6729810281403972E-4</v>
      </c>
      <c r="I135" s="5">
        <f t="shared" si="90"/>
        <v>0.99437237939418266</v>
      </c>
      <c r="J135" s="32">
        <f t="shared" si="88"/>
        <v>1.5466044351913968</v>
      </c>
      <c r="K135" s="22" t="s">
        <v>459</v>
      </c>
      <c r="L135" s="40">
        <f t="shared" si="91"/>
        <v>-2.875</v>
      </c>
      <c r="M135" s="96">
        <v>56159</v>
      </c>
      <c r="N135" s="99">
        <f t="shared" si="98"/>
        <v>56067</v>
      </c>
      <c r="O135" s="38">
        <f t="shared" si="99"/>
        <v>56159</v>
      </c>
      <c r="P135" s="88">
        <f t="shared" si="100"/>
        <v>92</v>
      </c>
      <c r="Q135" s="45">
        <v>10000000</v>
      </c>
      <c r="R135" s="105">
        <f t="shared" si="92"/>
        <v>1.2949596595200521E-3</v>
      </c>
      <c r="S135" s="45">
        <f t="shared" si="101"/>
        <v>3309.3413521068001</v>
      </c>
      <c r="T135" s="45">
        <f t="shared" si="102"/>
        <v>252.05479452061701</v>
      </c>
      <c r="V135" s="61">
        <f t="shared" si="93"/>
        <v>-15444529.421051431</v>
      </c>
      <c r="W135" s="47">
        <f t="shared" si="94"/>
        <v>-15466044.351913968</v>
      </c>
      <c r="X135" s="107">
        <f t="shared" si="95"/>
        <v>7.3859470913942996E-3</v>
      </c>
      <c r="Y135" s="47">
        <f t="shared" si="96"/>
        <v>-29151.855273038618</v>
      </c>
      <c r="Z135" s="47">
        <f t="shared" si="97"/>
        <v>21514.930862536654</v>
      </c>
      <c r="AN135" s="51"/>
      <c r="AO135" s="42"/>
    </row>
    <row r="136" spans="1:41" x14ac:dyDescent="0.25">
      <c r="A136" s="38">
        <v>56251</v>
      </c>
      <c r="B136" s="22">
        <v>2.5205479452061701E-5</v>
      </c>
      <c r="C136" s="22">
        <v>3.3093413521068001E-4</v>
      </c>
      <c r="D136" s="22">
        <v>0.95116047279383698</v>
      </c>
      <c r="E136" s="22">
        <v>1.8875198122449901E-3</v>
      </c>
      <c r="F136" s="32">
        <v>0.79621699250809397</v>
      </c>
      <c r="G136" s="5">
        <f t="shared" si="87"/>
        <v>33.991666666666667</v>
      </c>
      <c r="H136" s="5">
        <f t="shared" si="89"/>
        <v>1.6536727044187661E-4</v>
      </c>
      <c r="I136" s="5">
        <f t="shared" si="90"/>
        <v>0.99439512185717827</v>
      </c>
      <c r="J136" s="32">
        <f t="shared" si="88"/>
        <v>1.5487604537685764</v>
      </c>
      <c r="K136" s="22" t="s">
        <v>459</v>
      </c>
      <c r="L136" s="40">
        <f t="shared" si="91"/>
        <v>-2.875</v>
      </c>
      <c r="M136" s="96">
        <v>56251</v>
      </c>
      <c r="N136" s="99">
        <f t="shared" si="98"/>
        <v>56159</v>
      </c>
      <c r="O136" s="38">
        <f t="shared" si="99"/>
        <v>56251</v>
      </c>
      <c r="P136" s="88">
        <f t="shared" si="100"/>
        <v>92</v>
      </c>
      <c r="Q136" s="45">
        <v>10000000</v>
      </c>
      <c r="R136" s="105">
        <f t="shared" si="92"/>
        <v>1.2949596595200521E-3</v>
      </c>
      <c r="S136" s="45">
        <f t="shared" si="101"/>
        <v>3309.3413521068001</v>
      </c>
      <c r="T136" s="45">
        <f t="shared" si="102"/>
        <v>252.05479452061701</v>
      </c>
      <c r="V136" s="61">
        <f t="shared" si="93"/>
        <v>-15466044.351913968</v>
      </c>
      <c r="W136" s="47">
        <f t="shared" si="94"/>
        <v>-15487604.537685765</v>
      </c>
      <c r="X136" s="107">
        <f t="shared" si="95"/>
        <v>7.3859470913934392E-3</v>
      </c>
      <c r="Y136" s="47">
        <f t="shared" si="96"/>
        <v>-29192.465131297344</v>
      </c>
      <c r="Z136" s="47">
        <f t="shared" si="97"/>
        <v>21560.185771796852</v>
      </c>
      <c r="AN136" s="51"/>
      <c r="AO136" s="42"/>
    </row>
    <row r="137" spans="1:41" x14ac:dyDescent="0.25">
      <c r="A137" s="38">
        <v>56341</v>
      </c>
      <c r="B137" s="22">
        <v>2.4657534246630399E-5</v>
      </c>
      <c r="C137" s="22">
        <v>3.2373875048308199E-4</v>
      </c>
      <c r="D137" s="22">
        <v>0.95117398740386505</v>
      </c>
      <c r="E137" s="22">
        <v>1.84644891369645E-3</v>
      </c>
      <c r="F137" s="32">
        <v>0.79515045409728002</v>
      </c>
      <c r="G137" s="5">
        <f t="shared" si="87"/>
        <v>34.241666666666667</v>
      </c>
      <c r="H137" s="5">
        <f t="shared" si="89"/>
        <v>1.6347841268649966E-4</v>
      </c>
      <c r="I137" s="5">
        <f t="shared" si="90"/>
        <v>0.99441831997898789</v>
      </c>
      <c r="J137" s="32">
        <f t="shared" si="88"/>
        <v>1.5508739915214509</v>
      </c>
      <c r="K137" s="22" t="s">
        <v>459</v>
      </c>
      <c r="L137" s="40">
        <f t="shared" si="91"/>
        <v>-2.875</v>
      </c>
      <c r="M137" s="96">
        <v>56341</v>
      </c>
      <c r="N137" s="99">
        <f t="shared" si="98"/>
        <v>56251</v>
      </c>
      <c r="O137" s="38">
        <f t="shared" si="99"/>
        <v>56341</v>
      </c>
      <c r="P137" s="88">
        <f t="shared" si="100"/>
        <v>90</v>
      </c>
      <c r="Q137" s="45">
        <v>10000000</v>
      </c>
      <c r="R137" s="105">
        <f t="shared" si="92"/>
        <v>1.294955001932328E-3</v>
      </c>
      <c r="S137" s="45">
        <f t="shared" si="101"/>
        <v>3237.38750483082</v>
      </c>
      <c r="T137" s="45">
        <f t="shared" si="102"/>
        <v>246.57534246630399</v>
      </c>
      <c r="V137" s="61">
        <f t="shared" si="93"/>
        <v>-15487604.537685765</v>
      </c>
      <c r="W137" s="47">
        <f t="shared" si="94"/>
        <v>-15508739.915214509</v>
      </c>
      <c r="X137" s="107">
        <f t="shared" si="95"/>
        <v>7.3857956547857999E-3</v>
      </c>
      <c r="Y137" s="47">
        <f t="shared" si="96"/>
        <v>-28597.070574370089</v>
      </c>
      <c r="Z137" s="47">
        <f t="shared" si="97"/>
        <v>21135.377528743818</v>
      </c>
      <c r="AN137" s="51"/>
      <c r="AO137" s="42"/>
    </row>
    <row r="138" spans="1:41" x14ac:dyDescent="0.25">
      <c r="A138" s="38">
        <v>56432</v>
      </c>
      <c r="B138" s="22">
        <v>2.4931506849234999E-5</v>
      </c>
      <c r="C138" s="22">
        <v>3.2733643637739002E-4</v>
      </c>
      <c r="D138" s="22">
        <v>0.95118765237146197</v>
      </c>
      <c r="E138" s="22">
        <v>1.86698415251118E-3</v>
      </c>
      <c r="F138" s="32">
        <v>0.79407351778715896</v>
      </c>
      <c r="G138" s="5">
        <f t="shared" si="87"/>
        <v>34.494444444444447</v>
      </c>
      <c r="H138" s="5">
        <f t="shared" si="89"/>
        <v>1.6156856762272962E-4</v>
      </c>
      <c r="I138" s="5">
        <f t="shared" si="90"/>
        <v>0.99444273126631044</v>
      </c>
      <c r="J138" s="32">
        <f t="shared" si="88"/>
        <v>1.5530154367569489</v>
      </c>
      <c r="K138" s="22" t="s">
        <v>459</v>
      </c>
      <c r="L138" s="40">
        <f t="shared" si="91"/>
        <v>-2.875</v>
      </c>
      <c r="M138" s="96">
        <v>56432</v>
      </c>
      <c r="N138" s="99">
        <f t="shared" si="98"/>
        <v>56341</v>
      </c>
      <c r="O138" s="38">
        <f t="shared" si="99"/>
        <v>56432</v>
      </c>
      <c r="P138" s="88">
        <f t="shared" si="100"/>
        <v>91</v>
      </c>
      <c r="Q138" s="45">
        <v>10000000</v>
      </c>
      <c r="R138" s="105">
        <f t="shared" si="92"/>
        <v>1.2949573307237407E-3</v>
      </c>
      <c r="S138" s="45">
        <f t="shared" si="101"/>
        <v>3273.3643637739001</v>
      </c>
      <c r="T138" s="45">
        <f t="shared" si="102"/>
        <v>249.31506849234998</v>
      </c>
      <c r="V138" s="61">
        <f t="shared" si="93"/>
        <v>-15508739.915214509</v>
      </c>
      <c r="W138" s="47">
        <f t="shared" si="94"/>
        <v>-15530154.367569489</v>
      </c>
      <c r="X138" s="107">
        <f t="shared" si="95"/>
        <v>7.3858713725717014E-3</v>
      </c>
      <c r="Y138" s="47">
        <f t="shared" si="96"/>
        <v>-28954.57164712307</v>
      </c>
      <c r="Z138" s="47">
        <f t="shared" si="97"/>
        <v>21414.452354980633</v>
      </c>
      <c r="AN138" s="51"/>
      <c r="AO138" s="42"/>
    </row>
    <row r="139" spans="1:41" x14ac:dyDescent="0.25">
      <c r="A139" s="38">
        <v>56524</v>
      </c>
      <c r="B139" s="22">
        <v>2.5205479452061701E-5</v>
      </c>
      <c r="C139" s="22">
        <v>3.3093413521068001E-4</v>
      </c>
      <c r="D139" s="22">
        <v>0.95120146770310299</v>
      </c>
      <c r="E139" s="22">
        <v>1.8875198122452099E-3</v>
      </c>
      <c r="F139" s="32">
        <v>0.79298622971694899</v>
      </c>
      <c r="G139" s="5">
        <f t="shared" si="87"/>
        <v>34.75</v>
      </c>
      <c r="H139" s="5">
        <f t="shared" si="89"/>
        <v>1.5963773525056656E-4</v>
      </c>
      <c r="I139" s="5">
        <f t="shared" si="90"/>
        <v>0.99446838746486088</v>
      </c>
      <c r="J139" s="32">
        <f t="shared" si="88"/>
        <v>1.5551849465726166</v>
      </c>
      <c r="K139" s="22" t="s">
        <v>459</v>
      </c>
      <c r="L139" s="40">
        <f t="shared" si="91"/>
        <v>-2.875</v>
      </c>
      <c r="M139" s="96">
        <v>56524</v>
      </c>
      <c r="N139" s="99">
        <f t="shared" si="98"/>
        <v>56432</v>
      </c>
      <c r="O139" s="38">
        <f t="shared" si="99"/>
        <v>56524</v>
      </c>
      <c r="P139" s="88">
        <f t="shared" si="100"/>
        <v>92</v>
      </c>
      <c r="Q139" s="45">
        <v>10000000</v>
      </c>
      <c r="R139" s="105">
        <f t="shared" si="92"/>
        <v>1.2949596595200521E-3</v>
      </c>
      <c r="S139" s="45">
        <f t="shared" si="101"/>
        <v>3309.3413521068001</v>
      </c>
      <c r="T139" s="45">
        <f t="shared" si="102"/>
        <v>252.05479452061701</v>
      </c>
      <c r="V139" s="61">
        <f t="shared" si="93"/>
        <v>-15530154.367569489</v>
      </c>
      <c r="W139" s="47">
        <f t="shared" si="94"/>
        <v>-15551849.465726167</v>
      </c>
      <c r="X139" s="107">
        <f t="shared" si="95"/>
        <v>7.3859470913942996E-3</v>
      </c>
      <c r="Y139" s="47">
        <f t="shared" si="96"/>
        <v>-29313.474056013889</v>
      </c>
      <c r="Z139" s="47">
        <f t="shared" si="97"/>
        <v>21695.098156677559</v>
      </c>
      <c r="AN139" s="51"/>
      <c r="AO139" s="42"/>
    </row>
    <row r="140" spans="1:41" x14ac:dyDescent="0.25">
      <c r="A140" s="38">
        <v>56618</v>
      </c>
      <c r="B140" s="22">
        <v>2.5753424657493E-5</v>
      </c>
      <c r="C140" s="22">
        <v>3.3812957169510001E-4</v>
      </c>
      <c r="D140" s="22">
        <v>0.95121558357529001</v>
      </c>
      <c r="E140" s="22">
        <v>1.9285923945033801E-3</v>
      </c>
      <c r="F140" s="32">
        <v>0.79187684260620705</v>
      </c>
      <c r="G140" s="5">
        <f t="shared" si="87"/>
        <v>35.011111111111113</v>
      </c>
      <c r="H140" s="5">
        <f t="shared" si="89"/>
        <v>1.5766492826161724E-4</v>
      </c>
      <c r="I140" s="5">
        <f t="shared" si="90"/>
        <v>0.99449561573434209</v>
      </c>
      <c r="J140" s="32">
        <f t="shared" si="88"/>
        <v>1.5574063373456335</v>
      </c>
      <c r="K140" s="22" t="s">
        <v>459</v>
      </c>
      <c r="L140" s="40">
        <f t="shared" si="91"/>
        <v>-2.875</v>
      </c>
      <c r="M140" s="96">
        <v>56618</v>
      </c>
      <c r="N140" s="99">
        <f t="shared" si="98"/>
        <v>56524</v>
      </c>
      <c r="O140" s="38">
        <f t="shared" si="99"/>
        <v>56618</v>
      </c>
      <c r="P140" s="88">
        <f t="shared" si="100"/>
        <v>94</v>
      </c>
      <c r="Q140" s="45">
        <v>10000000</v>
      </c>
      <c r="R140" s="105">
        <f t="shared" si="92"/>
        <v>1.2949643171301702E-3</v>
      </c>
      <c r="S140" s="45">
        <f t="shared" si="101"/>
        <v>3381.295716951</v>
      </c>
      <c r="T140" s="45">
        <f t="shared" si="102"/>
        <v>257.53424657493002</v>
      </c>
      <c r="V140" s="61">
        <f t="shared" si="93"/>
        <v>-15551849.465726167</v>
      </c>
      <c r="W140" s="47">
        <f t="shared" si="94"/>
        <v>-15574063.373456335</v>
      </c>
      <c r="X140" s="107">
        <f t="shared" si="95"/>
        <v>7.3860985321406039E-3</v>
      </c>
      <c r="Y140" s="47">
        <f t="shared" si="96"/>
        <v>-29993.178600060939</v>
      </c>
      <c r="Z140" s="47">
        <f t="shared" si="97"/>
        <v>22213.907730167732</v>
      </c>
      <c r="AN140" s="51"/>
      <c r="AO140" s="42"/>
    </row>
    <row r="141" spans="1:41" x14ac:dyDescent="0.25">
      <c r="A141" s="38">
        <v>56706</v>
      </c>
      <c r="B141" s="22">
        <v>2.4109589041198998E-5</v>
      </c>
      <c r="C141" s="22">
        <v>3.16543417512082E-4</v>
      </c>
      <c r="D141" s="22">
        <v>0.95122879862420795</v>
      </c>
      <c r="E141" s="22">
        <v>1.80537969878846E-3</v>
      </c>
      <c r="F141" s="32">
        <v>0.79083967407517997</v>
      </c>
      <c r="G141" s="5">
        <f t="shared" si="87"/>
        <v>35.255555555555553</v>
      </c>
      <c r="H141" s="5">
        <f t="shared" si="89"/>
        <v>1.558180451230265E-4</v>
      </c>
      <c r="I141" s="5">
        <f t="shared" si="90"/>
        <v>0.99452203526795546</v>
      </c>
      <c r="J141" s="32">
        <f t="shared" si="88"/>
        <v>1.5594902688437318</v>
      </c>
      <c r="K141" s="22" t="s">
        <v>459</v>
      </c>
      <c r="L141" s="40">
        <f t="shared" si="91"/>
        <v>-2.875</v>
      </c>
      <c r="M141" s="96">
        <v>56706</v>
      </c>
      <c r="N141" s="99">
        <f t="shared" si="98"/>
        <v>56618</v>
      </c>
      <c r="O141" s="38">
        <f t="shared" si="99"/>
        <v>56706</v>
      </c>
      <c r="P141" s="88">
        <f t="shared" si="100"/>
        <v>88</v>
      </c>
      <c r="Q141" s="45">
        <v>10000000</v>
      </c>
      <c r="R141" s="105">
        <f t="shared" si="92"/>
        <v>1.2949503443676082E-3</v>
      </c>
      <c r="S141" s="45">
        <f t="shared" si="101"/>
        <v>3165.4341751208199</v>
      </c>
      <c r="T141" s="45">
        <f t="shared" si="102"/>
        <v>241.09589041198998</v>
      </c>
      <c r="V141" s="61">
        <f t="shared" si="93"/>
        <v>-15574063.373456335</v>
      </c>
      <c r="W141" s="47">
        <f t="shared" si="94"/>
        <v>-15594902.688437318</v>
      </c>
      <c r="X141" s="107">
        <f t="shared" si="95"/>
        <v>7.3856442223164268E-3</v>
      </c>
      <c r="Y141" s="47">
        <f t="shared" si="96"/>
        <v>-28117.097842082985</v>
      </c>
      <c r="Z141" s="47">
        <f t="shared" si="97"/>
        <v>20839.314980983734</v>
      </c>
      <c r="AN141" s="51"/>
      <c r="AO141" s="42"/>
    </row>
    <row r="142" spans="1:41" x14ac:dyDescent="0.25">
      <c r="A142" s="38">
        <v>56797</v>
      </c>
      <c r="B142" s="22">
        <v>2.4931506849234999E-5</v>
      </c>
      <c r="C142" s="22">
        <v>3.2733643637739002E-4</v>
      </c>
      <c r="D142" s="22">
        <v>0.95124246437924598</v>
      </c>
      <c r="E142" s="22">
        <v>1.86698415251118E-3</v>
      </c>
      <c r="F142" s="32">
        <v>0.78976857620168095</v>
      </c>
      <c r="G142" s="5">
        <f t="shared" si="87"/>
        <v>35.508333333333333</v>
      </c>
      <c r="H142" s="5">
        <f t="shared" si="89"/>
        <v>1.5390820005925645E-4</v>
      </c>
      <c r="I142" s="5">
        <f t="shared" si="90"/>
        <v>0.99455030062611782</v>
      </c>
      <c r="J142" s="32">
        <f t="shared" si="88"/>
        <v>1.5616496591167155</v>
      </c>
      <c r="K142" s="22" t="s">
        <v>459</v>
      </c>
      <c r="L142" s="40">
        <f t="shared" si="91"/>
        <v>-2.875</v>
      </c>
      <c r="M142" s="96">
        <v>56797</v>
      </c>
      <c r="N142" s="99">
        <f t="shared" si="98"/>
        <v>56706</v>
      </c>
      <c r="O142" s="38">
        <f t="shared" si="99"/>
        <v>56797</v>
      </c>
      <c r="P142" s="88">
        <f t="shared" si="100"/>
        <v>91</v>
      </c>
      <c r="Q142" s="45">
        <v>10000000</v>
      </c>
      <c r="R142" s="105">
        <f t="shared" si="92"/>
        <v>1.2949573307237407E-3</v>
      </c>
      <c r="S142" s="45">
        <f t="shared" si="101"/>
        <v>3273.3643637739001</v>
      </c>
      <c r="T142" s="45">
        <f t="shared" si="102"/>
        <v>249.31506849234998</v>
      </c>
      <c r="V142" s="61">
        <f t="shared" si="93"/>
        <v>-15594902.688437318</v>
      </c>
      <c r="W142" s="47">
        <f t="shared" si="94"/>
        <v>-15616496.591167156</v>
      </c>
      <c r="X142" s="107">
        <f t="shared" si="95"/>
        <v>7.3858713725717014E-3</v>
      </c>
      <c r="Y142" s="47">
        <f t="shared" si="96"/>
        <v>-29115.436179266471</v>
      </c>
      <c r="Z142" s="47">
        <f t="shared" si="97"/>
        <v>21593.902729837224</v>
      </c>
      <c r="AN142" s="51"/>
      <c r="AO142" s="42"/>
    </row>
    <row r="143" spans="1:41" x14ac:dyDescent="0.25">
      <c r="A143" s="38">
        <v>56891</v>
      </c>
      <c r="B143" s="22">
        <v>2.5753424657493E-5</v>
      </c>
      <c r="C143" s="22">
        <v>3.3812957169510001E-4</v>
      </c>
      <c r="D143" s="22">
        <v>0.95125658085982501</v>
      </c>
      <c r="E143" s="22">
        <v>1.9285923945035999E-3</v>
      </c>
      <c r="F143" s="32">
        <v>0.78866369058567198</v>
      </c>
      <c r="G143" s="5">
        <f t="shared" si="87"/>
        <v>35.769444444444446</v>
      </c>
      <c r="H143" s="5">
        <f t="shared" si="89"/>
        <v>1.5193539307030717E-4</v>
      </c>
      <c r="I143" s="5">
        <f t="shared" si="90"/>
        <v>0.99458050694162226</v>
      </c>
      <c r="J143" s="32">
        <f t="shared" si="88"/>
        <v>1.5638849631106793</v>
      </c>
      <c r="K143" s="22" t="s">
        <v>459</v>
      </c>
      <c r="L143" s="40">
        <f t="shared" si="91"/>
        <v>-2.875</v>
      </c>
      <c r="M143" s="96">
        <v>56891</v>
      </c>
      <c r="N143" s="99">
        <f t="shared" si="98"/>
        <v>56797</v>
      </c>
      <c r="O143" s="38">
        <f t="shared" si="99"/>
        <v>56891</v>
      </c>
      <c r="P143" s="88">
        <f t="shared" si="100"/>
        <v>94</v>
      </c>
      <c r="Q143" s="45">
        <v>10000000</v>
      </c>
      <c r="R143" s="105">
        <f t="shared" si="92"/>
        <v>1.2949643171301702E-3</v>
      </c>
      <c r="S143" s="45">
        <f t="shared" si="101"/>
        <v>3381.295716951</v>
      </c>
      <c r="T143" s="45">
        <f t="shared" si="102"/>
        <v>257.53424657493002</v>
      </c>
      <c r="V143" s="61">
        <f t="shared" si="93"/>
        <v>-15616496.591167156</v>
      </c>
      <c r="W143" s="47">
        <f t="shared" si="94"/>
        <v>-15638849.631106792</v>
      </c>
      <c r="X143" s="107">
        <f t="shared" si="95"/>
        <v>7.3860985321414462E-3</v>
      </c>
      <c r="Y143" s="47">
        <f t="shared" si="96"/>
        <v>-30117.856554516369</v>
      </c>
      <c r="Z143" s="47">
        <f t="shared" si="97"/>
        <v>22353.039939636365</v>
      </c>
      <c r="AN143" s="51"/>
      <c r="AO143" s="42"/>
    </row>
    <row r="144" spans="1:41" x14ac:dyDescent="0.25">
      <c r="A144" s="38">
        <v>56983</v>
      </c>
      <c r="B144" s="22">
        <v>2.5205479452061701E-5</v>
      </c>
      <c r="C144" s="22">
        <v>3.3093413521068001E-4</v>
      </c>
      <c r="D144" s="22">
        <v>0.95127039719260398</v>
      </c>
      <c r="E144" s="22">
        <v>1.8875198122449901E-3</v>
      </c>
      <c r="F144" s="32">
        <v>0.78758380994115496</v>
      </c>
      <c r="G144" s="5">
        <f t="shared" si="87"/>
        <v>36.024999999999999</v>
      </c>
      <c r="H144" s="5">
        <f t="shared" si="89"/>
        <v>1.5000456069814408E-4</v>
      </c>
      <c r="I144" s="5">
        <f t="shared" si="90"/>
        <v>0.99461106366144503</v>
      </c>
      <c r="J144" s="32">
        <f t="shared" si="88"/>
        <v>1.5660773678660482</v>
      </c>
      <c r="K144" s="22" t="s">
        <v>459</v>
      </c>
      <c r="L144" s="40">
        <f t="shared" si="91"/>
        <v>-2.875</v>
      </c>
      <c r="M144" s="96">
        <v>56983</v>
      </c>
      <c r="N144" s="99">
        <f t="shared" si="98"/>
        <v>56891</v>
      </c>
      <c r="O144" s="38">
        <f t="shared" si="99"/>
        <v>56983</v>
      </c>
      <c r="P144" s="88">
        <f t="shared" si="100"/>
        <v>92</v>
      </c>
      <c r="Q144" s="45">
        <v>10000000</v>
      </c>
      <c r="R144" s="105">
        <f t="shared" si="92"/>
        <v>1.2949596595200521E-3</v>
      </c>
      <c r="S144" s="45">
        <f t="shared" si="101"/>
        <v>3309.3413521068001</v>
      </c>
      <c r="T144" s="45">
        <f t="shared" si="102"/>
        <v>252.05479452061701</v>
      </c>
      <c r="V144" s="61">
        <f t="shared" si="93"/>
        <v>-15638849.631106792</v>
      </c>
      <c r="W144" s="47">
        <f t="shared" si="94"/>
        <v>-15660773.678660482</v>
      </c>
      <c r="X144" s="107">
        <f t="shared" si="95"/>
        <v>7.3859470913934392E-3</v>
      </c>
      <c r="Y144" s="47">
        <f t="shared" si="96"/>
        <v>-29518.638519434324</v>
      </c>
      <c r="Z144" s="47">
        <f t="shared" si="97"/>
        <v>21924.04755369015</v>
      </c>
      <c r="AN144" s="51"/>
      <c r="AO144" s="42"/>
    </row>
    <row r="145" spans="1:41" x14ac:dyDescent="0.25">
      <c r="A145" s="38">
        <v>57074</v>
      </c>
      <c r="B145" s="22">
        <v>2.4931506849234999E-5</v>
      </c>
      <c r="C145" s="22">
        <v>3.2733643637739002E-4</v>
      </c>
      <c r="D145" s="22">
        <v>0.95128406354526496</v>
      </c>
      <c r="E145" s="22">
        <v>1.8669841525113999E-3</v>
      </c>
      <c r="F145" s="32">
        <v>0.78651712174671495</v>
      </c>
      <c r="G145" s="5">
        <f t="shared" si="87"/>
        <v>36.277777777777779</v>
      </c>
      <c r="H145" s="5">
        <f t="shared" si="89"/>
        <v>1.4809471563437403E-4</v>
      </c>
      <c r="I145" s="5">
        <f t="shared" si="90"/>
        <v>0.99464225478902712</v>
      </c>
      <c r="J145" s="32">
        <f t="shared" si="88"/>
        <v>1.5682504882088084</v>
      </c>
      <c r="K145" s="22" t="s">
        <v>459</v>
      </c>
      <c r="L145" s="40">
        <f t="shared" si="91"/>
        <v>-2.875</v>
      </c>
      <c r="M145" s="96">
        <v>57074</v>
      </c>
      <c r="N145" s="99">
        <f t="shared" si="98"/>
        <v>56983</v>
      </c>
      <c r="O145" s="38">
        <f t="shared" si="99"/>
        <v>57074</v>
      </c>
      <c r="P145" s="88">
        <f t="shared" si="100"/>
        <v>91</v>
      </c>
      <c r="Q145" s="45">
        <v>10000000</v>
      </c>
      <c r="R145" s="105">
        <f t="shared" si="92"/>
        <v>1.2949573307237407E-3</v>
      </c>
      <c r="S145" s="45">
        <f t="shared" si="101"/>
        <v>3273.3643637739001</v>
      </c>
      <c r="T145" s="45">
        <f t="shared" si="102"/>
        <v>249.31506849234998</v>
      </c>
      <c r="V145" s="61">
        <f t="shared" si="93"/>
        <v>-15660773.678660482</v>
      </c>
      <c r="W145" s="47">
        <f t="shared" si="94"/>
        <v>-15682504.882088084</v>
      </c>
      <c r="X145" s="107">
        <f t="shared" si="95"/>
        <v>7.3858713725725713E-3</v>
      </c>
      <c r="Y145" s="47">
        <f t="shared" si="96"/>
        <v>-29238.416274126779</v>
      </c>
      <c r="Z145" s="47">
        <f t="shared" si="97"/>
        <v>21731.203427601606</v>
      </c>
      <c r="AN145" s="51"/>
      <c r="AO145" s="42"/>
    </row>
    <row r="146" spans="1:41" x14ac:dyDescent="0.25">
      <c r="A146" s="38">
        <v>57164</v>
      </c>
      <c r="B146" s="22">
        <v>2.4657534246630399E-5</v>
      </c>
      <c r="C146" s="22">
        <v>3.2373875048330398E-4</v>
      </c>
      <c r="D146" s="22">
        <v>0.95129757991133901</v>
      </c>
      <c r="E146" s="22">
        <v>1.84644891369645E-3</v>
      </c>
      <c r="F146" s="32">
        <v>0.78546357638282804</v>
      </c>
      <c r="G146" s="5">
        <f t="shared" si="87"/>
        <v>36.527777777777779</v>
      </c>
      <c r="H146" s="5">
        <f t="shared" si="89"/>
        <v>1.4620585787899706E-4</v>
      </c>
      <c r="I146" s="5">
        <f t="shared" si="90"/>
        <v>0.99467404872593512</v>
      </c>
      <c r="J146" s="32">
        <f t="shared" si="88"/>
        <v>1.5704041853925983</v>
      </c>
      <c r="K146" s="22" t="s">
        <v>459</v>
      </c>
      <c r="L146" s="40">
        <f t="shared" si="91"/>
        <v>-2.875</v>
      </c>
      <c r="M146" s="96">
        <v>57164</v>
      </c>
      <c r="N146" s="99">
        <f t="shared" si="98"/>
        <v>57074</v>
      </c>
      <c r="O146" s="38">
        <f t="shared" si="99"/>
        <v>57164</v>
      </c>
      <c r="P146" s="88">
        <f t="shared" si="100"/>
        <v>90</v>
      </c>
      <c r="Q146" s="45">
        <v>10000000</v>
      </c>
      <c r="R146" s="105">
        <f t="shared" si="92"/>
        <v>1.2949550019332159E-3</v>
      </c>
      <c r="S146" s="45">
        <f t="shared" si="101"/>
        <v>3237.3875048330397</v>
      </c>
      <c r="T146" s="45">
        <f t="shared" si="102"/>
        <v>246.57534246630399</v>
      </c>
      <c r="V146" s="61">
        <f t="shared" si="93"/>
        <v>-15682504.882088084</v>
      </c>
      <c r="W146" s="47">
        <f t="shared" si="94"/>
        <v>-15704041.853925982</v>
      </c>
      <c r="X146" s="107">
        <f t="shared" si="95"/>
        <v>7.3857956547857999E-3</v>
      </c>
      <c r="Y146" s="47">
        <f t="shared" si="96"/>
        <v>-28956.944103570815</v>
      </c>
      <c r="Z146" s="47">
        <f t="shared" si="97"/>
        <v>21536.971837898716</v>
      </c>
      <c r="AN146" s="51"/>
      <c r="AO146" s="42"/>
    </row>
    <row r="147" spans="1:41" x14ac:dyDescent="0.25">
      <c r="A147" s="38">
        <v>57255</v>
      </c>
      <c r="B147" s="22">
        <v>2.4931506849234999E-5</v>
      </c>
      <c r="C147" s="22">
        <v>3.2733643637739002E-4</v>
      </c>
      <c r="D147" s="22">
        <v>0.95131124665451905</v>
      </c>
      <c r="E147" s="22">
        <v>1.8669841525113999E-3</v>
      </c>
      <c r="F147" s="32">
        <v>0.78439975979148302</v>
      </c>
      <c r="G147" s="5">
        <f t="shared" si="87"/>
        <v>36.780555555555559</v>
      </c>
      <c r="H147" s="5">
        <f t="shared" si="89"/>
        <v>1.4429601281522702E-4</v>
      </c>
      <c r="I147" s="5">
        <f t="shared" si="90"/>
        <v>0.99470715209910465</v>
      </c>
      <c r="J147" s="32">
        <f t="shared" si="88"/>
        <v>1.5725863297638063</v>
      </c>
      <c r="K147" s="22" t="s">
        <v>459</v>
      </c>
      <c r="L147" s="40">
        <f t="shared" si="91"/>
        <v>-2.875</v>
      </c>
      <c r="M147" s="96">
        <v>57255</v>
      </c>
      <c r="N147" s="99">
        <f t="shared" si="98"/>
        <v>57164</v>
      </c>
      <c r="O147" s="38">
        <f t="shared" si="99"/>
        <v>57255</v>
      </c>
      <c r="P147" s="88">
        <f t="shared" si="100"/>
        <v>91</v>
      </c>
      <c r="Q147" s="45">
        <v>10000000</v>
      </c>
      <c r="R147" s="105">
        <f t="shared" si="92"/>
        <v>1.2949573307237407E-3</v>
      </c>
      <c r="S147" s="45">
        <f t="shared" si="101"/>
        <v>3273.3643637739001</v>
      </c>
      <c r="T147" s="45">
        <f t="shared" si="102"/>
        <v>249.31506849234998</v>
      </c>
      <c r="V147" s="61">
        <f t="shared" si="93"/>
        <v>-15704041.853925982</v>
      </c>
      <c r="W147" s="47">
        <f t="shared" si="94"/>
        <v>-15725863.297638062</v>
      </c>
      <c r="X147" s="107">
        <f t="shared" si="95"/>
        <v>7.3858713725725713E-3</v>
      </c>
      <c r="Y147" s="47">
        <f t="shared" si="96"/>
        <v>-29319.197271655554</v>
      </c>
      <c r="Z147" s="47">
        <f t="shared" si="97"/>
        <v>21821.443712079898</v>
      </c>
      <c r="AN147" s="51"/>
      <c r="AO147" s="42"/>
    </row>
    <row r="148" spans="1:41" x14ac:dyDescent="0.25">
      <c r="A148" s="38">
        <v>57347</v>
      </c>
      <c r="B148" s="22">
        <v>2.5205479452061701E-5</v>
      </c>
      <c r="C148" s="22">
        <v>3.3093413521068001E-4</v>
      </c>
      <c r="D148" s="22">
        <v>0.95132506378128001</v>
      </c>
      <c r="E148" s="22">
        <v>1.8875198122449901E-3</v>
      </c>
      <c r="F148" s="32">
        <v>0.78332571754980995</v>
      </c>
      <c r="G148" s="5">
        <f t="shared" si="87"/>
        <v>37.036111111111111</v>
      </c>
      <c r="H148" s="5">
        <f t="shared" si="89"/>
        <v>1.4236518044306393E-4</v>
      </c>
      <c r="I148" s="5">
        <f t="shared" si="90"/>
        <v>0.99474159670512785</v>
      </c>
      <c r="J148" s="32">
        <f t="shared" si="88"/>
        <v>1.5747970817715282</v>
      </c>
      <c r="K148" s="22" t="s">
        <v>459</v>
      </c>
      <c r="L148" s="40">
        <f t="shared" si="91"/>
        <v>-2.875</v>
      </c>
      <c r="M148" s="96">
        <v>57347</v>
      </c>
      <c r="N148" s="99">
        <f t="shared" si="98"/>
        <v>57255</v>
      </c>
      <c r="O148" s="38">
        <f t="shared" si="99"/>
        <v>57347</v>
      </c>
      <c r="P148" s="88">
        <f t="shared" si="100"/>
        <v>92</v>
      </c>
      <c r="Q148" s="45">
        <v>10000000</v>
      </c>
      <c r="R148" s="105">
        <f t="shared" si="92"/>
        <v>1.2949596595200521E-3</v>
      </c>
      <c r="S148" s="45">
        <f t="shared" si="101"/>
        <v>3309.3413521068001</v>
      </c>
      <c r="T148" s="45">
        <f t="shared" si="102"/>
        <v>252.05479452061701</v>
      </c>
      <c r="V148" s="61">
        <f t="shared" si="93"/>
        <v>-15725863.297638062</v>
      </c>
      <c r="W148" s="47">
        <f t="shared" si="94"/>
        <v>-15747970.817715282</v>
      </c>
      <c r="X148" s="107">
        <f t="shared" si="95"/>
        <v>7.3859470913934392E-3</v>
      </c>
      <c r="Y148" s="47">
        <f t="shared" si="96"/>
        <v>-29682.878538948175</v>
      </c>
      <c r="Z148" s="47">
        <f t="shared" si="97"/>
        <v>22107.520077219233</v>
      </c>
      <c r="AN148" s="51"/>
      <c r="AO148" s="42"/>
    </row>
    <row r="149" spans="1:41" x14ac:dyDescent="0.25">
      <c r="A149" s="38">
        <v>57437</v>
      </c>
      <c r="B149" s="22">
        <v>2.4657534246630399E-5</v>
      </c>
      <c r="C149" s="22">
        <v>3.2373875048308199E-4</v>
      </c>
      <c r="D149" s="22">
        <v>0.95133858072990696</v>
      </c>
      <c r="E149" s="22">
        <v>1.8464489136962301E-3</v>
      </c>
      <c r="F149" s="32">
        <v>0.78227644709488897</v>
      </c>
      <c r="G149" s="5">
        <f t="shared" si="87"/>
        <v>37.286111111111111</v>
      </c>
      <c r="H149" s="5">
        <f t="shared" si="89"/>
        <v>1.4047632268768696E-4</v>
      </c>
      <c r="I149" s="5">
        <f t="shared" si="90"/>
        <v>0.99477624360092232</v>
      </c>
      <c r="J149" s="32">
        <f t="shared" si="88"/>
        <v>1.5769642870762122</v>
      </c>
      <c r="K149" s="22" t="s">
        <v>459</v>
      </c>
      <c r="L149" s="40">
        <f t="shared" si="91"/>
        <v>-2.875</v>
      </c>
      <c r="M149" s="96">
        <v>57437</v>
      </c>
      <c r="N149" s="99">
        <f t="shared" si="98"/>
        <v>57347</v>
      </c>
      <c r="O149" s="38">
        <f t="shared" si="99"/>
        <v>57437</v>
      </c>
      <c r="P149" s="88">
        <f t="shared" si="100"/>
        <v>90</v>
      </c>
      <c r="Q149" s="45">
        <v>10000000</v>
      </c>
      <c r="R149" s="105">
        <f t="shared" si="92"/>
        <v>1.294955001932328E-3</v>
      </c>
      <c r="S149" s="45">
        <f t="shared" si="101"/>
        <v>3237.38750483082</v>
      </c>
      <c r="T149" s="45">
        <f t="shared" si="102"/>
        <v>246.57534246630399</v>
      </c>
      <c r="V149" s="61">
        <f t="shared" si="93"/>
        <v>-15747970.817715282</v>
      </c>
      <c r="W149" s="47">
        <f t="shared" si="94"/>
        <v>-15769642.870762121</v>
      </c>
      <c r="X149" s="107">
        <f t="shared" si="95"/>
        <v>7.3857956547849204E-3</v>
      </c>
      <c r="Y149" s="47">
        <f t="shared" si="96"/>
        <v>-29077.823609290313</v>
      </c>
      <c r="Z149" s="47">
        <f t="shared" si="97"/>
        <v>21672.053046839312</v>
      </c>
      <c r="AN149" s="51"/>
      <c r="AO149" s="42"/>
    </row>
    <row r="150" spans="1:41" x14ac:dyDescent="0.25">
      <c r="A150" s="38">
        <v>57528</v>
      </c>
      <c r="B150" s="22">
        <v>2.4931506849234999E-5</v>
      </c>
      <c r="C150" s="22">
        <v>3.2733643637739002E-4</v>
      </c>
      <c r="D150" s="22">
        <v>0.95135224806212204</v>
      </c>
      <c r="E150" s="22">
        <v>1.8669841525113999E-3</v>
      </c>
      <c r="F150" s="32">
        <v>0.78121694708946499</v>
      </c>
      <c r="G150" s="5">
        <f t="shared" si="87"/>
        <v>37.538888888888891</v>
      </c>
      <c r="H150" s="5">
        <f t="shared" si="89"/>
        <v>1.3856647762391691E-4</v>
      </c>
      <c r="I150" s="5">
        <f t="shared" si="90"/>
        <v>0.99481223193528601</v>
      </c>
      <c r="J150" s="32">
        <f t="shared" si="88"/>
        <v>1.5791601211662765</v>
      </c>
      <c r="K150" s="22" t="s">
        <v>459</v>
      </c>
      <c r="L150" s="40">
        <f t="shared" si="91"/>
        <v>-2.875</v>
      </c>
      <c r="M150" s="96">
        <v>57528</v>
      </c>
      <c r="N150" s="99">
        <f t="shared" si="98"/>
        <v>57437</v>
      </c>
      <c r="O150" s="38">
        <f t="shared" si="99"/>
        <v>57528</v>
      </c>
      <c r="P150" s="88">
        <f t="shared" si="100"/>
        <v>91</v>
      </c>
      <c r="Q150" s="45">
        <v>10000000</v>
      </c>
      <c r="R150" s="105">
        <f t="shared" si="92"/>
        <v>1.2949573307237407E-3</v>
      </c>
      <c r="S150" s="45">
        <f t="shared" si="101"/>
        <v>3273.3643637739001</v>
      </c>
      <c r="T150" s="45">
        <f t="shared" si="102"/>
        <v>249.31506849234998</v>
      </c>
      <c r="V150" s="61">
        <f t="shared" si="93"/>
        <v>-15769642.870762121</v>
      </c>
      <c r="W150" s="47">
        <f t="shared" si="94"/>
        <v>-15791601.211662764</v>
      </c>
      <c r="X150" s="107">
        <f t="shared" si="95"/>
        <v>7.3858713725725713E-3</v>
      </c>
      <c r="Y150" s="47">
        <f t="shared" si="96"/>
        <v>-29441.673330477257</v>
      </c>
      <c r="Z150" s="47">
        <f t="shared" si="97"/>
        <v>21958.340900642797</v>
      </c>
      <c r="AN150" s="51"/>
      <c r="AO150" s="42"/>
    </row>
    <row r="151" spans="1:41" x14ac:dyDescent="0.25">
      <c r="A151" s="38">
        <v>57620</v>
      </c>
      <c r="B151" s="22">
        <v>2.5205479452061701E-5</v>
      </c>
      <c r="C151" s="22">
        <v>3.3093413521068001E-4</v>
      </c>
      <c r="D151" s="22">
        <v>0.95136606578439997</v>
      </c>
      <c r="E151" s="22">
        <v>1.8875198122449901E-3</v>
      </c>
      <c r="F151" s="32">
        <v>0.780147262925732</v>
      </c>
      <c r="G151" s="5">
        <f t="shared" si="87"/>
        <v>37.794444444444444</v>
      </c>
      <c r="H151" s="5">
        <f t="shared" si="89"/>
        <v>1.3663564525175382E-4</v>
      </c>
      <c r="I151" s="5">
        <f t="shared" si="90"/>
        <v>0.99484959352332869</v>
      </c>
      <c r="J151" s="32">
        <f t="shared" si="88"/>
        <v>1.5813847456204255</v>
      </c>
      <c r="K151" s="22" t="s">
        <v>459</v>
      </c>
      <c r="L151" s="40">
        <f t="shared" si="91"/>
        <v>-2.875</v>
      </c>
      <c r="M151" s="96">
        <v>57620</v>
      </c>
      <c r="N151" s="99">
        <f t="shared" si="98"/>
        <v>57528</v>
      </c>
      <c r="O151" s="38">
        <f t="shared" si="99"/>
        <v>57620</v>
      </c>
      <c r="P151" s="88">
        <f t="shared" si="100"/>
        <v>92</v>
      </c>
      <c r="Q151" s="45">
        <v>10000000</v>
      </c>
      <c r="R151" s="105">
        <f t="shared" si="92"/>
        <v>1.2949596595200521E-3</v>
      </c>
      <c r="S151" s="45">
        <f t="shared" si="101"/>
        <v>3309.3413521068001</v>
      </c>
      <c r="T151" s="45">
        <f t="shared" si="102"/>
        <v>252.05479452061701</v>
      </c>
      <c r="V151" s="61">
        <f t="shared" si="93"/>
        <v>-15791601.211662764</v>
      </c>
      <c r="W151" s="47">
        <f t="shared" si="94"/>
        <v>-15813847.456204256</v>
      </c>
      <c r="X151" s="107">
        <f t="shared" si="95"/>
        <v>7.3859470913934392E-3</v>
      </c>
      <c r="Y151" s="47">
        <f t="shared" si="96"/>
        <v>-29806.960154085456</v>
      </c>
      <c r="Z151" s="47">
        <f t="shared" si="97"/>
        <v>22246.244541492313</v>
      </c>
      <c r="AN151" s="51"/>
      <c r="AO151" s="42"/>
    </row>
    <row r="152" spans="1:41" x14ac:dyDescent="0.25">
      <c r="A152" s="38">
        <v>57712</v>
      </c>
      <c r="B152" s="22">
        <v>2.5205479452061701E-5</v>
      </c>
      <c r="C152" s="22">
        <v>3.3093413521090298E-4</v>
      </c>
      <c r="D152" s="22">
        <v>0.95137988370737003</v>
      </c>
      <c r="E152" s="22">
        <v>1.8875198122452099E-3</v>
      </c>
      <c r="F152" s="32">
        <v>0.77907904343095402</v>
      </c>
      <c r="G152" s="5">
        <f t="shared" si="87"/>
        <v>38.049999999999997</v>
      </c>
      <c r="H152" s="5">
        <f t="shared" si="89"/>
        <v>1.3470481287959074E-4</v>
      </c>
      <c r="I152" s="5">
        <f t="shared" si="90"/>
        <v>0.99488793834499512</v>
      </c>
      <c r="J152" s="32">
        <f t="shared" si="88"/>
        <v>1.583614066819615</v>
      </c>
      <c r="K152" s="22" t="s">
        <v>459</v>
      </c>
      <c r="L152" s="40">
        <f t="shared" si="91"/>
        <v>-2.875</v>
      </c>
      <c r="M152" s="96">
        <v>57712</v>
      </c>
      <c r="N152" s="99">
        <f t="shared" si="98"/>
        <v>57620</v>
      </c>
      <c r="O152" s="38">
        <f t="shared" si="99"/>
        <v>57712</v>
      </c>
      <c r="P152" s="88">
        <f t="shared" si="100"/>
        <v>92</v>
      </c>
      <c r="Q152" s="45">
        <v>10000000</v>
      </c>
      <c r="R152" s="105">
        <f t="shared" si="92"/>
        <v>1.2949596595209247E-3</v>
      </c>
      <c r="S152" s="45">
        <f t="shared" si="101"/>
        <v>3309.3413521090297</v>
      </c>
      <c r="T152" s="45">
        <f t="shared" si="102"/>
        <v>252.05479452061701</v>
      </c>
      <c r="V152" s="61">
        <f t="shared" si="93"/>
        <v>-15813847.456204256</v>
      </c>
      <c r="W152" s="47">
        <f t="shared" si="94"/>
        <v>-15836140.668196151</v>
      </c>
      <c r="X152" s="107">
        <f t="shared" si="95"/>
        <v>7.3859470913942996E-3</v>
      </c>
      <c r="Y152" s="47">
        <f t="shared" si="96"/>
        <v>-29848.950381409049</v>
      </c>
      <c r="Z152" s="47">
        <f t="shared" si="97"/>
        <v>22293.21199189499</v>
      </c>
      <c r="AN152" s="51"/>
      <c r="AO152" s="42"/>
    </row>
    <row r="153" spans="1:41" x14ac:dyDescent="0.25">
      <c r="A153" s="38">
        <v>57802</v>
      </c>
      <c r="B153" s="22">
        <v>2.4657534246630399E-5</v>
      </c>
      <c r="C153" s="22">
        <v>3.2373875048308199E-4</v>
      </c>
      <c r="D153" s="22">
        <v>0.95139340143490903</v>
      </c>
      <c r="E153" s="22">
        <v>1.84644891369645E-3</v>
      </c>
      <c r="F153" s="32">
        <v>0.77803546142668001</v>
      </c>
      <c r="G153" s="5">
        <f t="shared" si="87"/>
        <v>38.299999999999997</v>
      </c>
      <c r="H153" s="5">
        <f t="shared" si="89"/>
        <v>1.3281595512421376E-4</v>
      </c>
      <c r="I153" s="5">
        <f t="shared" si="90"/>
        <v>0.99492640109941777</v>
      </c>
      <c r="J153" s="32">
        <f t="shared" si="88"/>
        <v>1.5857994798090045</v>
      </c>
      <c r="K153" s="22" t="s">
        <v>459</v>
      </c>
      <c r="L153" s="40">
        <f t="shared" si="91"/>
        <v>-2.875</v>
      </c>
      <c r="M153" s="96">
        <v>57802</v>
      </c>
      <c r="N153" s="99">
        <f t="shared" si="98"/>
        <v>57712</v>
      </c>
      <c r="O153" s="38">
        <f t="shared" si="99"/>
        <v>57802</v>
      </c>
      <c r="P153" s="88">
        <f t="shared" si="100"/>
        <v>90</v>
      </c>
      <c r="Q153" s="45">
        <v>10000000</v>
      </c>
      <c r="R153" s="105">
        <f t="shared" si="92"/>
        <v>1.294955001932328E-3</v>
      </c>
      <c r="S153" s="45">
        <f t="shared" si="101"/>
        <v>3237.38750483082</v>
      </c>
      <c r="T153" s="45">
        <f t="shared" si="102"/>
        <v>246.57534246630399</v>
      </c>
      <c r="V153" s="61">
        <f t="shared" si="93"/>
        <v>-15836140.668196151</v>
      </c>
      <c r="W153" s="47">
        <f t="shared" si="94"/>
        <v>-15857994.798090044</v>
      </c>
      <c r="X153" s="107">
        <f t="shared" si="95"/>
        <v>7.3857956547857999E-3</v>
      </c>
      <c r="Y153" s="47">
        <f t="shared" si="96"/>
        <v>-29240.624733934957</v>
      </c>
      <c r="Z153" s="47">
        <f t="shared" si="97"/>
        <v>21854.129893893376</v>
      </c>
      <c r="AN153" s="51"/>
      <c r="AO153" s="42"/>
    </row>
    <row r="154" spans="1:41" x14ac:dyDescent="0.25">
      <c r="A154" s="38">
        <v>57893</v>
      </c>
      <c r="B154" s="22">
        <v>2.4931506849234999E-5</v>
      </c>
      <c r="C154" s="22">
        <v>3.2733643637739002E-4</v>
      </c>
      <c r="D154" s="22">
        <v>0.951407069554701</v>
      </c>
      <c r="E154" s="22">
        <v>1.86698415251118E-3</v>
      </c>
      <c r="F154" s="32">
        <v>0.77698170532976196</v>
      </c>
      <c r="G154" s="5">
        <f t="shared" si="87"/>
        <v>38.552777777777777</v>
      </c>
      <c r="H154" s="5">
        <f t="shared" si="89"/>
        <v>1.3090611006044375E-4</v>
      </c>
      <c r="I154" s="5">
        <f t="shared" si="90"/>
        <v>0.99496624813460977</v>
      </c>
      <c r="J154" s="32">
        <f t="shared" si="88"/>
        <v>1.5880137664091627</v>
      </c>
      <c r="K154" s="22" t="s">
        <v>459</v>
      </c>
      <c r="L154" s="40">
        <f t="shared" si="91"/>
        <v>-2.875</v>
      </c>
      <c r="M154" s="96">
        <v>57893</v>
      </c>
      <c r="N154" s="99">
        <f t="shared" si="98"/>
        <v>57802</v>
      </c>
      <c r="O154" s="38">
        <f t="shared" si="99"/>
        <v>57893</v>
      </c>
      <c r="P154" s="88">
        <f t="shared" si="100"/>
        <v>91</v>
      </c>
      <c r="Q154" s="45">
        <v>10000000</v>
      </c>
      <c r="R154" s="105">
        <f t="shared" si="92"/>
        <v>1.2949573307237407E-3</v>
      </c>
      <c r="S154" s="45">
        <f t="shared" si="101"/>
        <v>3273.3643637739001</v>
      </c>
      <c r="T154" s="45">
        <f t="shared" si="102"/>
        <v>249.31506849234998</v>
      </c>
      <c r="V154" s="61">
        <f t="shared" si="93"/>
        <v>-15857994.798090044</v>
      </c>
      <c r="W154" s="47">
        <f t="shared" si="94"/>
        <v>-15880137.664091626</v>
      </c>
      <c r="X154" s="107">
        <f t="shared" si="95"/>
        <v>7.3858713725717014E-3</v>
      </c>
      <c r="Y154" s="47">
        <f t="shared" si="96"/>
        <v>-29606.624978638843</v>
      </c>
      <c r="Z154" s="47">
        <f t="shared" si="97"/>
        <v>22142.866001581773</v>
      </c>
      <c r="AN154" s="51"/>
      <c r="AO154" s="42"/>
    </row>
    <row r="155" spans="1:41" x14ac:dyDescent="0.25">
      <c r="A155" s="38">
        <v>57985</v>
      </c>
      <c r="B155" s="22">
        <v>2.5205479452061701E-5</v>
      </c>
      <c r="C155" s="22">
        <v>3.3093413521090298E-4</v>
      </c>
      <c r="D155" s="22">
        <v>0.951420888073223</v>
      </c>
      <c r="E155" s="22">
        <v>1.8875198122449901E-3</v>
      </c>
      <c r="F155" s="32">
        <v>0.77591782028630796</v>
      </c>
      <c r="G155" s="5">
        <f t="shared" si="87"/>
        <v>38.80833333333333</v>
      </c>
      <c r="H155" s="5">
        <f t="shared" si="89"/>
        <v>1.2897527768828063E-4</v>
      </c>
      <c r="I155" s="5">
        <f t="shared" si="90"/>
        <v>0.99500751129179821</v>
      </c>
      <c r="J155" s="32">
        <f t="shared" si="88"/>
        <v>1.5902570897233106</v>
      </c>
      <c r="K155" s="22" t="s">
        <v>459</v>
      </c>
      <c r="L155" s="40">
        <f t="shared" si="91"/>
        <v>-2.875</v>
      </c>
      <c r="M155" s="96">
        <v>57985</v>
      </c>
      <c r="N155" s="99">
        <f t="shared" si="98"/>
        <v>57893</v>
      </c>
      <c r="O155" s="38">
        <f t="shared" si="99"/>
        <v>57985</v>
      </c>
      <c r="P155" s="88">
        <f t="shared" si="100"/>
        <v>92</v>
      </c>
      <c r="Q155" s="45">
        <v>10000000</v>
      </c>
      <c r="R155" s="105">
        <f t="shared" si="92"/>
        <v>1.2949596595209247E-3</v>
      </c>
      <c r="S155" s="45">
        <f t="shared" si="101"/>
        <v>3309.3413521090297</v>
      </c>
      <c r="T155" s="45">
        <f t="shared" si="102"/>
        <v>252.05479452061701</v>
      </c>
      <c r="V155" s="61">
        <f t="shared" si="93"/>
        <v>-15880137.664091626</v>
      </c>
      <c r="W155" s="47">
        <f t="shared" si="94"/>
        <v>-15902570.897233106</v>
      </c>
      <c r="X155" s="107">
        <f t="shared" si="95"/>
        <v>7.3859470913934392E-3</v>
      </c>
      <c r="Y155" s="47">
        <f t="shared" si="96"/>
        <v>-29974.07446215082</v>
      </c>
      <c r="Z155" s="47">
        <f t="shared" si="97"/>
        <v>22433.233141480014</v>
      </c>
      <c r="AN155" s="51"/>
      <c r="AO155" s="42"/>
    </row>
    <row r="156" spans="1:41" x14ac:dyDescent="0.25">
      <c r="A156" s="38">
        <v>58077</v>
      </c>
      <c r="B156" s="22">
        <v>2.5205479452061701E-5</v>
      </c>
      <c r="C156" s="22">
        <v>3.3093413521068001E-4</v>
      </c>
      <c r="D156" s="22">
        <v>0.95143470679244802</v>
      </c>
      <c r="E156" s="22">
        <v>1.8875198122449901E-3</v>
      </c>
      <c r="F156" s="32">
        <v>0.77485539197134201</v>
      </c>
      <c r="G156" s="5">
        <f t="shared" si="87"/>
        <v>39.06388888888889</v>
      </c>
      <c r="H156" s="5">
        <f t="shared" si="89"/>
        <v>1.2704444531611752E-4</v>
      </c>
      <c r="I156" s="5">
        <f t="shared" si="90"/>
        <v>0.99504975816169206</v>
      </c>
      <c r="J156" s="32">
        <f t="shared" si="88"/>
        <v>1.5925051537125423</v>
      </c>
      <c r="K156" s="22" t="s">
        <v>459</v>
      </c>
      <c r="L156" s="40">
        <f t="shared" si="91"/>
        <v>-2.875</v>
      </c>
      <c r="M156" s="96">
        <v>58077</v>
      </c>
      <c r="N156" s="99">
        <f t="shared" si="98"/>
        <v>57985</v>
      </c>
      <c r="O156" s="38">
        <f t="shared" si="99"/>
        <v>58077</v>
      </c>
      <c r="P156" s="88">
        <f t="shared" si="100"/>
        <v>92</v>
      </c>
      <c r="Q156" s="45">
        <v>10000000</v>
      </c>
      <c r="R156" s="105">
        <f t="shared" si="92"/>
        <v>1.2949596595200521E-3</v>
      </c>
      <c r="S156" s="45">
        <f t="shared" si="101"/>
        <v>3309.3413521068001</v>
      </c>
      <c r="T156" s="45">
        <f t="shared" si="102"/>
        <v>252.05479452061701</v>
      </c>
      <c r="V156" s="61">
        <f t="shared" si="93"/>
        <v>-15902570.897233106</v>
      </c>
      <c r="W156" s="47">
        <f t="shared" si="94"/>
        <v>-15925051.537125424</v>
      </c>
      <c r="X156" s="107">
        <f t="shared" si="95"/>
        <v>7.3859470913934392E-3</v>
      </c>
      <c r="Y156" s="47">
        <f t="shared" si="96"/>
        <v>-30016.417634158075</v>
      </c>
      <c r="Z156" s="47">
        <f t="shared" si="97"/>
        <v>22480.639892317355</v>
      </c>
      <c r="AN156" s="51"/>
      <c r="AO156" s="42"/>
    </row>
    <row r="157" spans="1:41" x14ac:dyDescent="0.25">
      <c r="A157" s="38">
        <v>58167</v>
      </c>
      <c r="B157" s="22">
        <v>2.4657534246630399E-5</v>
      </c>
      <c r="C157" s="22">
        <v>3.2373875048330398E-4</v>
      </c>
      <c r="D157" s="22">
        <v>0.95144822529894402</v>
      </c>
      <c r="E157" s="22">
        <v>1.84644891369645E-3</v>
      </c>
      <c r="F157" s="32">
        <v>0.77381746757869596</v>
      </c>
      <c r="G157" s="5">
        <f t="shared" si="87"/>
        <v>39.31388888888889</v>
      </c>
      <c r="H157" s="5">
        <f t="shared" si="89"/>
        <v>1.2515558756074054E-4</v>
      </c>
      <c r="I157" s="5">
        <f t="shared" si="90"/>
        <v>0.99509203861187256</v>
      </c>
      <c r="J157" s="32">
        <f t="shared" si="88"/>
        <v>1.594708944660888</v>
      </c>
      <c r="K157" s="22" t="s">
        <v>459</v>
      </c>
      <c r="L157" s="40">
        <f t="shared" si="91"/>
        <v>-2.875</v>
      </c>
      <c r="M157" s="96">
        <v>58167</v>
      </c>
      <c r="N157" s="99">
        <f t="shared" si="98"/>
        <v>58077</v>
      </c>
      <c r="O157" s="38">
        <f t="shared" si="99"/>
        <v>58167</v>
      </c>
      <c r="P157" s="88">
        <f t="shared" si="100"/>
        <v>90</v>
      </c>
      <c r="Q157" s="45">
        <v>10000000</v>
      </c>
      <c r="R157" s="105">
        <f t="shared" si="92"/>
        <v>1.2949550019332159E-3</v>
      </c>
      <c r="S157" s="45">
        <f t="shared" si="101"/>
        <v>3237.3875048330397</v>
      </c>
      <c r="T157" s="45">
        <f t="shared" si="102"/>
        <v>246.57534246630399</v>
      </c>
      <c r="V157" s="61">
        <f t="shared" si="93"/>
        <v>-15925051.537125424</v>
      </c>
      <c r="W157" s="47">
        <f t="shared" si="94"/>
        <v>-15947089.446608881</v>
      </c>
      <c r="X157" s="107">
        <f t="shared" si="95"/>
        <v>7.3857956547857999E-3</v>
      </c>
      <c r="Y157" s="47">
        <f t="shared" si="96"/>
        <v>-29404.79411128522</v>
      </c>
      <c r="Z157" s="47">
        <f t="shared" si="97"/>
        <v>22037.909483456984</v>
      </c>
      <c r="AN157" s="51"/>
      <c r="AO157" s="42"/>
    </row>
    <row r="158" spans="1:41" x14ac:dyDescent="0.25">
      <c r="A158" s="38">
        <v>58258</v>
      </c>
      <c r="B158" s="22">
        <v>2.4931506849234999E-5</v>
      </c>
      <c r="C158" s="22">
        <v>3.2733643637739002E-4</v>
      </c>
      <c r="D158" s="22">
        <v>0.95146189420635896</v>
      </c>
      <c r="E158" s="22">
        <v>1.8669841525113999E-3</v>
      </c>
      <c r="F158" s="32">
        <v>0.77276942425061002</v>
      </c>
      <c r="G158" s="5">
        <f t="shared" si="87"/>
        <v>39.56666666666667</v>
      </c>
      <c r="H158" s="5">
        <f t="shared" si="89"/>
        <v>1.232457424969705E-4</v>
      </c>
      <c r="I158" s="5">
        <f t="shared" si="90"/>
        <v>0.99513574625014189</v>
      </c>
      <c r="J158" s="32">
        <f t="shared" si="88"/>
        <v>1.5969418563907769</v>
      </c>
      <c r="K158" s="22" t="s">
        <v>459</v>
      </c>
      <c r="L158" s="40">
        <f t="shared" si="91"/>
        <v>-2.875</v>
      </c>
      <c r="M158" s="96">
        <v>58258</v>
      </c>
      <c r="N158" s="99">
        <f t="shared" si="98"/>
        <v>58167</v>
      </c>
      <c r="O158" s="38">
        <f t="shared" si="99"/>
        <v>58258</v>
      </c>
      <c r="P158" s="88">
        <f t="shared" si="100"/>
        <v>91</v>
      </c>
      <c r="Q158" s="45">
        <v>10000000</v>
      </c>
      <c r="R158" s="105">
        <f t="shared" si="92"/>
        <v>1.2949573307237407E-3</v>
      </c>
      <c r="S158" s="45">
        <f t="shared" si="101"/>
        <v>3273.3643637739001</v>
      </c>
      <c r="T158" s="45">
        <f t="shared" si="102"/>
        <v>249.31506849234998</v>
      </c>
      <c r="V158" s="61">
        <f t="shared" si="93"/>
        <v>-15947089.446608881</v>
      </c>
      <c r="W158" s="47">
        <f t="shared" si="94"/>
        <v>-15969418.563907769</v>
      </c>
      <c r="X158" s="107">
        <f t="shared" si="95"/>
        <v>7.3858713725725713E-3</v>
      </c>
      <c r="Y158" s="47">
        <f t="shared" si="96"/>
        <v>-29772.96327550057</v>
      </c>
      <c r="Z158" s="47">
        <f t="shared" si="97"/>
        <v>22329.117298888043</v>
      </c>
      <c r="AN158" s="51"/>
      <c r="AO158" s="42"/>
    </row>
    <row r="159" spans="1:41" x14ac:dyDescent="0.25">
      <c r="A159" s="38">
        <v>58350</v>
      </c>
      <c r="B159" s="22">
        <v>2.5205479452061701E-5</v>
      </c>
      <c r="C159" s="22">
        <v>3.3093413521068001E-4</v>
      </c>
      <c r="D159" s="22">
        <v>0.95147571352117</v>
      </c>
      <c r="E159" s="22">
        <v>1.8875198122449901E-3</v>
      </c>
      <c r="F159" s="32">
        <v>0.77171130688843803</v>
      </c>
      <c r="G159" s="5">
        <f t="shared" si="87"/>
        <v>39.822222222222223</v>
      </c>
      <c r="H159" s="5">
        <f t="shared" si="89"/>
        <v>1.2131491012480741E-4</v>
      </c>
      <c r="I159" s="5">
        <f t="shared" si="90"/>
        <v>0.99518091294527578</v>
      </c>
      <c r="J159" s="32">
        <f t="shared" si="88"/>
        <v>1.599204053546214</v>
      </c>
      <c r="K159" s="22" t="s">
        <v>459</v>
      </c>
      <c r="L159" s="40">
        <f t="shared" si="91"/>
        <v>-2.875</v>
      </c>
      <c r="M159" s="96">
        <v>58350</v>
      </c>
      <c r="N159" s="99">
        <f t="shared" si="98"/>
        <v>58258</v>
      </c>
      <c r="O159" s="38">
        <f t="shared" si="99"/>
        <v>58350</v>
      </c>
      <c r="P159" s="88">
        <f t="shared" si="100"/>
        <v>92</v>
      </c>
      <c r="Q159" s="45">
        <v>10000000</v>
      </c>
      <c r="R159" s="105">
        <f t="shared" si="92"/>
        <v>1.2949596595200521E-3</v>
      </c>
      <c r="S159" s="45">
        <f t="shared" si="101"/>
        <v>3309.3413521068001</v>
      </c>
      <c r="T159" s="45">
        <f t="shared" si="102"/>
        <v>252.05479452061701</v>
      </c>
      <c r="V159" s="61">
        <f t="shared" si="93"/>
        <v>-15969418.563907769</v>
      </c>
      <c r="W159" s="47">
        <f t="shared" si="94"/>
        <v>-15992040.535462139</v>
      </c>
      <c r="X159" s="107">
        <f t="shared" si="95"/>
        <v>7.3859470913934392E-3</v>
      </c>
      <c r="Y159" s="47">
        <f t="shared" si="96"/>
        <v>-30142.593929408849</v>
      </c>
      <c r="Z159" s="47">
        <f t="shared" si="97"/>
        <v>22621.971554370597</v>
      </c>
      <c r="AN159" s="51"/>
      <c r="AO159" s="42"/>
    </row>
    <row r="160" spans="1:41" x14ac:dyDescent="0.25">
      <c r="A160" s="38">
        <v>58442</v>
      </c>
      <c r="B160" s="22">
        <v>2.5205479452061701E-5</v>
      </c>
      <c r="C160" s="22">
        <v>3.3093413521068001E-4</v>
      </c>
      <c r="D160" s="22">
        <v>0.95148953303669603</v>
      </c>
      <c r="E160" s="22">
        <v>1.8875198122449901E-3</v>
      </c>
      <c r="F160" s="32">
        <v>0.77065463835733705</v>
      </c>
      <c r="G160" s="5">
        <f t="shared" si="87"/>
        <v>40.077777777777776</v>
      </c>
      <c r="H160" s="5">
        <f t="shared" si="89"/>
        <v>1.1938407775264432E-4</v>
      </c>
      <c r="I160" s="5">
        <f t="shared" si="90"/>
        <v>0.9952270638781292</v>
      </c>
      <c r="J160" s="32">
        <f t="shared" si="88"/>
        <v>1.6014710357754354</v>
      </c>
      <c r="K160" s="22" t="s">
        <v>459</v>
      </c>
      <c r="L160" s="40">
        <f t="shared" si="91"/>
        <v>-2.875</v>
      </c>
      <c r="M160" s="96">
        <v>58442</v>
      </c>
      <c r="N160" s="99">
        <f t="shared" si="98"/>
        <v>58350</v>
      </c>
      <c r="O160" s="38">
        <f t="shared" si="99"/>
        <v>58442</v>
      </c>
      <c r="P160" s="88">
        <f t="shared" si="100"/>
        <v>92</v>
      </c>
      <c r="Q160" s="45">
        <v>10000000</v>
      </c>
      <c r="R160" s="105">
        <f t="shared" si="92"/>
        <v>1.2949596595200521E-3</v>
      </c>
      <c r="S160" s="45">
        <f t="shared" si="101"/>
        <v>3309.3413521068001</v>
      </c>
      <c r="T160" s="45">
        <f t="shared" si="102"/>
        <v>252.05479452061701</v>
      </c>
      <c r="V160" s="61">
        <f t="shared" si="93"/>
        <v>-15992040.535462139</v>
      </c>
      <c r="W160" s="47">
        <f t="shared" si="94"/>
        <v>-16014710.357754353</v>
      </c>
      <c r="X160" s="107">
        <f t="shared" si="95"/>
        <v>7.3859470913934392E-3</v>
      </c>
      <c r="Y160" s="47">
        <f t="shared" si="96"/>
        <v>-30185.293348909767</v>
      </c>
      <c r="Z160" s="47">
        <f t="shared" si="97"/>
        <v>22669.82229221426</v>
      </c>
      <c r="AN160" s="51"/>
      <c r="AO160" s="42"/>
    </row>
    <row r="161" spans="1:41" x14ac:dyDescent="0.25">
      <c r="A161" s="38">
        <v>58533</v>
      </c>
      <c r="B161" s="22">
        <v>2.4931506849234999E-5</v>
      </c>
      <c r="C161" s="22">
        <v>3.2733643637739002E-4</v>
      </c>
      <c r="D161" s="22">
        <v>0.95150320253755605</v>
      </c>
      <c r="E161" s="22">
        <v>1.8669841525113999E-3</v>
      </c>
      <c r="F161" s="32">
        <v>0.76961087870363498</v>
      </c>
      <c r="G161" s="5">
        <f t="shared" si="87"/>
        <v>40.330555555555556</v>
      </c>
      <c r="H161" s="5">
        <f t="shared" si="89"/>
        <v>1.1747423268887425E-4</v>
      </c>
      <c r="I161" s="5">
        <f t="shared" si="90"/>
        <v>0.99527368155571971</v>
      </c>
      <c r="J161" s="32">
        <f t="shared" si="88"/>
        <v>1.6037180952746564</v>
      </c>
      <c r="K161" s="22" t="s">
        <v>459</v>
      </c>
      <c r="L161" s="40">
        <f t="shared" si="91"/>
        <v>-2.875</v>
      </c>
      <c r="M161" s="96">
        <v>58533</v>
      </c>
      <c r="N161" s="99">
        <f t="shared" si="98"/>
        <v>58442</v>
      </c>
      <c r="O161" s="38">
        <f t="shared" si="99"/>
        <v>58533</v>
      </c>
      <c r="P161" s="88">
        <f t="shared" si="100"/>
        <v>91</v>
      </c>
      <c r="Q161" s="45">
        <v>10000000</v>
      </c>
      <c r="R161" s="105">
        <f t="shared" si="92"/>
        <v>1.2949573307237407E-3</v>
      </c>
      <c r="S161" s="45">
        <f t="shared" si="101"/>
        <v>3273.3643637739001</v>
      </c>
      <c r="T161" s="45">
        <f t="shared" si="102"/>
        <v>249.31506849234998</v>
      </c>
      <c r="V161" s="61">
        <f t="shared" si="93"/>
        <v>-16014710.357754353</v>
      </c>
      <c r="W161" s="47">
        <f t="shared" si="94"/>
        <v>-16037180.952746565</v>
      </c>
      <c r="X161" s="107">
        <f t="shared" si="95"/>
        <v>7.3858713725725713E-3</v>
      </c>
      <c r="Y161" s="47">
        <f t="shared" si="96"/>
        <v>-29899.210444987548</v>
      </c>
      <c r="Z161" s="47">
        <f t="shared" si="97"/>
        <v>22470.594992211089</v>
      </c>
      <c r="AN161" s="51"/>
      <c r="AO161" s="42"/>
    </row>
    <row r="162" spans="1:41" x14ac:dyDescent="0.25">
      <c r="A162" s="39">
        <v>58624</v>
      </c>
      <c r="B162" s="11">
        <v>2.4931506849234999E-5</v>
      </c>
      <c r="C162" s="11">
        <v>3.2610052274728498E-4</v>
      </c>
      <c r="D162" s="11">
        <v>0.95151929503363197</v>
      </c>
      <c r="E162" s="11">
        <v>1.86698415251118E-3</v>
      </c>
      <c r="F162" s="33">
        <v>0.76856853269770697</v>
      </c>
      <c r="G162" s="11">
        <f t="shared" si="87"/>
        <v>40.583333333333336</v>
      </c>
      <c r="H162" s="11">
        <f t="shared" si="89"/>
        <v>1.1556438762510422E-4</v>
      </c>
      <c r="I162" s="11">
        <f t="shared" si="90"/>
        <v>0.99532126246527752</v>
      </c>
      <c r="J162" s="33">
        <f t="shared" si="88"/>
        <v>1.6059698583426967</v>
      </c>
      <c r="K162" s="11" t="s">
        <v>459</v>
      </c>
      <c r="L162" s="41">
        <f t="shared" si="91"/>
        <v>-2.875</v>
      </c>
      <c r="M162" s="95">
        <v>58624</v>
      </c>
      <c r="N162" s="9">
        <f t="shared" si="98"/>
        <v>58533</v>
      </c>
      <c r="O162" s="39">
        <f t="shared" si="99"/>
        <v>58624</v>
      </c>
      <c r="P162" s="87">
        <f t="shared" si="100"/>
        <v>91</v>
      </c>
      <c r="Q162" s="46">
        <v>10000000</v>
      </c>
      <c r="R162" s="106">
        <f t="shared" si="92"/>
        <v>1.2900680020771712E-3</v>
      </c>
      <c r="S162" s="46">
        <f t="shared" si="101"/>
        <v>3261.0052274728496</v>
      </c>
      <c r="T162" s="46">
        <f t="shared" si="102"/>
        <v>249.31506849234998</v>
      </c>
      <c r="U162" s="50">
        <f>Q162</f>
        <v>10000000</v>
      </c>
      <c r="V162" s="62">
        <f t="shared" si="93"/>
        <v>-16037180.952746565</v>
      </c>
      <c r="W162" s="46">
        <f t="shared" si="94"/>
        <v>-16059698.583426967</v>
      </c>
      <c r="X162" s="106">
        <f t="shared" si="95"/>
        <v>7.3858713725717014E-3</v>
      </c>
      <c r="Y162" s="46">
        <f t="shared" si="96"/>
        <v>-29941.162689731984</v>
      </c>
      <c r="Z162" s="46">
        <f t="shared" si="97"/>
        <v>22517.630680402741</v>
      </c>
      <c r="AA162" s="50">
        <f>W162</f>
        <v>-16059698.583426967</v>
      </c>
      <c r="AN162" s="51"/>
      <c r="AO162" s="42"/>
    </row>
    <row r="163" spans="1:41" x14ac:dyDescent="0.25">
      <c r="A163" s="38">
        <v>58718</v>
      </c>
      <c r="B163" s="22">
        <v>2.5753424657493E-5</v>
      </c>
      <c r="C163" s="22">
        <v>2.8004265498804399E-4</v>
      </c>
      <c r="D163" s="22">
        <v>0.95164729581655305</v>
      </c>
      <c r="E163" s="22">
        <v>1.23860856035662E-3</v>
      </c>
      <c r="F163" s="32">
        <v>0.76726800213540403</v>
      </c>
      <c r="G163" s="5">
        <f t="shared" si="87"/>
        <v>40.844444444444441</v>
      </c>
      <c r="H163" s="5">
        <f t="shared" ref="H163:H194" si="103">RE_MATH_LinearInterpolation($BY$3:$BY$36,$CA$3:$CA$36,$G163)</f>
        <v>1.3612982284228449E-4</v>
      </c>
      <c r="I163" s="5">
        <f t="shared" si="90"/>
        <v>0.99445565834026883</v>
      </c>
      <c r="J163" s="32">
        <f t="shared" si="88"/>
        <v>1.6072929647470604</v>
      </c>
      <c r="K163" s="22" t="s">
        <v>460</v>
      </c>
      <c r="L163" s="40">
        <f t="shared" ref="L163:L194" si="104">VLOOKUP($K163,$BG$21:$BI$36,3,FALSE)*10000</f>
        <v>0.25</v>
      </c>
      <c r="M163" s="96">
        <v>58718</v>
      </c>
      <c r="N163" s="99">
        <f t="shared" si="98"/>
        <v>58624</v>
      </c>
      <c r="O163" s="38">
        <f t="shared" si="99"/>
        <v>58718</v>
      </c>
      <c r="P163" s="88">
        <f t="shared" si="100"/>
        <v>94</v>
      </c>
      <c r="Q163" s="45">
        <v>10000000</v>
      </c>
      <c r="R163" s="105">
        <f t="shared" si="92"/>
        <v>1.072503785060594E-3</v>
      </c>
      <c r="S163" s="45">
        <f t="shared" si="101"/>
        <v>2800.4265498804398</v>
      </c>
      <c r="T163" s="45">
        <f t="shared" si="102"/>
        <v>257.53424657493002</v>
      </c>
      <c r="V163" s="61">
        <f t="shared" si="93"/>
        <v>-16059698.583426967</v>
      </c>
      <c r="W163" s="47">
        <f t="shared" si="94"/>
        <v>-16072929.647470605</v>
      </c>
      <c r="X163" s="107">
        <f t="shared" si="95"/>
        <v>4.7436072524296088E-3</v>
      </c>
      <c r="Y163" s="47">
        <f t="shared" si="96"/>
        <v>-19891.680142179724</v>
      </c>
      <c r="Z163" s="47">
        <f t="shared" si="97"/>
        <v>13231.064043637365</v>
      </c>
      <c r="AN163" s="51"/>
      <c r="AO163" s="42"/>
    </row>
    <row r="164" spans="1:41" x14ac:dyDescent="0.25">
      <c r="A164" s="38">
        <v>58810</v>
      </c>
      <c r="B164" s="22">
        <v>2.5205479452061701E-5</v>
      </c>
      <c r="C164" s="22">
        <v>2.7408348415858198E-4</v>
      </c>
      <c r="D164" s="22">
        <v>0.95177258985188995</v>
      </c>
      <c r="E164" s="22">
        <v>1.2122392199560501E-3</v>
      </c>
      <c r="F164" s="32">
        <v>0.76599727341335599</v>
      </c>
      <c r="G164" s="5">
        <f t="shared" si="87"/>
        <v>41.1</v>
      </c>
      <c r="H164" s="5">
        <f t="shared" si="103"/>
        <v>1.5625769560803613E-4</v>
      </c>
      <c r="I164" s="5">
        <f t="shared" si="90"/>
        <v>0.9935988853995964</v>
      </c>
      <c r="J164" s="32">
        <f t="shared" si="88"/>
        <v>1.6085722763651753</v>
      </c>
      <c r="K164" s="22" t="s">
        <v>460</v>
      </c>
      <c r="L164" s="40">
        <f t="shared" si="104"/>
        <v>0.25</v>
      </c>
      <c r="M164" s="96">
        <v>58810</v>
      </c>
      <c r="N164" s="99">
        <f t="shared" si="98"/>
        <v>58718</v>
      </c>
      <c r="O164" s="38">
        <f t="shared" si="99"/>
        <v>58810</v>
      </c>
      <c r="P164" s="88">
        <f t="shared" si="100"/>
        <v>92</v>
      </c>
      <c r="Q164" s="45">
        <v>10000000</v>
      </c>
      <c r="R164" s="105">
        <f t="shared" si="92"/>
        <v>1.0725005901857556E-3</v>
      </c>
      <c r="S164" s="45">
        <f t="shared" si="101"/>
        <v>2740.83484158582</v>
      </c>
      <c r="T164" s="45">
        <f t="shared" si="102"/>
        <v>252.05479452061701</v>
      </c>
      <c r="V164" s="61">
        <f t="shared" si="93"/>
        <v>-16072929.647470605</v>
      </c>
      <c r="W164" s="47">
        <f t="shared" si="94"/>
        <v>-16085722.763651753</v>
      </c>
      <c r="X164" s="107">
        <f t="shared" si="95"/>
        <v>4.7435447737410657E-3</v>
      </c>
      <c r="Y164" s="47">
        <f t="shared" si="96"/>
        <v>-19484.235698258235</v>
      </c>
      <c r="Z164" s="47">
        <f t="shared" si="97"/>
        <v>12793.116181148216</v>
      </c>
      <c r="AN164" s="51"/>
      <c r="AO164" s="42"/>
    </row>
    <row r="165" spans="1:41" x14ac:dyDescent="0.25">
      <c r="A165" s="38">
        <v>58900</v>
      </c>
      <c r="B165" s="22">
        <v>2.4657534246630399E-5</v>
      </c>
      <c r="C165" s="22">
        <v>2.68124348831166E-4</v>
      </c>
      <c r="D165" s="22">
        <v>0.95189517606604401</v>
      </c>
      <c r="E165" s="22">
        <v>1.1858705740375099E-3</v>
      </c>
      <c r="F165" s="32">
        <v>0.76475620567084501</v>
      </c>
      <c r="G165" s="5">
        <f t="shared" si="87"/>
        <v>41.35</v>
      </c>
      <c r="H165" s="5">
        <f t="shared" si="103"/>
        <v>1.7594800592235808E-4</v>
      </c>
      <c r="I165" s="5">
        <f t="shared" si="90"/>
        <v>0.99275158731051361</v>
      </c>
      <c r="J165" s="32">
        <f t="shared" si="88"/>
        <v>1.6098087655841062</v>
      </c>
      <c r="K165" s="22" t="s">
        <v>460</v>
      </c>
      <c r="L165" s="40">
        <f t="shared" si="104"/>
        <v>0.25</v>
      </c>
      <c r="M165" s="96">
        <v>58900</v>
      </c>
      <c r="N165" s="99">
        <f t="shared" si="98"/>
        <v>58810</v>
      </c>
      <c r="O165" s="38">
        <f t="shared" si="99"/>
        <v>58900</v>
      </c>
      <c r="P165" s="88">
        <f t="shared" si="100"/>
        <v>90</v>
      </c>
      <c r="Q165" s="45">
        <v>10000000</v>
      </c>
      <c r="R165" s="105">
        <f t="shared" si="92"/>
        <v>1.072497395324664E-3</v>
      </c>
      <c r="S165" s="45">
        <f t="shared" si="101"/>
        <v>2681.2434883116598</v>
      </c>
      <c r="T165" s="45">
        <f t="shared" si="102"/>
        <v>246.57534246630399</v>
      </c>
      <c r="V165" s="61">
        <f t="shared" si="93"/>
        <v>-16085722.763651753</v>
      </c>
      <c r="W165" s="47">
        <f t="shared" si="94"/>
        <v>-16098087.655841062</v>
      </c>
      <c r="X165" s="107">
        <f t="shared" si="95"/>
        <v>4.7434822961500396E-3</v>
      </c>
      <c r="Y165" s="47">
        <f t="shared" si="96"/>
        <v>-19075.585287539943</v>
      </c>
      <c r="Z165" s="47">
        <f t="shared" si="97"/>
        <v>12364.892189309001</v>
      </c>
      <c r="AN165" s="51"/>
      <c r="AO165" s="42"/>
    </row>
    <row r="166" spans="1:41" x14ac:dyDescent="0.25">
      <c r="A166" s="38">
        <v>58992</v>
      </c>
      <c r="B166" s="22">
        <v>2.5205479452061701E-5</v>
      </c>
      <c r="C166" s="22">
        <v>2.7408348415858198E-4</v>
      </c>
      <c r="D166" s="22">
        <v>0.95202050273733396</v>
      </c>
      <c r="E166" s="22">
        <v>1.2122392199560501E-3</v>
      </c>
      <c r="F166" s="32">
        <v>0.76348963691884897</v>
      </c>
      <c r="G166" s="5">
        <f t="shared" si="87"/>
        <v>41.605555555555554</v>
      </c>
      <c r="H166" s="5">
        <f t="shared" si="103"/>
        <v>1.9607587868810915E-4</v>
      </c>
      <c r="I166" s="5">
        <f t="shared" si="90"/>
        <v>0.99187613223733606</v>
      </c>
      <c r="J166" s="32">
        <f t="shared" si="88"/>
        <v>1.6110573504984711</v>
      </c>
      <c r="K166" s="22" t="s">
        <v>460</v>
      </c>
      <c r="L166" s="40">
        <f t="shared" si="104"/>
        <v>0.25</v>
      </c>
      <c r="M166" s="96">
        <v>58992</v>
      </c>
      <c r="N166" s="99">
        <f t="shared" si="98"/>
        <v>58900</v>
      </c>
      <c r="O166" s="38">
        <f t="shared" si="99"/>
        <v>58992</v>
      </c>
      <c r="P166" s="88">
        <f t="shared" si="100"/>
        <v>92</v>
      </c>
      <c r="Q166" s="45">
        <v>10000000</v>
      </c>
      <c r="R166" s="105">
        <f t="shared" si="92"/>
        <v>1.0725005901857556E-3</v>
      </c>
      <c r="S166" s="45">
        <f t="shared" si="101"/>
        <v>2740.83484158582</v>
      </c>
      <c r="T166" s="45">
        <f t="shared" si="102"/>
        <v>252.05479452061701</v>
      </c>
      <c r="V166" s="61">
        <f t="shared" si="93"/>
        <v>-16098087.655841062</v>
      </c>
      <c r="W166" s="47">
        <f t="shared" si="94"/>
        <v>-16110573.50498471</v>
      </c>
      <c r="X166" s="107">
        <f t="shared" si="95"/>
        <v>4.7435447737410657E-3</v>
      </c>
      <c r="Y166" s="47">
        <f t="shared" si="96"/>
        <v>-19514.733222700888</v>
      </c>
      <c r="Z166" s="47">
        <f t="shared" si="97"/>
        <v>12485.84914364852</v>
      </c>
      <c r="AN166" s="51"/>
      <c r="AO166" s="42"/>
    </row>
    <row r="167" spans="1:41" x14ac:dyDescent="0.25">
      <c r="A167" s="38">
        <v>59082</v>
      </c>
      <c r="B167" s="22">
        <v>2.4657534246630399E-5</v>
      </c>
      <c r="C167" s="22">
        <v>2.6812434883094401E-4</v>
      </c>
      <c r="D167" s="22">
        <v>0.95214312088212305</v>
      </c>
      <c r="E167" s="22">
        <v>1.1858705740375099E-3</v>
      </c>
      <c r="F167" s="32">
        <v>0.76225263204558202</v>
      </c>
      <c r="G167" s="5">
        <f t="shared" si="87"/>
        <v>41.855555555555554</v>
      </c>
      <c r="H167" s="5">
        <f t="shared" si="103"/>
        <v>2.1576618900243108E-4</v>
      </c>
      <c r="I167" s="5">
        <f t="shared" si="90"/>
        <v>0.99101060880585412</v>
      </c>
      <c r="J167" s="32">
        <f t="shared" si="88"/>
        <v>1.612263709319208</v>
      </c>
      <c r="K167" s="22" t="s">
        <v>460</v>
      </c>
      <c r="L167" s="40">
        <f t="shared" si="104"/>
        <v>0.25</v>
      </c>
      <c r="M167" s="96">
        <v>59082</v>
      </c>
      <c r="N167" s="99">
        <f t="shared" si="98"/>
        <v>58992</v>
      </c>
      <c r="O167" s="38">
        <f t="shared" si="99"/>
        <v>59082</v>
      </c>
      <c r="P167" s="88">
        <f t="shared" si="100"/>
        <v>90</v>
      </c>
      <c r="Q167" s="45">
        <v>10000000</v>
      </c>
      <c r="R167" s="105">
        <f t="shared" si="92"/>
        <v>1.072497395323776E-3</v>
      </c>
      <c r="S167" s="45">
        <f t="shared" si="101"/>
        <v>2681.2434883094402</v>
      </c>
      <c r="T167" s="45">
        <f t="shared" si="102"/>
        <v>246.57534246630399</v>
      </c>
      <c r="V167" s="61">
        <f t="shared" si="93"/>
        <v>-16110573.50498471</v>
      </c>
      <c r="W167" s="47">
        <f t="shared" si="94"/>
        <v>-16122637.09319208</v>
      </c>
      <c r="X167" s="107">
        <f t="shared" si="95"/>
        <v>4.7434822961500396E-3</v>
      </c>
      <c r="Y167" s="47">
        <f t="shared" si="96"/>
        <v>-19105.055050429717</v>
      </c>
      <c r="Z167" s="47">
        <f t="shared" si="97"/>
        <v>12063.58820736967</v>
      </c>
      <c r="AN167" s="51"/>
      <c r="AO167" s="42"/>
    </row>
    <row r="168" spans="1:41" x14ac:dyDescent="0.25">
      <c r="A168" s="38">
        <v>59174</v>
      </c>
      <c r="B168" s="22">
        <v>2.5205479452061701E-5</v>
      </c>
      <c r="C168" s="22">
        <v>2.7408348415858198E-4</v>
      </c>
      <c r="D168" s="22">
        <v>0.95226848019786703</v>
      </c>
      <c r="E168" s="22">
        <v>1.2122392199560501E-3</v>
      </c>
      <c r="F168" s="32">
        <v>0.76099020964519404</v>
      </c>
      <c r="G168" s="5">
        <f t="shared" si="87"/>
        <v>42.111111111111114</v>
      </c>
      <c r="H168" s="5">
        <f t="shared" si="103"/>
        <v>2.3589406176818272E-4</v>
      </c>
      <c r="I168" s="5">
        <f t="shared" si="90"/>
        <v>0.99011657568155498</v>
      </c>
      <c r="J168" s="32">
        <f t="shared" si="88"/>
        <v>1.6134814218899991</v>
      </c>
      <c r="K168" s="22" t="s">
        <v>460</v>
      </c>
      <c r="L168" s="40">
        <f t="shared" si="104"/>
        <v>0.25</v>
      </c>
      <c r="M168" s="96">
        <v>59174</v>
      </c>
      <c r="N168" s="99">
        <f t="shared" si="98"/>
        <v>59082</v>
      </c>
      <c r="O168" s="38">
        <f t="shared" si="99"/>
        <v>59174</v>
      </c>
      <c r="P168" s="88">
        <f t="shared" si="100"/>
        <v>92</v>
      </c>
      <c r="Q168" s="45">
        <v>10000000</v>
      </c>
      <c r="R168" s="105">
        <f t="shared" si="92"/>
        <v>1.0725005901857556E-3</v>
      </c>
      <c r="S168" s="45">
        <f t="shared" si="101"/>
        <v>2740.83484158582</v>
      </c>
      <c r="T168" s="45">
        <f t="shared" si="102"/>
        <v>252.05479452061701</v>
      </c>
      <c r="V168" s="61">
        <f t="shared" si="93"/>
        <v>-16122637.09319208</v>
      </c>
      <c r="W168" s="47">
        <f t="shared" si="94"/>
        <v>-16134814.218899991</v>
      </c>
      <c r="X168" s="107">
        <f t="shared" si="95"/>
        <v>4.7435447737410657E-3</v>
      </c>
      <c r="Y168" s="47">
        <f t="shared" si="96"/>
        <v>-19544.493013485644</v>
      </c>
      <c r="Z168" s="47">
        <f t="shared" si="97"/>
        <v>12177.125707911327</v>
      </c>
      <c r="AN168" s="51"/>
      <c r="AO168" s="42"/>
    </row>
    <row r="169" spans="1:41" x14ac:dyDescent="0.25">
      <c r="A169" s="38">
        <v>59264</v>
      </c>
      <c r="B169" s="22">
        <v>2.4657534246630399E-5</v>
      </c>
      <c r="C169" s="22">
        <v>2.68124348831166E-4</v>
      </c>
      <c r="D169" s="22">
        <v>0.95239113028160605</v>
      </c>
      <c r="E169" s="22">
        <v>1.18587057403773E-3</v>
      </c>
      <c r="F169" s="32">
        <v>0.75975725434060304</v>
      </c>
      <c r="G169" s="5">
        <f t="shared" si="87"/>
        <v>42.361111111111114</v>
      </c>
      <c r="H169" s="5">
        <f t="shared" si="103"/>
        <v>2.5558437208250467E-4</v>
      </c>
      <c r="I169" s="5">
        <f t="shared" si="90"/>
        <v>0.98923292973054688</v>
      </c>
      <c r="J169" s="32">
        <f t="shared" si="88"/>
        <v>1.6146575095535631</v>
      </c>
      <c r="K169" s="22" t="s">
        <v>460</v>
      </c>
      <c r="L169" s="40">
        <f t="shared" si="104"/>
        <v>0.25</v>
      </c>
      <c r="M169" s="96">
        <v>59264</v>
      </c>
      <c r="N169" s="99">
        <f t="shared" si="98"/>
        <v>59174</v>
      </c>
      <c r="O169" s="38">
        <f t="shared" si="99"/>
        <v>59264</v>
      </c>
      <c r="P169" s="88">
        <f t="shared" si="100"/>
        <v>90</v>
      </c>
      <c r="Q169" s="45">
        <v>10000000</v>
      </c>
      <c r="R169" s="105">
        <f t="shared" si="92"/>
        <v>1.072497395324664E-3</v>
      </c>
      <c r="S169" s="45">
        <f t="shared" si="101"/>
        <v>2681.2434883116598</v>
      </c>
      <c r="T169" s="45">
        <f t="shared" si="102"/>
        <v>246.57534246630399</v>
      </c>
      <c r="V169" s="61">
        <f t="shared" si="93"/>
        <v>-16134814.218899991</v>
      </c>
      <c r="W169" s="47">
        <f t="shared" si="94"/>
        <v>-16146575.095535632</v>
      </c>
      <c r="X169" s="107">
        <f t="shared" si="95"/>
        <v>4.74348229615092E-3</v>
      </c>
      <c r="Y169" s="47">
        <f t="shared" si="96"/>
        <v>-19133.801399759061</v>
      </c>
      <c r="Z169" s="47">
        <f t="shared" si="97"/>
        <v>11760.87663564086</v>
      </c>
      <c r="AN169" s="51"/>
      <c r="AO169" s="42"/>
    </row>
    <row r="170" spans="1:41" x14ac:dyDescent="0.25">
      <c r="A170" s="38">
        <v>59355</v>
      </c>
      <c r="B170" s="22">
        <v>2.4931506849234999E-5</v>
      </c>
      <c r="C170" s="22">
        <v>2.7110391205709101E-4</v>
      </c>
      <c r="D170" s="22">
        <v>0.95251515920538199</v>
      </c>
      <c r="E170" s="22">
        <v>1.19905481018767E-3</v>
      </c>
      <c r="F170" s="32">
        <v>0.75851263057013096</v>
      </c>
      <c r="G170" s="5">
        <f t="shared" si="87"/>
        <v>42.613888888888887</v>
      </c>
      <c r="H170" s="5">
        <f t="shared" si="103"/>
        <v>2.7549346362254088E-4</v>
      </c>
      <c r="I170" s="5">
        <f t="shared" si="90"/>
        <v>0.98833039324245009</v>
      </c>
      <c r="J170" s="32">
        <f t="shared" si="88"/>
        <v>1.6158313932606856</v>
      </c>
      <c r="K170" s="22" t="s">
        <v>460</v>
      </c>
      <c r="L170" s="40">
        <f t="shared" si="104"/>
        <v>0.25</v>
      </c>
      <c r="M170" s="96">
        <v>59355</v>
      </c>
      <c r="N170" s="99">
        <f t="shared" si="98"/>
        <v>59264</v>
      </c>
      <c r="O170" s="38">
        <f t="shared" si="99"/>
        <v>59355</v>
      </c>
      <c r="P170" s="88">
        <f t="shared" si="100"/>
        <v>91</v>
      </c>
      <c r="Q170" s="45">
        <v>10000000</v>
      </c>
      <c r="R170" s="105">
        <f t="shared" si="92"/>
        <v>1.0724989927533271E-3</v>
      </c>
      <c r="S170" s="45">
        <f t="shared" si="101"/>
        <v>2711.0391205709102</v>
      </c>
      <c r="T170" s="45">
        <f t="shared" si="102"/>
        <v>249.31506849234998</v>
      </c>
      <c r="V170" s="61">
        <f t="shared" si="93"/>
        <v>-16146575.095535632</v>
      </c>
      <c r="W170" s="47">
        <f t="shared" si="94"/>
        <v>-16158313.932606855</v>
      </c>
      <c r="X170" s="107">
        <f t="shared" si="95"/>
        <v>4.7435135348083647E-3</v>
      </c>
      <c r="Y170" s="47">
        <f t="shared" si="96"/>
        <v>-19360.628536358436</v>
      </c>
      <c r="Z170" s="47">
        <f t="shared" si="97"/>
        <v>11738.837071223184</v>
      </c>
      <c r="AN170" s="51"/>
      <c r="AO170" s="42"/>
    </row>
    <row r="171" spans="1:41" x14ac:dyDescent="0.25">
      <c r="A171" s="38">
        <v>59446</v>
      </c>
      <c r="B171" s="22">
        <v>2.4931506849234999E-5</v>
      </c>
      <c r="C171" s="22">
        <v>2.7110391205709101E-4</v>
      </c>
      <c r="D171" s="22">
        <v>0.95263920428131699</v>
      </c>
      <c r="E171" s="22">
        <v>1.19905481018767E-3</v>
      </c>
      <c r="F171" s="32">
        <v>0.757270045725015</v>
      </c>
      <c r="G171" s="5">
        <f t="shared" si="87"/>
        <v>42.866666666666667</v>
      </c>
      <c r="H171" s="5">
        <f t="shared" si="103"/>
        <v>2.9540255516257769E-4</v>
      </c>
      <c r="I171" s="5">
        <f t="shared" si="90"/>
        <v>0.98741876102940285</v>
      </c>
      <c r="J171" s="32">
        <f t="shared" si="88"/>
        <v>1.6169898868510251</v>
      </c>
      <c r="K171" s="22" t="s">
        <v>460</v>
      </c>
      <c r="L171" s="40">
        <f t="shared" si="104"/>
        <v>0.25</v>
      </c>
      <c r="M171" s="96">
        <v>59446</v>
      </c>
      <c r="N171" s="99">
        <f t="shared" si="98"/>
        <v>59355</v>
      </c>
      <c r="O171" s="38">
        <f t="shared" si="99"/>
        <v>59446</v>
      </c>
      <c r="P171" s="88">
        <f t="shared" si="100"/>
        <v>91</v>
      </c>
      <c r="Q171" s="45">
        <v>10000000</v>
      </c>
      <c r="R171" s="105">
        <f t="shared" si="92"/>
        <v>1.0724989927533271E-3</v>
      </c>
      <c r="S171" s="45">
        <f t="shared" si="101"/>
        <v>2711.0391205709102</v>
      </c>
      <c r="T171" s="45">
        <f t="shared" si="102"/>
        <v>249.31506849234998</v>
      </c>
      <c r="V171" s="61">
        <f t="shared" si="93"/>
        <v>-16158313.932606855</v>
      </c>
      <c r="W171" s="47">
        <f t="shared" si="94"/>
        <v>-16169898.86851025</v>
      </c>
      <c r="X171" s="107">
        <f t="shared" si="95"/>
        <v>4.7435135348083647E-3</v>
      </c>
      <c r="Y171" s="47">
        <f t="shared" si="96"/>
        <v>-19374.704045414695</v>
      </c>
      <c r="Z171" s="47">
        <f t="shared" si="97"/>
        <v>11584.935903394595</v>
      </c>
      <c r="AN171" s="51"/>
      <c r="AO171" s="42"/>
    </row>
    <row r="172" spans="1:41" x14ac:dyDescent="0.25">
      <c r="A172" s="38">
        <v>59538</v>
      </c>
      <c r="B172" s="22">
        <v>2.5205479452061701E-5</v>
      </c>
      <c r="C172" s="22">
        <v>2.7408348415835999E-4</v>
      </c>
      <c r="D172" s="22">
        <v>0.95276462891148095</v>
      </c>
      <c r="E172" s="22">
        <v>1.2122392199560501E-3</v>
      </c>
      <c r="F172" s="32">
        <v>0.75601587535068504</v>
      </c>
      <c r="G172" s="5">
        <f t="shared" si="87"/>
        <v>43.12222222222222</v>
      </c>
      <c r="H172" s="5">
        <f t="shared" si="103"/>
        <v>3.155304279283288E-4</v>
      </c>
      <c r="I172" s="5">
        <f t="shared" si="90"/>
        <v>0.98648789221664857</v>
      </c>
      <c r="J172" s="32">
        <f t="shared" si="88"/>
        <v>1.6181454318937503</v>
      </c>
      <c r="K172" s="22" t="s">
        <v>460</v>
      </c>
      <c r="L172" s="40">
        <f t="shared" si="104"/>
        <v>0.25</v>
      </c>
      <c r="M172" s="96">
        <v>59538</v>
      </c>
      <c r="N172" s="99">
        <f t="shared" si="98"/>
        <v>59446</v>
      </c>
      <c r="O172" s="38">
        <f t="shared" si="99"/>
        <v>59538</v>
      </c>
      <c r="P172" s="88">
        <f t="shared" si="100"/>
        <v>92</v>
      </c>
      <c r="Q172" s="45">
        <v>10000000</v>
      </c>
      <c r="R172" s="105">
        <f t="shared" si="92"/>
        <v>1.072500590184887E-3</v>
      </c>
      <c r="S172" s="45">
        <f t="shared" si="101"/>
        <v>2740.8348415835999</v>
      </c>
      <c r="T172" s="45">
        <f t="shared" si="102"/>
        <v>252.05479452061701</v>
      </c>
      <c r="V172" s="61">
        <f t="shared" si="93"/>
        <v>-16169898.86851025</v>
      </c>
      <c r="W172" s="47">
        <f t="shared" si="94"/>
        <v>-16181454.318937503</v>
      </c>
      <c r="X172" s="107">
        <f t="shared" si="95"/>
        <v>4.7435447737410657E-3</v>
      </c>
      <c r="Y172" s="47">
        <f t="shared" si="96"/>
        <v>-19601.785591131083</v>
      </c>
      <c r="Z172" s="47">
        <f t="shared" si="97"/>
        <v>11555.450427252799</v>
      </c>
      <c r="AN172" s="51"/>
      <c r="AO172" s="42"/>
    </row>
    <row r="173" spans="1:41" x14ac:dyDescent="0.25">
      <c r="A173" s="38">
        <v>59628</v>
      </c>
      <c r="B173" s="22">
        <v>2.4657534246630399E-5</v>
      </c>
      <c r="C173" s="22">
        <v>2.6812434883094401E-4</v>
      </c>
      <c r="D173" s="22">
        <v>0.95288734289808197</v>
      </c>
      <c r="E173" s="22">
        <v>1.1858705740375099E-3</v>
      </c>
      <c r="F173" s="32">
        <v>0.75479097945576501</v>
      </c>
      <c r="G173" s="5">
        <f t="shared" si="87"/>
        <v>43.37222222222222</v>
      </c>
      <c r="H173" s="5">
        <f t="shared" si="103"/>
        <v>3.3522073824265072E-4</v>
      </c>
      <c r="I173" s="5">
        <f t="shared" si="90"/>
        <v>0.98556831764619623</v>
      </c>
      <c r="J173" s="32">
        <f t="shared" si="88"/>
        <v>1.6192605687925765</v>
      </c>
      <c r="K173" s="22" t="s">
        <v>460</v>
      </c>
      <c r="L173" s="40">
        <f t="shared" si="104"/>
        <v>0.25</v>
      </c>
      <c r="M173" s="96">
        <v>59628</v>
      </c>
      <c r="N173" s="99">
        <f t="shared" si="98"/>
        <v>59538</v>
      </c>
      <c r="O173" s="38">
        <f t="shared" si="99"/>
        <v>59628</v>
      </c>
      <c r="P173" s="88">
        <f t="shared" si="100"/>
        <v>90</v>
      </c>
      <c r="Q173" s="45">
        <v>10000000</v>
      </c>
      <c r="R173" s="105">
        <f t="shared" si="92"/>
        <v>1.072497395323776E-3</v>
      </c>
      <c r="S173" s="45">
        <f t="shared" si="101"/>
        <v>2681.2434883094402</v>
      </c>
      <c r="T173" s="45">
        <f t="shared" si="102"/>
        <v>246.57534246630399</v>
      </c>
      <c r="V173" s="61">
        <f t="shared" si="93"/>
        <v>-16181454.318937503</v>
      </c>
      <c r="W173" s="47">
        <f t="shared" si="94"/>
        <v>-16192605.687925765</v>
      </c>
      <c r="X173" s="107">
        <f t="shared" si="95"/>
        <v>4.7434822961500396E-3</v>
      </c>
      <c r="Y173" s="47">
        <f t="shared" si="96"/>
        <v>-19189.11052196016</v>
      </c>
      <c r="Z173" s="47">
        <f t="shared" si="97"/>
        <v>11151.368988262489</v>
      </c>
      <c r="AN173" s="51"/>
      <c r="AO173" s="42"/>
    </row>
    <row r="174" spans="1:41" x14ac:dyDescent="0.25">
      <c r="A174" s="38">
        <v>59719</v>
      </c>
      <c r="B174" s="22">
        <v>2.4931506849234999E-5</v>
      </c>
      <c r="C174" s="22">
        <v>2.7110391205709101E-4</v>
      </c>
      <c r="D174" s="22">
        <v>0.95301143644312003</v>
      </c>
      <c r="E174" s="22">
        <v>1.19905481018767E-3</v>
      </c>
      <c r="F174" s="32">
        <v>0.75355449136775898</v>
      </c>
      <c r="G174" s="5">
        <f t="shared" si="87"/>
        <v>43.625</v>
      </c>
      <c r="H174" s="5">
        <f t="shared" si="103"/>
        <v>3.5512982978268753E-4</v>
      </c>
      <c r="I174" s="5">
        <f t="shared" si="90"/>
        <v>0.98462956120179279</v>
      </c>
      <c r="J174" s="32">
        <f t="shared" si="88"/>
        <v>1.6203726908057623</v>
      </c>
      <c r="K174" s="22" t="s">
        <v>460</v>
      </c>
      <c r="L174" s="40">
        <f t="shared" si="104"/>
        <v>0.25</v>
      </c>
      <c r="M174" s="96">
        <v>59719</v>
      </c>
      <c r="N174" s="99">
        <f t="shared" si="98"/>
        <v>59628</v>
      </c>
      <c r="O174" s="38">
        <f t="shared" si="99"/>
        <v>59719</v>
      </c>
      <c r="P174" s="88">
        <f t="shared" si="100"/>
        <v>91</v>
      </c>
      <c r="Q174" s="45">
        <v>10000000</v>
      </c>
      <c r="R174" s="105">
        <f t="shared" si="92"/>
        <v>1.0724989927533271E-3</v>
      </c>
      <c r="S174" s="45">
        <f t="shared" si="101"/>
        <v>2711.0391205709102</v>
      </c>
      <c r="T174" s="45">
        <f t="shared" si="102"/>
        <v>249.31506849234998</v>
      </c>
      <c r="V174" s="61">
        <f t="shared" si="93"/>
        <v>-16192605.687925765</v>
      </c>
      <c r="W174" s="47">
        <f t="shared" si="94"/>
        <v>-16203726.908057623</v>
      </c>
      <c r="X174" s="107">
        <f t="shared" si="95"/>
        <v>4.7435135348083647E-3</v>
      </c>
      <c r="Y174" s="47">
        <f t="shared" si="96"/>
        <v>-19415.821739579613</v>
      </c>
      <c r="Z174" s="47">
        <f t="shared" si="97"/>
        <v>11121.220131857321</v>
      </c>
      <c r="AN174" s="51"/>
      <c r="AO174" s="42"/>
    </row>
    <row r="175" spans="1:41" x14ac:dyDescent="0.25">
      <c r="A175" s="38">
        <v>59811</v>
      </c>
      <c r="B175" s="22">
        <v>2.5205479452061701E-5</v>
      </c>
      <c r="C175" s="22">
        <v>2.7408348415858198E-4</v>
      </c>
      <c r="D175" s="22">
        <v>0.95313691008142998</v>
      </c>
      <c r="E175" s="22">
        <v>1.2122392199560501E-3</v>
      </c>
      <c r="F175" s="32">
        <v>0.75230647459507405</v>
      </c>
      <c r="G175" s="5">
        <f t="shared" si="87"/>
        <v>43.880555555555553</v>
      </c>
      <c r="H175" s="5">
        <f t="shared" si="103"/>
        <v>3.7525770254843863E-4</v>
      </c>
      <c r="I175" s="5">
        <f t="shared" si="90"/>
        <v>0.98367135391229621</v>
      </c>
      <c r="J175" s="32">
        <f t="shared" si="88"/>
        <v>1.6214812542231785</v>
      </c>
      <c r="K175" s="22" t="s">
        <v>460</v>
      </c>
      <c r="L175" s="40">
        <f t="shared" si="104"/>
        <v>0.25</v>
      </c>
      <c r="M175" s="96">
        <v>59811</v>
      </c>
      <c r="N175" s="99">
        <f t="shared" si="98"/>
        <v>59719</v>
      </c>
      <c r="O175" s="38">
        <f t="shared" si="99"/>
        <v>59811</v>
      </c>
      <c r="P175" s="88">
        <f t="shared" si="100"/>
        <v>92</v>
      </c>
      <c r="Q175" s="45">
        <v>10000000</v>
      </c>
      <c r="R175" s="105">
        <f t="shared" si="92"/>
        <v>1.0725005901857556E-3</v>
      </c>
      <c r="S175" s="45">
        <f t="shared" si="101"/>
        <v>2740.83484158582</v>
      </c>
      <c r="T175" s="45">
        <f t="shared" si="102"/>
        <v>252.05479452061701</v>
      </c>
      <c r="V175" s="61">
        <f t="shared" si="93"/>
        <v>-16203726.908057623</v>
      </c>
      <c r="W175" s="47">
        <f t="shared" si="94"/>
        <v>-16214812.542231785</v>
      </c>
      <c r="X175" s="107">
        <f t="shared" si="95"/>
        <v>4.7435447737410657E-3</v>
      </c>
      <c r="Y175" s="47">
        <f t="shared" si="96"/>
        <v>-19642.793267404631</v>
      </c>
      <c r="Z175" s="47">
        <f t="shared" si="97"/>
        <v>11085.634174162522</v>
      </c>
      <c r="AN175" s="51"/>
      <c r="AO175" s="42"/>
    </row>
    <row r="176" spans="1:41" x14ac:dyDescent="0.25">
      <c r="A176" s="38">
        <v>59903</v>
      </c>
      <c r="B176" s="22">
        <v>2.5205479452061701E-5</v>
      </c>
      <c r="C176" s="22">
        <v>2.7408348415858198E-4</v>
      </c>
      <c r="D176" s="22">
        <v>0.95326240023961895</v>
      </c>
      <c r="E176" s="22">
        <v>1.2122392199560501E-3</v>
      </c>
      <c r="F176" s="32">
        <v>0.75106052475435303</v>
      </c>
      <c r="G176" s="5">
        <f t="shared" si="87"/>
        <v>44.136111111111113</v>
      </c>
      <c r="H176" s="5">
        <f t="shared" si="103"/>
        <v>3.9538557531419027E-4</v>
      </c>
      <c r="I176" s="5">
        <f t="shared" si="90"/>
        <v>0.98270399066882475</v>
      </c>
      <c r="J176" s="32">
        <f t="shared" si="88"/>
        <v>1.6225739186958201</v>
      </c>
      <c r="K176" s="22" t="s">
        <v>460</v>
      </c>
      <c r="L176" s="40">
        <f t="shared" si="104"/>
        <v>0.25</v>
      </c>
      <c r="M176" s="96">
        <v>59903</v>
      </c>
      <c r="N176" s="99">
        <f t="shared" si="98"/>
        <v>59811</v>
      </c>
      <c r="O176" s="38">
        <f t="shared" si="99"/>
        <v>59903</v>
      </c>
      <c r="P176" s="88">
        <f t="shared" si="100"/>
        <v>92</v>
      </c>
      <c r="Q176" s="45">
        <v>10000000</v>
      </c>
      <c r="R176" s="105">
        <f t="shared" si="92"/>
        <v>1.0725005901857556E-3</v>
      </c>
      <c r="S176" s="45">
        <f t="shared" si="101"/>
        <v>2740.83484158582</v>
      </c>
      <c r="T176" s="45">
        <f t="shared" si="102"/>
        <v>252.05479452061701</v>
      </c>
      <c r="V176" s="61">
        <f t="shared" si="93"/>
        <v>-16214812.542231785</v>
      </c>
      <c r="W176" s="47">
        <f t="shared" si="94"/>
        <v>-16225739.186958201</v>
      </c>
      <c r="X176" s="107">
        <f t="shared" si="95"/>
        <v>4.7435447737410657E-3</v>
      </c>
      <c r="Y176" s="47">
        <f t="shared" si="96"/>
        <v>-19656.231707928637</v>
      </c>
      <c r="Z176" s="47">
        <f t="shared" si="97"/>
        <v>10926.644726416096</v>
      </c>
      <c r="AN176" s="51"/>
      <c r="AO176" s="42"/>
    </row>
    <row r="177" spans="1:41" x14ac:dyDescent="0.25">
      <c r="A177" s="38">
        <v>59994</v>
      </c>
      <c r="B177" s="22">
        <v>2.4931506849234999E-5</v>
      </c>
      <c r="C177" s="22">
        <v>2.7110391205709101E-4</v>
      </c>
      <c r="D177" s="22">
        <v>0.95338654262799105</v>
      </c>
      <c r="E177" s="22">
        <v>1.19905481018767E-3</v>
      </c>
      <c r="F177" s="32">
        <v>0.74983014784537105</v>
      </c>
      <c r="G177" s="5">
        <f t="shared" si="87"/>
        <v>44.388888888888886</v>
      </c>
      <c r="H177" s="5">
        <f t="shared" si="103"/>
        <v>4.1529466685422649E-4</v>
      </c>
      <c r="I177" s="5">
        <f t="shared" si="90"/>
        <v>0.9817381636120035</v>
      </c>
      <c r="J177" s="32">
        <f t="shared" si="88"/>
        <v>1.6236390337112814</v>
      </c>
      <c r="K177" s="22" t="s">
        <v>460</v>
      </c>
      <c r="L177" s="40">
        <f t="shared" si="104"/>
        <v>0.25</v>
      </c>
      <c r="M177" s="96">
        <v>59994</v>
      </c>
      <c r="N177" s="99">
        <f t="shared" si="98"/>
        <v>59903</v>
      </c>
      <c r="O177" s="38">
        <f t="shared" si="99"/>
        <v>59994</v>
      </c>
      <c r="P177" s="88">
        <f t="shared" si="100"/>
        <v>91</v>
      </c>
      <c r="Q177" s="45">
        <v>10000000</v>
      </c>
      <c r="R177" s="105">
        <f t="shared" si="92"/>
        <v>1.0724989927533271E-3</v>
      </c>
      <c r="S177" s="45">
        <f t="shared" si="101"/>
        <v>2711.0391205709102</v>
      </c>
      <c r="T177" s="45">
        <f t="shared" si="102"/>
        <v>249.31506849234998</v>
      </c>
      <c r="V177" s="61">
        <f t="shared" si="93"/>
        <v>-16225739.186958201</v>
      </c>
      <c r="W177" s="47">
        <f t="shared" si="94"/>
        <v>-16236390.337112814</v>
      </c>
      <c r="X177" s="107">
        <f t="shared" si="95"/>
        <v>4.7435135348083647E-3</v>
      </c>
      <c r="Y177" s="47">
        <f t="shared" si="96"/>
        <v>-19455.550620972805</v>
      </c>
      <c r="Z177" s="47">
        <f t="shared" si="97"/>
        <v>10651.150154612958</v>
      </c>
      <c r="AN177" s="51"/>
      <c r="AO177" s="42"/>
    </row>
    <row r="178" spans="1:41" x14ac:dyDescent="0.25">
      <c r="A178" s="38">
        <v>60085</v>
      </c>
      <c r="B178" s="22">
        <v>2.4931506849234999E-5</v>
      </c>
      <c r="C178" s="22">
        <v>2.7110391205709101E-4</v>
      </c>
      <c r="D178" s="22">
        <v>0.95351070118329895</v>
      </c>
      <c r="E178" s="22">
        <v>1.19905481018767E-3</v>
      </c>
      <c r="F178" s="32">
        <v>0.74860178652273501</v>
      </c>
      <c r="G178" s="5">
        <f t="shared" si="87"/>
        <v>44.641666666666666</v>
      </c>
      <c r="H178" s="5">
        <f t="shared" si="103"/>
        <v>4.352037583942633E-4</v>
      </c>
      <c r="I178" s="5">
        <f t="shared" si="90"/>
        <v>0.98076343555241208</v>
      </c>
      <c r="J178" s="32">
        <f t="shared" si="88"/>
        <v>1.6246885304375491</v>
      </c>
      <c r="K178" s="22" t="s">
        <v>460</v>
      </c>
      <c r="L178" s="40">
        <f t="shared" si="104"/>
        <v>0.25</v>
      </c>
      <c r="M178" s="96">
        <v>60085</v>
      </c>
      <c r="N178" s="99">
        <f t="shared" si="98"/>
        <v>59994</v>
      </c>
      <c r="O178" s="38">
        <f t="shared" si="99"/>
        <v>60085</v>
      </c>
      <c r="P178" s="88">
        <f t="shared" si="100"/>
        <v>91</v>
      </c>
      <c r="Q178" s="45">
        <v>10000000</v>
      </c>
      <c r="R178" s="105">
        <f t="shared" si="92"/>
        <v>1.0724989927533271E-3</v>
      </c>
      <c r="S178" s="45">
        <f t="shared" si="101"/>
        <v>2711.0391205709102</v>
      </c>
      <c r="T178" s="45">
        <f t="shared" si="102"/>
        <v>249.31506849234998</v>
      </c>
      <c r="V178" s="61">
        <f t="shared" si="93"/>
        <v>-16236390.337112814</v>
      </c>
      <c r="W178" s="47">
        <f t="shared" si="94"/>
        <v>-16246885.304375492</v>
      </c>
      <c r="X178" s="107">
        <f t="shared" si="95"/>
        <v>4.7435135348083647E-3</v>
      </c>
      <c r="Y178" s="47">
        <f t="shared" si="96"/>
        <v>-19468.321933799725</v>
      </c>
      <c r="Z178" s="47">
        <f t="shared" si="97"/>
        <v>10494.967262677848</v>
      </c>
      <c r="AN178" s="51"/>
      <c r="AO178" s="42"/>
    </row>
    <row r="179" spans="1:41" x14ac:dyDescent="0.25">
      <c r="A179" s="38">
        <v>60177</v>
      </c>
      <c r="B179" s="22">
        <v>2.5205479452061701E-5</v>
      </c>
      <c r="C179" s="22">
        <v>2.7408348415858198E-4</v>
      </c>
      <c r="D179" s="22">
        <v>0.95363624055488505</v>
      </c>
      <c r="E179" s="22">
        <v>1.2122392199562699E-3</v>
      </c>
      <c r="F179" s="32">
        <v>0.74736197228720902</v>
      </c>
      <c r="G179" s="5">
        <f t="shared" si="87"/>
        <v>44.897222222222226</v>
      </c>
      <c r="H179" s="5">
        <f t="shared" si="103"/>
        <v>4.5533163116001494E-4</v>
      </c>
      <c r="I179" s="5">
        <f t="shared" si="90"/>
        <v>0.97976897721813661</v>
      </c>
      <c r="J179" s="32">
        <f t="shared" si="88"/>
        <v>1.6257336521014287</v>
      </c>
      <c r="K179" s="22" t="s">
        <v>460</v>
      </c>
      <c r="L179" s="40">
        <f t="shared" si="104"/>
        <v>0.25</v>
      </c>
      <c r="M179" s="96">
        <v>60177</v>
      </c>
      <c r="N179" s="99">
        <f t="shared" si="98"/>
        <v>60085</v>
      </c>
      <c r="O179" s="38">
        <f t="shared" si="99"/>
        <v>60177</v>
      </c>
      <c r="P179" s="88">
        <f t="shared" si="100"/>
        <v>92</v>
      </c>
      <c r="Q179" s="45">
        <v>10000000</v>
      </c>
      <c r="R179" s="105">
        <f t="shared" si="92"/>
        <v>1.0725005901857556E-3</v>
      </c>
      <c r="S179" s="45">
        <f t="shared" si="101"/>
        <v>2740.83484158582</v>
      </c>
      <c r="T179" s="45">
        <f t="shared" si="102"/>
        <v>252.05479452061701</v>
      </c>
      <c r="V179" s="61">
        <f t="shared" si="93"/>
        <v>-16246885.304375492</v>
      </c>
      <c r="W179" s="47">
        <f t="shared" si="94"/>
        <v>-16257336.521014288</v>
      </c>
      <c r="X179" s="107">
        <f t="shared" si="95"/>
        <v>4.7435447737419261E-3</v>
      </c>
      <c r="Y179" s="47">
        <f t="shared" si="96"/>
        <v>-19695.111568095133</v>
      </c>
      <c r="Z179" s="47">
        <f t="shared" si="97"/>
        <v>10451.216638796031</v>
      </c>
      <c r="AN179" s="51"/>
      <c r="AO179" s="42"/>
    </row>
    <row r="180" spans="1:41" x14ac:dyDescent="0.25">
      <c r="A180" s="38">
        <v>60269</v>
      </c>
      <c r="B180" s="22">
        <v>2.5205479452061701E-5</v>
      </c>
      <c r="C180" s="22">
        <v>2.7408348415858198E-4</v>
      </c>
      <c r="D180" s="22">
        <v>0.95376179645500403</v>
      </c>
      <c r="E180" s="22">
        <v>1.21223921995583E-3</v>
      </c>
      <c r="F180" s="32">
        <v>0.74612421139882501</v>
      </c>
      <c r="G180" s="5">
        <f t="shared" si="87"/>
        <v>45.152777777777779</v>
      </c>
      <c r="H180" s="5">
        <f t="shared" si="103"/>
        <v>4.7545950392576609E-4</v>
      </c>
      <c r="I180" s="5">
        <f t="shared" si="90"/>
        <v>0.97876548041867306</v>
      </c>
      <c r="J180" s="32">
        <f t="shared" si="88"/>
        <v>1.6267627477087763</v>
      </c>
      <c r="K180" s="22" t="s">
        <v>460</v>
      </c>
      <c r="L180" s="40">
        <f t="shared" si="104"/>
        <v>0.25</v>
      </c>
      <c r="M180" s="96">
        <v>60269</v>
      </c>
      <c r="N180" s="99">
        <f t="shared" si="98"/>
        <v>60177</v>
      </c>
      <c r="O180" s="38">
        <f t="shared" si="99"/>
        <v>60269</v>
      </c>
      <c r="P180" s="88">
        <f t="shared" si="100"/>
        <v>92</v>
      </c>
      <c r="Q180" s="45">
        <v>10000000</v>
      </c>
      <c r="R180" s="105">
        <f t="shared" si="92"/>
        <v>1.0725005901857556E-3</v>
      </c>
      <c r="S180" s="45">
        <f t="shared" si="101"/>
        <v>2740.83484158582</v>
      </c>
      <c r="T180" s="45">
        <f t="shared" si="102"/>
        <v>252.05479452061701</v>
      </c>
      <c r="V180" s="61">
        <f t="shared" si="93"/>
        <v>-16257336.521014288</v>
      </c>
      <c r="W180" s="47">
        <f t="shared" si="94"/>
        <v>-16267627.477087762</v>
      </c>
      <c r="X180" s="107">
        <f t="shared" si="95"/>
        <v>4.7435447737402044E-3</v>
      </c>
      <c r="Y180" s="47">
        <f t="shared" si="96"/>
        <v>-19707.780942793786</v>
      </c>
      <c r="Z180" s="47">
        <f t="shared" si="97"/>
        <v>10290.956073474139</v>
      </c>
      <c r="AN180" s="51"/>
      <c r="AO180" s="42"/>
    </row>
    <row r="181" spans="1:41" x14ac:dyDescent="0.25">
      <c r="A181" s="38">
        <v>60359</v>
      </c>
      <c r="B181" s="22">
        <v>2.4657534246630399E-5</v>
      </c>
      <c r="C181" s="22">
        <v>2.6812434883094401E-4</v>
      </c>
      <c r="D181" s="22">
        <v>0.95388463887458996</v>
      </c>
      <c r="E181" s="22">
        <v>1.1858705740375099E-3</v>
      </c>
      <c r="F181" s="32">
        <v>0.744915341964411</v>
      </c>
      <c r="G181" s="5">
        <f t="shared" si="87"/>
        <v>45.402777777777779</v>
      </c>
      <c r="H181" s="5">
        <f t="shared" si="103"/>
        <v>4.9514981424008796E-4</v>
      </c>
      <c r="I181" s="5">
        <f t="shared" si="90"/>
        <v>0.97777508186055861</v>
      </c>
      <c r="J181" s="32">
        <f t="shared" si="88"/>
        <v>1.6277539348534573</v>
      </c>
      <c r="K181" s="22" t="s">
        <v>460</v>
      </c>
      <c r="L181" s="40">
        <f t="shared" si="104"/>
        <v>0.25</v>
      </c>
      <c r="M181" s="96">
        <v>60359</v>
      </c>
      <c r="N181" s="99">
        <f t="shared" si="98"/>
        <v>60269</v>
      </c>
      <c r="O181" s="38">
        <f t="shared" si="99"/>
        <v>60359</v>
      </c>
      <c r="P181" s="88">
        <f t="shared" si="100"/>
        <v>90</v>
      </c>
      <c r="Q181" s="45">
        <v>10000000</v>
      </c>
      <c r="R181" s="105">
        <f t="shared" si="92"/>
        <v>1.072497395323776E-3</v>
      </c>
      <c r="S181" s="45">
        <f t="shared" si="101"/>
        <v>2681.2434883094402</v>
      </c>
      <c r="T181" s="45">
        <f t="shared" si="102"/>
        <v>246.57534246630399</v>
      </c>
      <c r="V181" s="61">
        <f t="shared" si="93"/>
        <v>-16267627.477087762</v>
      </c>
      <c r="W181" s="47">
        <f t="shared" si="94"/>
        <v>-16277539.348534573</v>
      </c>
      <c r="X181" s="107">
        <f t="shared" si="95"/>
        <v>4.7434822961500396E-3</v>
      </c>
      <c r="Y181" s="47">
        <f t="shared" si="96"/>
        <v>-19291.300734482433</v>
      </c>
      <c r="Z181" s="47">
        <f t="shared" si="97"/>
        <v>9911.8714468106627</v>
      </c>
      <c r="AN181" s="51"/>
      <c r="AO181" s="42"/>
    </row>
    <row r="182" spans="1:41" x14ac:dyDescent="0.25">
      <c r="A182" s="38">
        <v>60450</v>
      </c>
      <c r="B182" s="22">
        <v>2.4931506849234999E-5</v>
      </c>
      <c r="C182" s="22">
        <v>2.7110391205709101E-4</v>
      </c>
      <c r="D182" s="22">
        <v>0.95400886229646298</v>
      </c>
      <c r="E182" s="22">
        <v>1.19905481018767E-3</v>
      </c>
      <c r="F182" s="32">
        <v>0.74369503200843301</v>
      </c>
      <c r="G182" s="5">
        <f t="shared" si="87"/>
        <v>45.655555555555559</v>
      </c>
      <c r="H182" s="5">
        <f t="shared" si="103"/>
        <v>5.1505890578012472E-4</v>
      </c>
      <c r="I182" s="5">
        <f t="shared" si="90"/>
        <v>0.97676494279092563</v>
      </c>
      <c r="J182" s="32">
        <f t="shared" si="88"/>
        <v>1.6287404828882757</v>
      </c>
      <c r="K182" s="22" t="s">
        <v>460</v>
      </c>
      <c r="L182" s="40">
        <f t="shared" si="104"/>
        <v>0.25</v>
      </c>
      <c r="M182" s="96">
        <v>60450</v>
      </c>
      <c r="N182" s="99">
        <f t="shared" si="98"/>
        <v>60359</v>
      </c>
      <c r="O182" s="38">
        <f t="shared" si="99"/>
        <v>60450</v>
      </c>
      <c r="P182" s="88">
        <f t="shared" si="100"/>
        <v>91</v>
      </c>
      <c r="Q182" s="45">
        <v>10000000</v>
      </c>
      <c r="R182" s="105">
        <f t="shared" si="92"/>
        <v>1.0724989927533271E-3</v>
      </c>
      <c r="S182" s="45">
        <f t="shared" si="101"/>
        <v>2711.0391205709102</v>
      </c>
      <c r="T182" s="45">
        <f t="shared" si="102"/>
        <v>249.31506849234998</v>
      </c>
      <c r="V182" s="61">
        <f t="shared" si="93"/>
        <v>-16277539.348534573</v>
      </c>
      <c r="W182" s="47">
        <f t="shared" si="94"/>
        <v>-16287404.828882758</v>
      </c>
      <c r="X182" s="107">
        <f t="shared" si="95"/>
        <v>4.7435135348083647E-3</v>
      </c>
      <c r="Y182" s="47">
        <f t="shared" si="96"/>
        <v>-19517.66185387945</v>
      </c>
      <c r="Z182" s="47">
        <f t="shared" si="97"/>
        <v>9865.4803481847048</v>
      </c>
      <c r="AN182" s="51"/>
      <c r="AO182" s="42"/>
    </row>
    <row r="183" spans="1:41" x14ac:dyDescent="0.25">
      <c r="A183" s="38">
        <v>60542</v>
      </c>
      <c r="B183" s="22">
        <v>2.5205479452061701E-5</v>
      </c>
      <c r="C183" s="22">
        <v>2.7408348415858198E-4</v>
      </c>
      <c r="D183" s="22">
        <v>0.95413446725602102</v>
      </c>
      <c r="E183" s="22">
        <v>1.2122392199560501E-3</v>
      </c>
      <c r="F183" s="32">
        <v>0.74246334420835902</v>
      </c>
      <c r="G183" s="5">
        <f t="shared" si="87"/>
        <v>45.911111111111111</v>
      </c>
      <c r="H183" s="5">
        <f t="shared" si="103"/>
        <v>5.3518677854587588E-4</v>
      </c>
      <c r="I183" s="5">
        <f t="shared" si="90"/>
        <v>0.9757348037525555</v>
      </c>
      <c r="J183" s="32">
        <f t="shared" si="88"/>
        <v>1.629721843606567</v>
      </c>
      <c r="K183" s="22" t="s">
        <v>460</v>
      </c>
      <c r="L183" s="40">
        <f t="shared" si="104"/>
        <v>0.25</v>
      </c>
      <c r="M183" s="96">
        <v>60542</v>
      </c>
      <c r="N183" s="99">
        <f t="shared" si="98"/>
        <v>60450</v>
      </c>
      <c r="O183" s="38">
        <f t="shared" si="99"/>
        <v>60542</v>
      </c>
      <c r="P183" s="88">
        <f t="shared" si="100"/>
        <v>92</v>
      </c>
      <c r="Q183" s="45">
        <v>10000000</v>
      </c>
      <c r="R183" s="105">
        <f t="shared" si="92"/>
        <v>1.0725005901857556E-3</v>
      </c>
      <c r="S183" s="45">
        <f t="shared" si="101"/>
        <v>2740.83484158582</v>
      </c>
      <c r="T183" s="45">
        <f t="shared" si="102"/>
        <v>252.05479452061701</v>
      </c>
      <c r="V183" s="61">
        <f t="shared" si="93"/>
        <v>-16287404.828882758</v>
      </c>
      <c r="W183" s="47">
        <f t="shared" si="94"/>
        <v>-16297218.43606567</v>
      </c>
      <c r="X183" s="107">
        <f t="shared" si="95"/>
        <v>4.7435447737410657E-3</v>
      </c>
      <c r="Y183" s="47">
        <f t="shared" si="96"/>
        <v>-19744.230924873238</v>
      </c>
      <c r="Z183" s="47">
        <f t="shared" si="97"/>
        <v>9813.6071829125285</v>
      </c>
      <c r="AN183" s="51"/>
      <c r="AO183" s="42"/>
    </row>
    <row r="184" spans="1:41" x14ac:dyDescent="0.25">
      <c r="A184" s="38">
        <v>60636</v>
      </c>
      <c r="B184" s="22">
        <v>2.5753424657493E-5</v>
      </c>
      <c r="C184" s="22">
        <v>2.80042654987822E-4</v>
      </c>
      <c r="D184" s="22">
        <v>0.95426281983852601</v>
      </c>
      <c r="E184" s="22">
        <v>1.2386085603563999E-3</v>
      </c>
      <c r="F184" s="32">
        <v>0.74120698744971902</v>
      </c>
      <c r="G184" s="5">
        <f t="shared" si="87"/>
        <v>46.172222222222224</v>
      </c>
      <c r="H184" s="5">
        <f t="shared" si="103"/>
        <v>5.5575221376305659E-4</v>
      </c>
      <c r="I184" s="5">
        <f t="shared" si="90"/>
        <v>0.97467306031953582</v>
      </c>
      <c r="J184" s="32">
        <f t="shared" si="88"/>
        <v>1.630707862402943</v>
      </c>
      <c r="K184" s="22" t="s">
        <v>460</v>
      </c>
      <c r="L184" s="40">
        <f t="shared" si="104"/>
        <v>0.25</v>
      </c>
      <c r="M184" s="96">
        <v>60636</v>
      </c>
      <c r="N184" s="99">
        <f t="shared" si="98"/>
        <v>60542</v>
      </c>
      <c r="O184" s="38">
        <f t="shared" si="99"/>
        <v>60636</v>
      </c>
      <c r="P184" s="88">
        <f t="shared" si="100"/>
        <v>94</v>
      </c>
      <c r="Q184" s="45">
        <v>10000000</v>
      </c>
      <c r="R184" s="105">
        <f t="shared" si="92"/>
        <v>1.0725037850597438E-3</v>
      </c>
      <c r="S184" s="45">
        <f t="shared" si="101"/>
        <v>2800.4265498782202</v>
      </c>
      <c r="T184" s="45">
        <f t="shared" si="102"/>
        <v>257.53424657493002</v>
      </c>
      <c r="V184" s="61">
        <f t="shared" si="93"/>
        <v>-16297218.43606567</v>
      </c>
      <c r="W184" s="47">
        <f t="shared" si="94"/>
        <v>-16307078.62402943</v>
      </c>
      <c r="X184" s="107">
        <f t="shared" si="95"/>
        <v>4.7436072524287658E-3</v>
      </c>
      <c r="Y184" s="47">
        <f t="shared" si="96"/>
        <v>-20185.874264909078</v>
      </c>
      <c r="Z184" s="47">
        <f t="shared" si="97"/>
        <v>9860.1879637595266</v>
      </c>
      <c r="AN184" s="51"/>
      <c r="AO184" s="42"/>
    </row>
    <row r="185" spans="1:41" x14ac:dyDescent="0.25">
      <c r="A185" s="38">
        <v>60724</v>
      </c>
      <c r="B185" s="22">
        <v>2.4109589041198998E-5</v>
      </c>
      <c r="C185" s="22">
        <v>2.6216524900513001E-4</v>
      </c>
      <c r="D185" s="22">
        <v>0.95438299535128401</v>
      </c>
      <c r="E185" s="22">
        <v>1.1595026225825701E-3</v>
      </c>
      <c r="F185" s="32">
        <v>0.74003275046815697</v>
      </c>
      <c r="G185" s="5">
        <f t="shared" si="87"/>
        <v>46.416666666666664</v>
      </c>
      <c r="H185" s="5">
        <f t="shared" si="103"/>
        <v>5.7500496162594885E-4</v>
      </c>
      <c r="I185" s="5">
        <f t="shared" si="90"/>
        <v>0.973670680201421</v>
      </c>
      <c r="J185" s="32">
        <f t="shared" si="88"/>
        <v>1.63161564100228</v>
      </c>
      <c r="K185" s="22" t="s">
        <v>460</v>
      </c>
      <c r="L185" s="40">
        <f t="shared" si="104"/>
        <v>0.25</v>
      </c>
      <c r="M185" s="96">
        <v>60724</v>
      </c>
      <c r="N185" s="99">
        <f t="shared" si="98"/>
        <v>60636</v>
      </c>
      <c r="O185" s="38">
        <f t="shared" si="99"/>
        <v>60724</v>
      </c>
      <c r="P185" s="88">
        <f t="shared" si="100"/>
        <v>88</v>
      </c>
      <c r="Q185" s="45">
        <v>10000000</v>
      </c>
      <c r="R185" s="105">
        <f t="shared" si="92"/>
        <v>1.072494200475532E-3</v>
      </c>
      <c r="S185" s="45">
        <f t="shared" si="101"/>
        <v>2621.6524900513</v>
      </c>
      <c r="T185" s="45">
        <f t="shared" si="102"/>
        <v>241.09589041198998</v>
      </c>
      <c r="V185" s="61">
        <f t="shared" si="93"/>
        <v>-16307078.62402943</v>
      </c>
      <c r="W185" s="47">
        <f t="shared" si="94"/>
        <v>-16316156.410022799</v>
      </c>
      <c r="X185" s="107">
        <f t="shared" si="95"/>
        <v>4.7434198196559686E-3</v>
      </c>
      <c r="Y185" s="47">
        <f t="shared" si="96"/>
        <v>-18908.100431222294</v>
      </c>
      <c r="Z185" s="47">
        <f t="shared" si="97"/>
        <v>9077.7859933692962</v>
      </c>
      <c r="AN185" s="51"/>
      <c r="AO185" s="42"/>
    </row>
    <row r="186" spans="1:41" x14ac:dyDescent="0.25">
      <c r="A186" s="38">
        <v>60815</v>
      </c>
      <c r="B186" s="22">
        <v>2.4931506849234999E-5</v>
      </c>
      <c r="C186" s="22">
        <v>2.7110391205709101E-4</v>
      </c>
      <c r="D186" s="22">
        <v>0.95450728367361204</v>
      </c>
      <c r="E186" s="22">
        <v>1.19905481018789E-3</v>
      </c>
      <c r="F186" s="32">
        <v>0.73882043910568196</v>
      </c>
      <c r="G186" s="5">
        <f t="shared" si="87"/>
        <v>46.669444444444444</v>
      </c>
      <c r="H186" s="5">
        <f t="shared" si="103"/>
        <v>5.9491405316598571E-4</v>
      </c>
      <c r="I186" s="5">
        <f t="shared" si="90"/>
        <v>0.97262560702146961</v>
      </c>
      <c r="J186" s="32">
        <f t="shared" si="88"/>
        <v>1.6325387758997754</v>
      </c>
      <c r="K186" s="22" t="s">
        <v>460</v>
      </c>
      <c r="L186" s="40">
        <f t="shared" si="104"/>
        <v>0.25</v>
      </c>
      <c r="M186" s="96">
        <v>60815</v>
      </c>
      <c r="N186" s="99">
        <f t="shared" si="98"/>
        <v>60724</v>
      </c>
      <c r="O186" s="38">
        <f t="shared" si="99"/>
        <v>60815</v>
      </c>
      <c r="P186" s="88">
        <f t="shared" si="100"/>
        <v>91</v>
      </c>
      <c r="Q186" s="45">
        <v>10000000</v>
      </c>
      <c r="R186" s="105">
        <f t="shared" si="92"/>
        <v>1.0724989927533271E-3</v>
      </c>
      <c r="S186" s="45">
        <f t="shared" si="101"/>
        <v>2711.0391205709102</v>
      </c>
      <c r="T186" s="45">
        <f t="shared" si="102"/>
        <v>249.31506849234998</v>
      </c>
      <c r="V186" s="61">
        <f t="shared" si="93"/>
        <v>-16316156.410022799</v>
      </c>
      <c r="W186" s="47">
        <f t="shared" si="94"/>
        <v>-16325387.758997753</v>
      </c>
      <c r="X186" s="107">
        <f t="shared" si="95"/>
        <v>4.7435135348092355E-3</v>
      </c>
      <c r="Y186" s="47">
        <f t="shared" si="96"/>
        <v>-19563.965827215812</v>
      </c>
      <c r="Z186" s="47">
        <f t="shared" si="97"/>
        <v>9231.3489749543369</v>
      </c>
      <c r="AN186" s="51"/>
      <c r="AO186" s="42"/>
    </row>
    <row r="187" spans="1:41" x14ac:dyDescent="0.25">
      <c r="A187" s="38">
        <v>60909</v>
      </c>
      <c r="B187" s="22">
        <v>2.5753424657493E-5</v>
      </c>
      <c r="C187" s="22">
        <v>2.80042654987822E-4</v>
      </c>
      <c r="D187" s="22">
        <v>0.95463568640832497</v>
      </c>
      <c r="E187" s="22">
        <v>1.2386085603563999E-3</v>
      </c>
      <c r="F187" s="32">
        <v>0.73757024667620696</v>
      </c>
      <c r="G187" s="5">
        <f t="shared" si="87"/>
        <v>46.930555555555557</v>
      </c>
      <c r="H187" s="5">
        <f t="shared" si="103"/>
        <v>6.1547948838316642E-4</v>
      </c>
      <c r="I187" s="5">
        <f t="shared" si="90"/>
        <v>0.97153701601644038</v>
      </c>
      <c r="J187" s="32">
        <f t="shared" si="88"/>
        <v>1.6334756709497473</v>
      </c>
      <c r="K187" s="22" t="s">
        <v>460</v>
      </c>
      <c r="L187" s="40">
        <f t="shared" si="104"/>
        <v>0.25</v>
      </c>
      <c r="M187" s="96">
        <v>60909</v>
      </c>
      <c r="N187" s="99">
        <f t="shared" si="98"/>
        <v>60815</v>
      </c>
      <c r="O187" s="38">
        <f t="shared" si="99"/>
        <v>60909</v>
      </c>
      <c r="P187" s="88">
        <f t="shared" si="100"/>
        <v>94</v>
      </c>
      <c r="Q187" s="45">
        <v>10000000</v>
      </c>
      <c r="R187" s="105">
        <f t="shared" si="92"/>
        <v>1.0725037850597438E-3</v>
      </c>
      <c r="S187" s="45">
        <f t="shared" si="101"/>
        <v>2800.4265498782202</v>
      </c>
      <c r="T187" s="45">
        <f t="shared" si="102"/>
        <v>257.53424657493002</v>
      </c>
      <c r="V187" s="61">
        <f t="shared" si="93"/>
        <v>-16325387.758997753</v>
      </c>
      <c r="W187" s="47">
        <f t="shared" si="94"/>
        <v>-16334756.709497474</v>
      </c>
      <c r="X187" s="107">
        <f t="shared" si="95"/>
        <v>4.7436072524287658E-3</v>
      </c>
      <c r="Y187" s="47">
        <f t="shared" si="96"/>
        <v>-20220.765029432201</v>
      </c>
      <c r="Z187" s="47">
        <f t="shared" si="97"/>
        <v>9368.9504997208714</v>
      </c>
      <c r="AN187" s="51"/>
      <c r="AO187" s="42"/>
    </row>
    <row r="188" spans="1:41" x14ac:dyDescent="0.25">
      <c r="A188" s="38">
        <v>61001</v>
      </c>
      <c r="B188" s="22">
        <v>2.5205479452061701E-5</v>
      </c>
      <c r="C188" s="22">
        <v>2.7408348415858198E-4</v>
      </c>
      <c r="D188" s="22">
        <v>0.95476137389564497</v>
      </c>
      <c r="E188" s="22">
        <v>1.2122392199560501E-3</v>
      </c>
      <c r="F188" s="32">
        <v>0.736348702581613</v>
      </c>
      <c r="G188" s="5">
        <f t="shared" si="87"/>
        <v>47.18611111111111</v>
      </c>
      <c r="H188" s="5">
        <f t="shared" si="103"/>
        <v>6.3560736114891758E-4</v>
      </c>
      <c r="I188" s="5">
        <f t="shared" si="90"/>
        <v>0.97046269885730729</v>
      </c>
      <c r="J188" s="32">
        <f t="shared" si="88"/>
        <v>1.6343761978986584</v>
      </c>
      <c r="K188" s="22" t="s">
        <v>460</v>
      </c>
      <c r="L188" s="40">
        <f t="shared" si="104"/>
        <v>0.25</v>
      </c>
      <c r="M188" s="96">
        <v>61001</v>
      </c>
      <c r="N188" s="99">
        <f t="shared" si="98"/>
        <v>60909</v>
      </c>
      <c r="O188" s="38">
        <f t="shared" si="99"/>
        <v>61001</v>
      </c>
      <c r="P188" s="88">
        <f t="shared" si="100"/>
        <v>92</v>
      </c>
      <c r="Q188" s="45">
        <v>10000000</v>
      </c>
      <c r="R188" s="105">
        <f t="shared" si="92"/>
        <v>1.0725005901857556E-3</v>
      </c>
      <c r="S188" s="45">
        <f t="shared" si="101"/>
        <v>2740.83484158582</v>
      </c>
      <c r="T188" s="45">
        <f t="shared" si="102"/>
        <v>252.05479452061701</v>
      </c>
      <c r="V188" s="61">
        <f t="shared" si="93"/>
        <v>-16334756.709497474</v>
      </c>
      <c r="W188" s="47">
        <f t="shared" si="94"/>
        <v>-16343761.978986584</v>
      </c>
      <c r="X188" s="107">
        <f t="shared" si="95"/>
        <v>4.7435447737410657E-3</v>
      </c>
      <c r="Y188" s="47">
        <f t="shared" si="96"/>
        <v>-19801.632731693073</v>
      </c>
      <c r="Z188" s="47">
        <f t="shared" si="97"/>
        <v>9005.2694891095161</v>
      </c>
      <c r="AN188" s="51"/>
      <c r="AO188" s="42"/>
    </row>
    <row r="189" spans="1:41" x14ac:dyDescent="0.25">
      <c r="A189" s="38">
        <v>61092</v>
      </c>
      <c r="B189" s="22">
        <v>2.4931506849234999E-5</v>
      </c>
      <c r="C189" s="22">
        <v>2.7110391205709101E-4</v>
      </c>
      <c r="D189" s="22">
        <v>0.95488571149382495</v>
      </c>
      <c r="E189" s="22">
        <v>1.19905481018767E-3</v>
      </c>
      <c r="F189" s="32">
        <v>0.73514242637516203</v>
      </c>
      <c r="G189" s="5">
        <f t="shared" si="87"/>
        <v>47.43888888888889</v>
      </c>
      <c r="H189" s="5">
        <f t="shared" si="103"/>
        <v>6.5551645268895433E-4</v>
      </c>
      <c r="I189" s="5">
        <f t="shared" si="90"/>
        <v>0.96939144144113432</v>
      </c>
      <c r="J189" s="32">
        <f t="shared" si="88"/>
        <v>1.6352509165586731</v>
      </c>
      <c r="K189" s="22" t="s">
        <v>460</v>
      </c>
      <c r="L189" s="40">
        <f t="shared" si="104"/>
        <v>0.25</v>
      </c>
      <c r="M189" s="96">
        <v>61092</v>
      </c>
      <c r="N189" s="99">
        <f t="shared" si="98"/>
        <v>61001</v>
      </c>
      <c r="O189" s="38">
        <f t="shared" si="99"/>
        <v>61092</v>
      </c>
      <c r="P189" s="88">
        <f t="shared" si="100"/>
        <v>91</v>
      </c>
      <c r="Q189" s="45">
        <v>10000000</v>
      </c>
      <c r="R189" s="105">
        <f t="shared" si="92"/>
        <v>1.0724989927533271E-3</v>
      </c>
      <c r="S189" s="45">
        <f t="shared" si="101"/>
        <v>2711.0391205709102</v>
      </c>
      <c r="T189" s="45">
        <f t="shared" si="102"/>
        <v>249.31506849234998</v>
      </c>
      <c r="V189" s="61">
        <f t="shared" si="93"/>
        <v>-16343761.978986584</v>
      </c>
      <c r="W189" s="47">
        <f t="shared" si="94"/>
        <v>-16352509.16558673</v>
      </c>
      <c r="X189" s="107">
        <f t="shared" si="95"/>
        <v>4.7435135348083647E-3</v>
      </c>
      <c r="Y189" s="47">
        <f t="shared" si="96"/>
        <v>-19597.066417466216</v>
      </c>
      <c r="Z189" s="47">
        <f t="shared" si="97"/>
        <v>8747.1866001468152</v>
      </c>
      <c r="AN189" s="51"/>
      <c r="AO189" s="42"/>
    </row>
    <row r="190" spans="1:41" x14ac:dyDescent="0.25">
      <c r="A190" s="38">
        <v>61183</v>
      </c>
      <c r="B190" s="22">
        <v>2.4931506849234999E-5</v>
      </c>
      <c r="C190" s="22">
        <v>2.7110391205709101E-4</v>
      </c>
      <c r="D190" s="22">
        <v>0.95501006528436205</v>
      </c>
      <c r="E190" s="22">
        <v>1.19905481018767E-3</v>
      </c>
      <c r="F190" s="32">
        <v>0.73393812627362198</v>
      </c>
      <c r="G190" s="5">
        <f t="shared" si="87"/>
        <v>47.69166666666667</v>
      </c>
      <c r="H190" s="5">
        <f t="shared" si="103"/>
        <v>6.754255442289912E-4</v>
      </c>
      <c r="I190" s="5">
        <f t="shared" si="90"/>
        <v>0.9683116448617165</v>
      </c>
      <c r="J190" s="32">
        <f t="shared" si="88"/>
        <v>1.6361096771055861</v>
      </c>
      <c r="K190" s="22" t="s">
        <v>460</v>
      </c>
      <c r="L190" s="40">
        <f t="shared" si="104"/>
        <v>0.25</v>
      </c>
      <c r="M190" s="96">
        <v>61183</v>
      </c>
      <c r="N190" s="99">
        <f t="shared" si="98"/>
        <v>61092</v>
      </c>
      <c r="O190" s="38">
        <f t="shared" si="99"/>
        <v>61183</v>
      </c>
      <c r="P190" s="88">
        <f t="shared" si="100"/>
        <v>91</v>
      </c>
      <c r="Q190" s="45">
        <v>10000000</v>
      </c>
      <c r="R190" s="105">
        <f t="shared" si="92"/>
        <v>1.0724989927533271E-3</v>
      </c>
      <c r="S190" s="45">
        <f t="shared" si="101"/>
        <v>2711.0391205709102</v>
      </c>
      <c r="T190" s="45">
        <f t="shared" si="102"/>
        <v>249.31506849234998</v>
      </c>
      <c r="V190" s="61">
        <f t="shared" si="93"/>
        <v>-16352509.16558673</v>
      </c>
      <c r="W190" s="47">
        <f t="shared" si="94"/>
        <v>-16361096.77105586</v>
      </c>
      <c r="X190" s="107">
        <f t="shared" si="95"/>
        <v>4.7435135348083647E-3</v>
      </c>
      <c r="Y190" s="47">
        <f t="shared" si="96"/>
        <v>-19607.554773634729</v>
      </c>
      <c r="Z190" s="47">
        <f t="shared" si="97"/>
        <v>8587.6054691299796</v>
      </c>
      <c r="AN190" s="51"/>
      <c r="AO190" s="42"/>
    </row>
    <row r="191" spans="1:41" x14ac:dyDescent="0.25">
      <c r="A191" s="38">
        <v>61273</v>
      </c>
      <c r="B191" s="22">
        <v>2.4657534246630399E-5</v>
      </c>
      <c r="C191" s="22">
        <v>2.6812434883094401E-4</v>
      </c>
      <c r="D191" s="22">
        <v>0.95513306847822499</v>
      </c>
      <c r="E191" s="22">
        <v>1.1858705740375099E-3</v>
      </c>
      <c r="F191" s="32">
        <v>0.73274900071778504</v>
      </c>
      <c r="G191" s="5">
        <f t="shared" si="87"/>
        <v>47.94166666666667</v>
      </c>
      <c r="H191" s="5">
        <f t="shared" si="103"/>
        <v>6.9511585454331312E-4</v>
      </c>
      <c r="I191" s="5">
        <f t="shared" si="90"/>
        <v>0.96723534609551709</v>
      </c>
      <c r="J191" s="32">
        <f t="shared" si="88"/>
        <v>1.6369432800564412</v>
      </c>
      <c r="K191" s="22" t="s">
        <v>460</v>
      </c>
      <c r="L191" s="40">
        <f t="shared" si="104"/>
        <v>0.25</v>
      </c>
      <c r="M191" s="96">
        <v>61273</v>
      </c>
      <c r="N191" s="99">
        <f t="shared" si="98"/>
        <v>61183</v>
      </c>
      <c r="O191" s="38">
        <f t="shared" si="99"/>
        <v>61273</v>
      </c>
      <c r="P191" s="88">
        <f t="shared" si="100"/>
        <v>90</v>
      </c>
      <c r="Q191" s="45">
        <v>10000000</v>
      </c>
      <c r="R191" s="105">
        <f t="shared" si="92"/>
        <v>1.072497395323776E-3</v>
      </c>
      <c r="S191" s="45">
        <f t="shared" si="101"/>
        <v>2681.2434883094402</v>
      </c>
      <c r="T191" s="45">
        <f t="shared" si="102"/>
        <v>246.57534246630399</v>
      </c>
      <c r="V191" s="61">
        <f t="shared" si="93"/>
        <v>-16361096.77105586</v>
      </c>
      <c r="W191" s="47">
        <f t="shared" si="94"/>
        <v>-16369432.800564412</v>
      </c>
      <c r="X191" s="107">
        <f t="shared" si="95"/>
        <v>4.7434822961500396E-3</v>
      </c>
      <c r="Y191" s="47">
        <f t="shared" si="96"/>
        <v>-19402.143219775262</v>
      </c>
      <c r="Z191" s="47">
        <f t="shared" si="97"/>
        <v>8336.0295085515827</v>
      </c>
      <c r="AN191" s="51"/>
      <c r="AO191" s="42"/>
    </row>
    <row r="192" spans="1:41" x14ac:dyDescent="0.25">
      <c r="A192" s="38">
        <v>61365</v>
      </c>
      <c r="B192" s="22">
        <v>2.5205479452061701E-5</v>
      </c>
      <c r="C192" s="22">
        <v>2.7408348415858198E-4</v>
      </c>
      <c r="D192" s="22">
        <v>0.95525882145094898</v>
      </c>
      <c r="E192" s="22">
        <v>1.2122392199560501E-3</v>
      </c>
      <c r="F192" s="32">
        <v>0.73153544144166105</v>
      </c>
      <c r="G192" s="5">
        <f t="shared" si="87"/>
        <v>48.197222222222223</v>
      </c>
      <c r="H192" s="5">
        <f t="shared" si="103"/>
        <v>7.1524372730906417E-4</v>
      </c>
      <c r="I192" s="5">
        <f t="shared" si="90"/>
        <v>0.96612656031692656</v>
      </c>
      <c r="J192" s="32">
        <f t="shared" si="88"/>
        <v>1.6377792237760869</v>
      </c>
      <c r="K192" s="22" t="s">
        <v>460</v>
      </c>
      <c r="L192" s="40">
        <f t="shared" si="104"/>
        <v>0.25</v>
      </c>
      <c r="M192" s="96">
        <v>61365</v>
      </c>
      <c r="N192" s="99">
        <f t="shared" si="98"/>
        <v>61273</v>
      </c>
      <c r="O192" s="38">
        <f t="shared" si="99"/>
        <v>61365</v>
      </c>
      <c r="P192" s="88">
        <f t="shared" si="100"/>
        <v>92</v>
      </c>
      <c r="Q192" s="45">
        <v>10000000</v>
      </c>
      <c r="R192" s="105">
        <f t="shared" si="92"/>
        <v>1.0725005901857556E-3</v>
      </c>
      <c r="S192" s="45">
        <f t="shared" si="101"/>
        <v>2740.83484158582</v>
      </c>
      <c r="T192" s="45">
        <f t="shared" si="102"/>
        <v>252.05479452061701</v>
      </c>
      <c r="V192" s="61">
        <f t="shared" si="93"/>
        <v>-16369432.800564412</v>
      </c>
      <c r="W192" s="47">
        <f t="shared" si="94"/>
        <v>-16377792.237760868</v>
      </c>
      <c r="X192" s="107">
        <f t="shared" si="95"/>
        <v>4.7435447737410657E-3</v>
      </c>
      <c r="Y192" s="47">
        <f t="shared" si="96"/>
        <v>-19843.668449279183</v>
      </c>
      <c r="Z192" s="47">
        <f t="shared" si="97"/>
        <v>8359.4371964558959</v>
      </c>
      <c r="AN192" s="51"/>
      <c r="AO192" s="42"/>
    </row>
    <row r="193" spans="1:41" x14ac:dyDescent="0.25">
      <c r="A193" s="38">
        <v>61455</v>
      </c>
      <c r="B193" s="22">
        <v>2.4657534246630399E-5</v>
      </c>
      <c r="C193" s="22">
        <v>2.68124348831166E-4</v>
      </c>
      <c r="D193" s="22">
        <v>0.95538185668405795</v>
      </c>
      <c r="E193" s="22">
        <v>1.1858705740375099E-3</v>
      </c>
      <c r="F193" s="32">
        <v>0.73035020871252698</v>
      </c>
      <c r="G193" s="5">
        <f t="shared" si="87"/>
        <v>48.447222222222223</v>
      </c>
      <c r="H193" s="5">
        <f t="shared" si="103"/>
        <v>7.3493403762338609E-4</v>
      </c>
      <c r="I193" s="5">
        <f t="shared" si="90"/>
        <v>0.96503352704504453</v>
      </c>
      <c r="J193" s="32">
        <f t="shared" si="88"/>
        <v>1.6385811390376523</v>
      </c>
      <c r="K193" s="22" t="s">
        <v>460</v>
      </c>
      <c r="L193" s="40">
        <f t="shared" si="104"/>
        <v>0.25</v>
      </c>
      <c r="M193" s="96">
        <v>61455</v>
      </c>
      <c r="N193" s="99">
        <f t="shared" si="98"/>
        <v>61365</v>
      </c>
      <c r="O193" s="38">
        <f t="shared" si="99"/>
        <v>61455</v>
      </c>
      <c r="P193" s="88">
        <f t="shared" si="100"/>
        <v>90</v>
      </c>
      <c r="Q193" s="45">
        <v>10000000</v>
      </c>
      <c r="R193" s="105">
        <f t="shared" si="92"/>
        <v>1.072497395324664E-3</v>
      </c>
      <c r="S193" s="45">
        <f t="shared" si="101"/>
        <v>2681.2434883116598</v>
      </c>
      <c r="T193" s="45">
        <f t="shared" si="102"/>
        <v>246.57534246630399</v>
      </c>
      <c r="V193" s="61">
        <f t="shared" si="93"/>
        <v>-16377792.237760868</v>
      </c>
      <c r="W193" s="47">
        <f t="shared" si="94"/>
        <v>-16385811.390376523</v>
      </c>
      <c r="X193" s="107">
        <f t="shared" si="95"/>
        <v>4.7434822961500396E-3</v>
      </c>
      <c r="Y193" s="47">
        <f t="shared" si="96"/>
        <v>-19421.941882460553</v>
      </c>
      <c r="Z193" s="47">
        <f t="shared" si="97"/>
        <v>8019.1526156552136</v>
      </c>
      <c r="AN193" s="51"/>
      <c r="AO193" s="42"/>
    </row>
    <row r="194" spans="1:41" x14ac:dyDescent="0.25">
      <c r="A194" s="38">
        <v>61546</v>
      </c>
      <c r="B194" s="22">
        <v>2.4931506849234999E-5</v>
      </c>
      <c r="C194" s="22">
        <v>2.7110391205709101E-4</v>
      </c>
      <c r="D194" s="22">
        <v>0.95550627508707697</v>
      </c>
      <c r="E194" s="22">
        <v>1.19905481018767E-3</v>
      </c>
      <c r="F194" s="32">
        <v>0.72915375915533098</v>
      </c>
      <c r="G194" s="5">
        <f t="shared" ref="G194:G202" si="105">YEARFRAC($BH$2,$A194,2)</f>
        <v>48.7</v>
      </c>
      <c r="H194" s="5">
        <f t="shared" si="103"/>
        <v>7.5484312916342285E-4</v>
      </c>
      <c r="I194" s="5">
        <f t="shared" si="90"/>
        <v>0.96391998297744219</v>
      </c>
      <c r="J194" s="32">
        <f t="shared" ref="J194:J202" si="106">$BI$2*I194/F194</f>
        <v>1.6393759970120105</v>
      </c>
      <c r="K194" s="22" t="s">
        <v>460</v>
      </c>
      <c r="L194" s="40">
        <f t="shared" si="104"/>
        <v>0.25</v>
      </c>
      <c r="M194" s="96">
        <v>61546</v>
      </c>
      <c r="N194" s="99">
        <f t="shared" si="98"/>
        <v>61455</v>
      </c>
      <c r="O194" s="38">
        <f t="shared" si="99"/>
        <v>61546</v>
      </c>
      <c r="P194" s="88">
        <f t="shared" si="100"/>
        <v>91</v>
      </c>
      <c r="Q194" s="45">
        <v>10000000</v>
      </c>
      <c r="R194" s="105">
        <f t="shared" si="92"/>
        <v>1.0724989927533271E-3</v>
      </c>
      <c r="S194" s="45">
        <f t="shared" si="101"/>
        <v>2711.0391205709102</v>
      </c>
      <c r="T194" s="45">
        <f t="shared" si="102"/>
        <v>249.31506849234998</v>
      </c>
      <c r="V194" s="61">
        <f t="shared" si="93"/>
        <v>-16385811.390376523</v>
      </c>
      <c r="W194" s="47">
        <f t="shared" si="94"/>
        <v>-16393759.970120106</v>
      </c>
      <c r="X194" s="107">
        <f t="shared" si="95"/>
        <v>4.7435135348083647E-3</v>
      </c>
      <c r="Y194" s="47">
        <f t="shared" si="96"/>
        <v>-19647.485966458884</v>
      </c>
      <c r="Z194" s="47">
        <f t="shared" si="97"/>
        <v>7948.5797435827553</v>
      </c>
      <c r="AN194" s="51"/>
      <c r="AO194" s="42"/>
    </row>
    <row r="195" spans="1:41" x14ac:dyDescent="0.25">
      <c r="A195" s="38">
        <v>61638</v>
      </c>
      <c r="B195" s="22">
        <v>2.5205479452061701E-5</v>
      </c>
      <c r="C195" s="22">
        <v>2.7408348415858198E-4</v>
      </c>
      <c r="D195" s="22">
        <v>0.95563207719624199</v>
      </c>
      <c r="E195" s="22">
        <v>1.2122392199560501E-3</v>
      </c>
      <c r="F195" s="32">
        <v>0.72794615422202302</v>
      </c>
      <c r="G195" s="5">
        <f t="shared" si="105"/>
        <v>48.955555555555556</v>
      </c>
      <c r="H195" s="5">
        <f t="shared" ref="H195:H202" si="107">RE_MATH_LinearInterpolation($BY$3:$BY$36,$CA$3:$CA$36,$G195)</f>
        <v>7.74971001929174E-4</v>
      </c>
      <c r="I195" s="5">
        <f t="shared" ref="I195:I202" si="108">(1+H195)^-$G195</f>
        <v>0.9627856836639147</v>
      </c>
      <c r="J195" s="32">
        <f t="shared" si="106"/>
        <v>1.6401632447493728</v>
      </c>
      <c r="K195" s="22" t="s">
        <v>460</v>
      </c>
      <c r="L195" s="40">
        <f t="shared" ref="L195:L202" si="109">VLOOKUP($K195,$BG$21:$BI$36,3,FALSE)*10000</f>
        <v>0.25</v>
      </c>
      <c r="M195" s="96">
        <v>61638</v>
      </c>
      <c r="N195" s="99">
        <f t="shared" si="98"/>
        <v>61546</v>
      </c>
      <c r="O195" s="38">
        <f t="shared" si="99"/>
        <v>61638</v>
      </c>
      <c r="P195" s="88">
        <f t="shared" si="100"/>
        <v>92</v>
      </c>
      <c r="Q195" s="45">
        <v>10000000</v>
      </c>
      <c r="R195" s="105">
        <f t="shared" ref="R195:R202" si="110">C195*360/P195</f>
        <v>1.0725005901857556E-3</v>
      </c>
      <c r="S195" s="45">
        <f t="shared" si="101"/>
        <v>2740.83484158582</v>
      </c>
      <c r="T195" s="45">
        <f t="shared" si="102"/>
        <v>252.05479452061701</v>
      </c>
      <c r="V195" s="61">
        <f t="shared" ref="V195:V202" si="111">W194</f>
        <v>-16393759.970120106</v>
      </c>
      <c r="W195" s="47">
        <f t="shared" ref="W195:W202" si="112">-Q195*J195</f>
        <v>-16401632.447493728</v>
      </c>
      <c r="X195" s="107">
        <f t="shared" ref="X195:X202" si="113">E195*360/P195</f>
        <v>4.7435447737410657E-3</v>
      </c>
      <c r="Y195" s="47">
        <f t="shared" ref="Y195:Y202" si="114">V195*E195</f>
        <v>-19873.158798325116</v>
      </c>
      <c r="Z195" s="47">
        <f t="shared" ref="Z195:Z202" si="115">V195-W195</f>
        <v>7872.4773736223578</v>
      </c>
      <c r="AN195" s="51"/>
      <c r="AO195" s="42"/>
    </row>
    <row r="196" spans="1:41" x14ac:dyDescent="0.25">
      <c r="A196" s="38">
        <v>61730</v>
      </c>
      <c r="B196" s="22">
        <v>2.5205479452061701E-5</v>
      </c>
      <c r="C196" s="22">
        <v>2.7408348415858198E-4</v>
      </c>
      <c r="D196" s="22">
        <v>0.95575789586853299</v>
      </c>
      <c r="E196" s="22">
        <v>1.2122392199560501E-3</v>
      </c>
      <c r="F196" s="32">
        <v>0.72674054929167298</v>
      </c>
      <c r="G196" s="5">
        <f t="shared" si="105"/>
        <v>49.211111111111109</v>
      </c>
      <c r="H196" s="5">
        <f t="shared" si="107"/>
        <v>7.9509887469492505E-4</v>
      </c>
      <c r="I196" s="5">
        <f t="shared" si="108"/>
        <v>0.96164285282086004</v>
      </c>
      <c r="J196" s="32">
        <f t="shared" si="106"/>
        <v>1.6409340347741246</v>
      </c>
      <c r="K196" s="22" t="s">
        <v>460</v>
      </c>
      <c r="L196" s="40">
        <f t="shared" si="109"/>
        <v>0.25</v>
      </c>
      <c r="M196" s="96">
        <v>61730</v>
      </c>
      <c r="N196" s="99">
        <f t="shared" ref="N196:N202" si="116">M195</f>
        <v>61638</v>
      </c>
      <c r="O196" s="38">
        <f t="shared" ref="O196:O202" si="117">M196</f>
        <v>61730</v>
      </c>
      <c r="P196" s="88">
        <f t="shared" ref="P196:P202" si="118">O196-N196</f>
        <v>92</v>
      </c>
      <c r="Q196" s="45">
        <v>10000000</v>
      </c>
      <c r="R196" s="105">
        <f t="shared" si="110"/>
        <v>1.0725005901857556E-3</v>
      </c>
      <c r="S196" s="45">
        <f t="shared" ref="S196:S202" si="119">Q196*$C196</f>
        <v>2740.83484158582</v>
      </c>
      <c r="T196" s="45">
        <f t="shared" ref="T196:T202" si="120">Q196*$B196</f>
        <v>252.05479452061701</v>
      </c>
      <c r="V196" s="61">
        <f t="shared" si="111"/>
        <v>-16401632.447493728</v>
      </c>
      <c r="W196" s="47">
        <f t="shared" si="112"/>
        <v>-16409340.347741246</v>
      </c>
      <c r="X196" s="107">
        <f t="shared" si="113"/>
        <v>4.7435447737410657E-3</v>
      </c>
      <c r="Y196" s="47">
        <f t="shared" si="114"/>
        <v>-19882.702124155636</v>
      </c>
      <c r="Z196" s="47">
        <f t="shared" si="115"/>
        <v>7707.9002475179732</v>
      </c>
      <c r="AN196" s="51"/>
      <c r="AO196" s="42"/>
    </row>
    <row r="197" spans="1:41" x14ac:dyDescent="0.25">
      <c r="A197" s="38">
        <v>61820</v>
      </c>
      <c r="B197" s="22">
        <v>2.4657534246630399E-5</v>
      </c>
      <c r="C197" s="22">
        <v>2.68124348831166E-4</v>
      </c>
      <c r="D197" s="22">
        <v>0.95588099538132898</v>
      </c>
      <c r="E197" s="22">
        <v>1.1858705740375099E-3</v>
      </c>
      <c r="F197" s="32">
        <v>0.72556308524029101</v>
      </c>
      <c r="G197" s="5">
        <f t="shared" si="105"/>
        <v>49.461111111111109</v>
      </c>
      <c r="H197" s="5">
        <f t="shared" si="107"/>
        <v>8.1478918500924708E-4</v>
      </c>
      <c r="I197" s="5">
        <f t="shared" si="108"/>
        <v>0.9605166433089084</v>
      </c>
      <c r="J197" s="32">
        <f t="shared" si="106"/>
        <v>1.6416721214157393</v>
      </c>
      <c r="K197" s="22" t="s">
        <v>460</v>
      </c>
      <c r="L197" s="40">
        <f t="shared" si="109"/>
        <v>0.25</v>
      </c>
      <c r="M197" s="96">
        <v>61820</v>
      </c>
      <c r="N197" s="99">
        <f t="shared" si="116"/>
        <v>61730</v>
      </c>
      <c r="O197" s="38">
        <f t="shared" si="117"/>
        <v>61820</v>
      </c>
      <c r="P197" s="88">
        <f t="shared" si="118"/>
        <v>90</v>
      </c>
      <c r="Q197" s="45">
        <v>10000000</v>
      </c>
      <c r="R197" s="105">
        <f t="shared" si="110"/>
        <v>1.072497395324664E-3</v>
      </c>
      <c r="S197" s="45">
        <f t="shared" si="119"/>
        <v>2681.2434883116598</v>
      </c>
      <c r="T197" s="45">
        <f t="shared" si="120"/>
        <v>246.57534246630399</v>
      </c>
      <c r="V197" s="61">
        <f t="shared" si="111"/>
        <v>-16409340.347741246</v>
      </c>
      <c r="W197" s="47">
        <f t="shared" si="112"/>
        <v>-16416721.214157393</v>
      </c>
      <c r="X197" s="107">
        <f t="shared" si="113"/>
        <v>4.7434822961500396E-3</v>
      </c>
      <c r="Y197" s="47">
        <f t="shared" si="114"/>
        <v>-19459.353857752783</v>
      </c>
      <c r="Z197" s="47">
        <f t="shared" si="115"/>
        <v>7380.8664161469787</v>
      </c>
      <c r="AN197" s="51"/>
      <c r="AO197" s="42"/>
    </row>
    <row r="198" spans="1:41" x14ac:dyDescent="0.25">
      <c r="A198" s="38">
        <v>61911</v>
      </c>
      <c r="B198" s="22">
        <v>2.4931506849234999E-5</v>
      </c>
      <c r="C198" s="22">
        <v>2.7110391205709101E-4</v>
      </c>
      <c r="D198" s="22">
        <v>0.95600547878666997</v>
      </c>
      <c r="E198" s="22">
        <v>1.19905481018767E-3</v>
      </c>
      <c r="F198" s="32">
        <v>0.72437447788220699</v>
      </c>
      <c r="G198" s="5">
        <f t="shared" si="105"/>
        <v>49.713888888888889</v>
      </c>
      <c r="H198" s="5">
        <f t="shared" si="107"/>
        <v>8.3469827654928394E-4</v>
      </c>
      <c r="I198" s="5">
        <f t="shared" si="108"/>
        <v>0.95936968465500261</v>
      </c>
      <c r="J198" s="32">
        <f t="shared" si="106"/>
        <v>1.6424023516385295</v>
      </c>
      <c r="K198" s="22" t="s">
        <v>460</v>
      </c>
      <c r="L198" s="40">
        <f t="shared" si="109"/>
        <v>0.25</v>
      </c>
      <c r="M198" s="96">
        <v>61911</v>
      </c>
      <c r="N198" s="99">
        <f t="shared" si="116"/>
        <v>61820</v>
      </c>
      <c r="O198" s="38">
        <f t="shared" si="117"/>
        <v>61911</v>
      </c>
      <c r="P198" s="88">
        <f t="shared" si="118"/>
        <v>91</v>
      </c>
      <c r="Q198" s="45">
        <v>10000000</v>
      </c>
      <c r="R198" s="105">
        <f t="shared" si="110"/>
        <v>1.0724989927533271E-3</v>
      </c>
      <c r="S198" s="45">
        <f t="shared" si="119"/>
        <v>2711.0391205709102</v>
      </c>
      <c r="T198" s="45">
        <f t="shared" si="120"/>
        <v>249.31506849234998</v>
      </c>
      <c r="V198" s="61">
        <f t="shared" si="111"/>
        <v>-16416721.214157393</v>
      </c>
      <c r="W198" s="47">
        <f t="shared" si="112"/>
        <v>-16424023.516385296</v>
      </c>
      <c r="X198" s="107">
        <f t="shared" si="113"/>
        <v>4.7435135348083647E-3</v>
      </c>
      <c r="Y198" s="47">
        <f t="shared" si="114"/>
        <v>-19684.548539345389</v>
      </c>
      <c r="Z198" s="47">
        <f t="shared" si="115"/>
        <v>7302.3022279031575</v>
      </c>
      <c r="AN198" s="51"/>
      <c r="AO198" s="42"/>
    </row>
    <row r="199" spans="1:41" x14ac:dyDescent="0.25">
      <c r="A199" s="38">
        <v>62003</v>
      </c>
      <c r="B199" s="22">
        <v>2.5205479452061701E-5</v>
      </c>
      <c r="C199" s="22">
        <v>2.7408348415858198E-4</v>
      </c>
      <c r="D199" s="22">
        <v>0.95613134662107402</v>
      </c>
      <c r="E199" s="22">
        <v>1.2122392199560501E-3</v>
      </c>
      <c r="F199" s="32">
        <v>0.72317478826658199</v>
      </c>
      <c r="G199" s="5">
        <f t="shared" si="105"/>
        <v>49.969444444444441</v>
      </c>
      <c r="H199" s="5">
        <f t="shared" si="107"/>
        <v>8.5482614931503488E-4</v>
      </c>
      <c r="I199" s="5">
        <f t="shared" si="108"/>
        <v>0.95820173758926153</v>
      </c>
      <c r="J199" s="32">
        <f t="shared" si="106"/>
        <v>1.6431241714505345</v>
      </c>
      <c r="K199" s="22" t="s">
        <v>460</v>
      </c>
      <c r="L199" s="40">
        <f t="shared" si="109"/>
        <v>0.25</v>
      </c>
      <c r="M199" s="96">
        <v>62003</v>
      </c>
      <c r="N199" s="99">
        <f t="shared" si="116"/>
        <v>61911</v>
      </c>
      <c r="O199" s="38">
        <f t="shared" si="117"/>
        <v>62003</v>
      </c>
      <c r="P199" s="88">
        <f t="shared" si="118"/>
        <v>92</v>
      </c>
      <c r="Q199" s="45">
        <v>10000000</v>
      </c>
      <c r="R199" s="105">
        <f t="shared" si="110"/>
        <v>1.0725005901857556E-3</v>
      </c>
      <c r="S199" s="45">
        <f t="shared" si="119"/>
        <v>2740.83484158582</v>
      </c>
      <c r="T199" s="45">
        <f t="shared" si="120"/>
        <v>252.05479452061701</v>
      </c>
      <c r="V199" s="61">
        <f t="shared" si="111"/>
        <v>-16424023.516385296</v>
      </c>
      <c r="W199" s="47">
        <f t="shared" si="112"/>
        <v>-16431241.714505345</v>
      </c>
      <c r="X199" s="107">
        <f t="shared" si="113"/>
        <v>4.7435447737410657E-3</v>
      </c>
      <c r="Y199" s="47">
        <f t="shared" si="114"/>
        <v>-19909.845456042734</v>
      </c>
      <c r="Z199" s="47">
        <f t="shared" si="115"/>
        <v>7218.1981200482696</v>
      </c>
      <c r="AN199" s="51"/>
      <c r="AO199" s="42"/>
    </row>
    <row r="200" spans="1:41" x14ac:dyDescent="0.25">
      <c r="A200" s="38">
        <v>62095</v>
      </c>
      <c r="B200" s="22">
        <v>2.5205479452061701E-5</v>
      </c>
      <c r="C200" s="22">
        <v>2.7408348415858198E-4</v>
      </c>
      <c r="D200" s="22">
        <v>0.95625723102725801</v>
      </c>
      <c r="E200" s="22">
        <v>1.2122392199560501E-3</v>
      </c>
      <c r="F200" s="32">
        <v>0.72197708554477702</v>
      </c>
      <c r="G200" s="5">
        <f t="shared" si="105"/>
        <v>50.225000000000001</v>
      </c>
      <c r="H200" s="5">
        <f t="shared" si="107"/>
        <v>8.7495402208078658E-4</v>
      </c>
      <c r="I200" s="5">
        <f t="shared" si="108"/>
        <v>0.95702539461995528</v>
      </c>
      <c r="J200" s="32">
        <f t="shared" si="106"/>
        <v>1.6438294450476723</v>
      </c>
      <c r="K200" s="22" t="s">
        <v>460</v>
      </c>
      <c r="L200" s="40">
        <f t="shared" si="109"/>
        <v>0.25</v>
      </c>
      <c r="M200" s="96">
        <v>62095</v>
      </c>
      <c r="N200" s="99">
        <f t="shared" si="116"/>
        <v>62003</v>
      </c>
      <c r="O200" s="38">
        <f t="shared" si="117"/>
        <v>62095</v>
      </c>
      <c r="P200" s="88">
        <f t="shared" si="118"/>
        <v>92</v>
      </c>
      <c r="Q200" s="45">
        <v>10000000</v>
      </c>
      <c r="R200" s="105">
        <f t="shared" si="110"/>
        <v>1.0725005901857556E-3</v>
      </c>
      <c r="S200" s="45">
        <f t="shared" si="119"/>
        <v>2740.83484158582</v>
      </c>
      <c r="T200" s="45">
        <f t="shared" si="120"/>
        <v>252.05479452061701</v>
      </c>
      <c r="V200" s="61">
        <f t="shared" si="111"/>
        <v>-16431241.714505345</v>
      </c>
      <c r="W200" s="47">
        <f t="shared" si="112"/>
        <v>-16438294.450476723</v>
      </c>
      <c r="X200" s="107">
        <f t="shared" si="113"/>
        <v>4.7435447737410657E-3</v>
      </c>
      <c r="Y200" s="47">
        <f t="shared" si="114"/>
        <v>-19918.595638901268</v>
      </c>
      <c r="Z200" s="47">
        <f t="shared" si="115"/>
        <v>7052.7359713781625</v>
      </c>
      <c r="AN200" s="51"/>
      <c r="AO200" s="42"/>
    </row>
    <row r="201" spans="1:41" x14ac:dyDescent="0.25">
      <c r="A201" s="38">
        <v>62185</v>
      </c>
      <c r="B201" s="22">
        <v>2.4657534246630399E-5</v>
      </c>
      <c r="C201" s="22">
        <v>2.6812434883094401E-4</v>
      </c>
      <c r="D201" s="22">
        <v>0.95638039485332205</v>
      </c>
      <c r="E201" s="22">
        <v>1.1858705740375099E-3</v>
      </c>
      <c r="F201" s="32">
        <v>0.72080733925089102</v>
      </c>
      <c r="G201" s="5">
        <f t="shared" si="105"/>
        <v>50.475000000000001</v>
      </c>
      <c r="H201" s="5">
        <f t="shared" si="107"/>
        <v>8.946443323951085E-4</v>
      </c>
      <c r="I201" s="5">
        <f t="shared" si="108"/>
        <v>0.95586653357037021</v>
      </c>
      <c r="J201" s="32">
        <f t="shared" si="106"/>
        <v>1.6445033557961943</v>
      </c>
      <c r="K201" s="22" t="s">
        <v>460</v>
      </c>
      <c r="L201" s="40">
        <f t="shared" si="109"/>
        <v>0.25</v>
      </c>
      <c r="M201" s="96">
        <v>62185</v>
      </c>
      <c r="N201" s="99">
        <f t="shared" si="116"/>
        <v>62095</v>
      </c>
      <c r="O201" s="38">
        <f t="shared" si="117"/>
        <v>62185</v>
      </c>
      <c r="P201" s="88">
        <f t="shared" si="118"/>
        <v>90</v>
      </c>
      <c r="Q201" s="45">
        <v>10000000</v>
      </c>
      <c r="R201" s="105">
        <f t="shared" si="110"/>
        <v>1.072497395323776E-3</v>
      </c>
      <c r="S201" s="45">
        <f t="shared" si="119"/>
        <v>2681.2434883094402</v>
      </c>
      <c r="T201" s="45">
        <f t="shared" si="120"/>
        <v>246.57534246630399</v>
      </c>
      <c r="V201" s="61">
        <f t="shared" si="111"/>
        <v>-16438294.450476723</v>
      </c>
      <c r="W201" s="47">
        <f t="shared" si="112"/>
        <v>-16445033.557961943</v>
      </c>
      <c r="X201" s="107">
        <f t="shared" si="113"/>
        <v>4.7434822961500396E-3</v>
      </c>
      <c r="Y201" s="47">
        <f t="shared" si="114"/>
        <v>-19493.689676184444</v>
      </c>
      <c r="Z201" s="47">
        <f t="shared" si="115"/>
        <v>6739.1074852198362</v>
      </c>
      <c r="AN201" s="51"/>
      <c r="AO201" s="42"/>
    </row>
    <row r="202" spans="1:41" x14ac:dyDescent="0.25">
      <c r="A202" s="39">
        <v>62276</v>
      </c>
      <c r="B202" s="11">
        <v>2.4931506849234999E-5</v>
      </c>
      <c r="C202" s="11">
        <v>2.7802137337107298E-4</v>
      </c>
      <c r="D202" s="11">
        <v>0.956497547196418</v>
      </c>
      <c r="E202" s="11">
        <v>1.19905481018767E-3</v>
      </c>
      <c r="F202" s="33">
        <v>0.71962652268976302</v>
      </c>
      <c r="G202" s="11">
        <f t="shared" si="105"/>
        <v>50.727777777777774</v>
      </c>
      <c r="H202" s="11">
        <f t="shared" si="107"/>
        <v>9.1455342393514472E-4</v>
      </c>
      <c r="I202" s="11">
        <f t="shared" si="108"/>
        <v>0.95468669420573826</v>
      </c>
      <c r="J202" s="33">
        <f t="shared" si="106"/>
        <v>1.645168614768981</v>
      </c>
      <c r="K202" s="11" t="s">
        <v>460</v>
      </c>
      <c r="L202" s="41">
        <f t="shared" si="109"/>
        <v>0.25</v>
      </c>
      <c r="M202" s="95">
        <v>62276</v>
      </c>
      <c r="N202" s="9">
        <f t="shared" si="116"/>
        <v>62185</v>
      </c>
      <c r="O202" s="39">
        <f t="shared" si="117"/>
        <v>62276</v>
      </c>
      <c r="P202" s="87">
        <f t="shared" si="118"/>
        <v>91</v>
      </c>
      <c r="Q202" s="46">
        <v>10000000</v>
      </c>
      <c r="R202" s="106">
        <f t="shared" si="110"/>
        <v>1.0998647737756732E-3</v>
      </c>
      <c r="S202" s="46">
        <f t="shared" si="119"/>
        <v>2780.2137337107297</v>
      </c>
      <c r="T202" s="46">
        <f t="shared" si="120"/>
        <v>249.31506849234998</v>
      </c>
      <c r="U202" s="50">
        <f>Q202</f>
        <v>10000000</v>
      </c>
      <c r="V202" s="62">
        <f t="shared" si="111"/>
        <v>-16445033.557961943</v>
      </c>
      <c r="W202" s="46">
        <f t="shared" si="112"/>
        <v>-16451686.14768981</v>
      </c>
      <c r="X202" s="106">
        <f t="shared" si="113"/>
        <v>4.7435135348083647E-3</v>
      </c>
      <c r="Y202" s="46">
        <f t="shared" si="114"/>
        <v>-19718.496591371921</v>
      </c>
      <c r="Z202" s="46">
        <f t="shared" si="115"/>
        <v>6652.5897278673947</v>
      </c>
      <c r="AA202" s="50">
        <f>W202</f>
        <v>-16451686.14768981</v>
      </c>
      <c r="AN202" s="51"/>
      <c r="AO202" s="42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A1:AB122"/>
  <sheetViews>
    <sheetView workbookViewId="0">
      <selection activeCell="I18" sqref="I18"/>
    </sheetView>
  </sheetViews>
  <sheetFormatPr defaultRowHeight="15" x14ac:dyDescent="0.25"/>
  <cols>
    <col min="1" max="1" width="10.7109375" style="100" bestFit="1" customWidth="1"/>
    <col min="2" max="2" width="12" style="100" bestFit="1" customWidth="1"/>
    <col min="3" max="3" width="11.140625" style="100" bestFit="1" customWidth="1"/>
    <col min="4" max="4" width="5.140625" style="100" bestFit="1" customWidth="1"/>
    <col min="5" max="5" width="13.5703125" style="100" bestFit="1" customWidth="1"/>
    <col min="6" max="6" width="8" style="100" bestFit="1" customWidth="1"/>
    <col min="7" max="8" width="12.7109375" style="120" bestFit="1" customWidth="1"/>
    <col min="9" max="9" width="10.7109375" style="100" bestFit="1" customWidth="1"/>
    <col min="10" max="10" width="10.42578125" style="100" bestFit="1" customWidth="1"/>
    <col min="11" max="11" width="12.7109375" style="120" bestFit="1" customWidth="1"/>
    <col min="12" max="12" width="9" style="100" bestFit="1" customWidth="1"/>
    <col min="13" max="13" width="12.7109375" style="120" bestFit="1" customWidth="1"/>
    <col min="14" max="14" width="9.140625" style="101"/>
    <col min="15" max="18" width="9.140625" style="100" bestFit="1" customWidth="1"/>
    <col min="19" max="19" width="10.5703125" style="120" bestFit="1" customWidth="1"/>
    <col min="20" max="20" width="11.28515625" style="120" bestFit="1" customWidth="1"/>
    <col min="21" max="22" width="9.140625" style="100" bestFit="1" customWidth="1"/>
    <col min="23" max="23" width="11.28515625" style="120" bestFit="1" customWidth="1"/>
    <col min="24" max="24" width="9.140625" style="100" bestFit="1" customWidth="1"/>
    <col min="25" max="25" width="13" style="120" bestFit="1" customWidth="1"/>
    <col min="26" max="26" width="13" style="120" customWidth="1"/>
    <col min="27" max="27" width="10.5703125" style="100" bestFit="1" customWidth="1"/>
    <col min="28" max="28" width="10.5703125" style="100" customWidth="1"/>
    <col min="29" max="16384" width="9.140625" style="100"/>
  </cols>
  <sheetData>
    <row r="1" spans="1:28" x14ac:dyDescent="0.25">
      <c r="A1" s="102" t="s">
        <v>109</v>
      </c>
      <c r="B1" s="102" t="s">
        <v>110</v>
      </c>
      <c r="C1" s="102" t="s">
        <v>111</v>
      </c>
      <c r="D1" s="102" t="s">
        <v>112</v>
      </c>
      <c r="E1" s="102" t="s">
        <v>113</v>
      </c>
      <c r="F1" s="102" t="s">
        <v>114</v>
      </c>
      <c r="G1" s="119" t="s">
        <v>115</v>
      </c>
      <c r="H1" s="119" t="s">
        <v>116</v>
      </c>
      <c r="I1" s="102" t="s">
        <v>117</v>
      </c>
      <c r="J1" s="102" t="s">
        <v>118</v>
      </c>
      <c r="K1" s="119" t="s">
        <v>119</v>
      </c>
      <c r="L1" s="102" t="s">
        <v>120</v>
      </c>
      <c r="M1" s="119" t="s">
        <v>121</v>
      </c>
      <c r="O1" s="102" t="s">
        <v>109</v>
      </c>
      <c r="P1" s="102" t="s">
        <v>110</v>
      </c>
      <c r="Q1" s="102" t="s">
        <v>111</v>
      </c>
      <c r="R1" s="102" t="s">
        <v>112</v>
      </c>
      <c r="S1" s="119" t="s">
        <v>115</v>
      </c>
      <c r="T1" s="119" t="s">
        <v>116</v>
      </c>
      <c r="U1" s="102" t="s">
        <v>117</v>
      </c>
      <c r="V1" s="102" t="s">
        <v>118</v>
      </c>
      <c r="W1" s="119" t="s">
        <v>119</v>
      </c>
      <c r="X1" s="102" t="s">
        <v>120</v>
      </c>
      <c r="Y1" s="119" t="s">
        <v>121</v>
      </c>
      <c r="Z1" s="100"/>
      <c r="AA1" s="119" t="s">
        <v>397</v>
      </c>
    </row>
    <row r="2" spans="1:28" x14ac:dyDescent="0.25">
      <c r="A2" s="100" t="s">
        <v>122</v>
      </c>
      <c r="H2" s="120">
        <v>12401000</v>
      </c>
      <c r="K2" s="120">
        <v>12401000</v>
      </c>
      <c r="L2" s="100">
        <v>0.99999400000000005</v>
      </c>
      <c r="M2" s="120">
        <v>12400931.109999999</v>
      </c>
      <c r="O2" s="100" t="s">
        <v>122</v>
      </c>
      <c r="T2" s="120">
        <v>-10000000</v>
      </c>
      <c r="W2" s="120">
        <v>-10000000</v>
      </c>
      <c r="X2" s="100">
        <v>1.0000070000000001</v>
      </c>
      <c r="Y2" s="120">
        <v>-10000069.4</v>
      </c>
      <c r="AA2" s="135">
        <f>G3/$T$2</f>
        <v>1.2401</v>
      </c>
    </row>
    <row r="3" spans="1:28" x14ac:dyDescent="0.25">
      <c r="A3" s="100" t="s">
        <v>123</v>
      </c>
      <c r="B3" s="100" t="s">
        <v>122</v>
      </c>
      <c r="C3" s="100" t="s">
        <v>123</v>
      </c>
      <c r="D3" s="100">
        <v>92</v>
      </c>
      <c r="E3" s="100" t="s">
        <v>124</v>
      </c>
      <c r="F3" s="100">
        <v>0.80639000000000005</v>
      </c>
      <c r="G3" s="120">
        <v>-12401000</v>
      </c>
      <c r="H3" s="120">
        <v>6591.95</v>
      </c>
      <c r="I3" s="100" t="s">
        <v>124</v>
      </c>
      <c r="J3" s="100">
        <v>0.30199999999999999</v>
      </c>
      <c r="K3" s="120">
        <v>-2978.86</v>
      </c>
      <c r="L3" s="100">
        <v>0.99982899999999997</v>
      </c>
      <c r="M3" s="120">
        <v>-2978.35</v>
      </c>
      <c r="O3" s="100" t="s">
        <v>123</v>
      </c>
      <c r="P3" s="100" t="s">
        <v>122</v>
      </c>
      <c r="Q3" s="100" t="s">
        <v>123</v>
      </c>
      <c r="R3" s="100">
        <v>92</v>
      </c>
      <c r="S3" s="120">
        <v>10000000</v>
      </c>
      <c r="T3" s="120">
        <v>0</v>
      </c>
      <c r="U3" s="100" t="s">
        <v>122</v>
      </c>
      <c r="V3" s="100">
        <v>0.14080000000000001</v>
      </c>
      <c r="W3" s="120">
        <v>2005.41</v>
      </c>
      <c r="X3" s="100">
        <v>1.000372</v>
      </c>
      <c r="Y3" s="120">
        <v>2006.16</v>
      </c>
      <c r="AA3" s="135">
        <f t="shared" ref="AA3:AA66" si="0">G4/$T$2</f>
        <v>1.2407591949999999</v>
      </c>
      <c r="AB3" s="145"/>
    </row>
    <row r="4" spans="1:28" x14ac:dyDescent="0.25">
      <c r="A4" s="100" t="s">
        <v>125</v>
      </c>
      <c r="B4" s="100" t="s">
        <v>123</v>
      </c>
      <c r="C4" s="100" t="s">
        <v>125</v>
      </c>
      <c r="D4" s="100">
        <v>94</v>
      </c>
      <c r="E4" s="100" t="s">
        <v>126</v>
      </c>
      <c r="F4" s="100">
        <v>0.80596000000000001</v>
      </c>
      <c r="G4" s="120">
        <v>-12407591.949999999</v>
      </c>
      <c r="H4" s="120">
        <v>7836.7</v>
      </c>
      <c r="I4" s="100" t="s">
        <v>126</v>
      </c>
      <c r="J4" s="100">
        <v>0.26280999999999999</v>
      </c>
      <c r="K4" s="120">
        <v>-677.7</v>
      </c>
      <c r="L4" s="100">
        <v>0.99968400000000002</v>
      </c>
      <c r="M4" s="120">
        <v>-677.48</v>
      </c>
      <c r="O4" s="100" t="s">
        <v>125</v>
      </c>
      <c r="P4" s="100" t="s">
        <v>123</v>
      </c>
      <c r="Q4" s="100" t="s">
        <v>125</v>
      </c>
      <c r="R4" s="100">
        <v>94</v>
      </c>
      <c r="S4" s="120">
        <v>10000000</v>
      </c>
      <c r="T4" s="120">
        <v>0</v>
      </c>
      <c r="U4" s="100" t="s">
        <v>123</v>
      </c>
      <c r="V4" s="100">
        <v>0.13471</v>
      </c>
      <c r="W4" s="120">
        <v>1892.06</v>
      </c>
      <c r="X4" s="100">
        <v>1.000885</v>
      </c>
      <c r="Y4" s="120">
        <v>1893.73</v>
      </c>
      <c r="AA4" s="135">
        <f t="shared" si="0"/>
        <v>1.241542865</v>
      </c>
      <c r="AB4" s="145"/>
    </row>
    <row r="5" spans="1:28" x14ac:dyDescent="0.25">
      <c r="A5" s="100" t="s">
        <v>127</v>
      </c>
      <c r="B5" s="100" t="s">
        <v>125</v>
      </c>
      <c r="C5" s="100" t="s">
        <v>127</v>
      </c>
      <c r="D5" s="100">
        <v>92</v>
      </c>
      <c r="E5" s="100" t="s">
        <v>128</v>
      </c>
      <c r="F5" s="100">
        <v>0.80545</v>
      </c>
      <c r="G5" s="120">
        <v>-12415428.65</v>
      </c>
      <c r="H5" s="120">
        <v>4456.6499999999996</v>
      </c>
      <c r="I5" s="100" t="s">
        <v>128</v>
      </c>
      <c r="J5" s="100">
        <v>0.27339999999999998</v>
      </c>
      <c r="K5" s="120">
        <v>-4218</v>
      </c>
      <c r="L5" s="100">
        <v>0.99966699999999997</v>
      </c>
      <c r="M5" s="120">
        <v>-4216.6000000000004</v>
      </c>
      <c r="O5" s="100" t="s">
        <v>127</v>
      </c>
      <c r="P5" s="100" t="s">
        <v>125</v>
      </c>
      <c r="Q5" s="100" t="s">
        <v>127</v>
      </c>
      <c r="R5" s="100">
        <v>92</v>
      </c>
      <c r="S5" s="120">
        <v>10000000</v>
      </c>
      <c r="T5" s="120">
        <v>0</v>
      </c>
      <c r="U5" s="100" t="s">
        <v>125</v>
      </c>
      <c r="V5" s="100">
        <v>0.12992999999999999</v>
      </c>
      <c r="W5" s="120">
        <v>1731.36</v>
      </c>
      <c r="X5" s="100">
        <v>1.001207</v>
      </c>
      <c r="Y5" s="120">
        <v>1733.45</v>
      </c>
      <c r="AA5" s="135">
        <f t="shared" si="0"/>
        <v>1.24198853</v>
      </c>
      <c r="AB5" s="145"/>
    </row>
    <row r="6" spans="1:28" x14ac:dyDescent="0.25">
      <c r="A6" s="100" t="s">
        <v>129</v>
      </c>
      <c r="B6" s="100" t="s">
        <v>127</v>
      </c>
      <c r="C6" s="100" t="s">
        <v>129</v>
      </c>
      <c r="D6" s="100">
        <v>87</v>
      </c>
      <c r="E6" s="100" t="s">
        <v>130</v>
      </c>
      <c r="F6" s="100">
        <v>0.80515999999999999</v>
      </c>
      <c r="G6" s="120">
        <v>-12419885.300000001</v>
      </c>
      <c r="H6" s="120">
        <v>3855.64</v>
      </c>
      <c r="I6" s="100" t="s">
        <v>130</v>
      </c>
      <c r="J6" s="100">
        <v>0.19270000000000001</v>
      </c>
      <c r="K6" s="120">
        <v>-1928.2</v>
      </c>
      <c r="L6" s="100">
        <v>0.99967300000000003</v>
      </c>
      <c r="M6" s="120">
        <v>-1927.57</v>
      </c>
      <c r="O6" s="100" t="s">
        <v>129</v>
      </c>
      <c r="P6" s="100" t="s">
        <v>127</v>
      </c>
      <c r="Q6" s="100" t="s">
        <v>129</v>
      </c>
      <c r="R6" s="100">
        <v>87</v>
      </c>
      <c r="S6" s="120">
        <v>10000000</v>
      </c>
      <c r="T6" s="120">
        <v>0</v>
      </c>
      <c r="U6" s="100" t="s">
        <v>127</v>
      </c>
      <c r="V6" s="100">
        <v>8.0390000000000003E-2</v>
      </c>
      <c r="W6" s="120">
        <v>456.48</v>
      </c>
      <c r="X6" s="100">
        <v>1.001512</v>
      </c>
      <c r="Y6" s="120">
        <v>457.17</v>
      </c>
      <c r="AA6" s="135">
        <f t="shared" si="0"/>
        <v>1.2423740939999999</v>
      </c>
      <c r="AB6" s="145"/>
    </row>
    <row r="7" spans="1:28" x14ac:dyDescent="0.25">
      <c r="A7" s="100" t="s">
        <v>131</v>
      </c>
      <c r="B7" s="100" t="s">
        <v>129</v>
      </c>
      <c r="C7" s="100" t="s">
        <v>131</v>
      </c>
      <c r="D7" s="100">
        <v>94</v>
      </c>
      <c r="E7" s="100" t="s">
        <v>132</v>
      </c>
      <c r="F7" s="100">
        <v>0.80491000000000001</v>
      </c>
      <c r="G7" s="120">
        <v>-12423740.939999999</v>
      </c>
      <c r="H7" s="120">
        <v>5055.22</v>
      </c>
      <c r="I7" s="100" t="s">
        <v>132</v>
      </c>
      <c r="J7" s="100">
        <v>0.17496999999999999</v>
      </c>
      <c r="K7" s="120">
        <v>-620.64</v>
      </c>
      <c r="L7" s="100">
        <v>0.99970999999999999</v>
      </c>
      <c r="M7" s="120">
        <v>-620.46</v>
      </c>
      <c r="O7" s="100" t="s">
        <v>131</v>
      </c>
      <c r="P7" s="100" t="s">
        <v>129</v>
      </c>
      <c r="Q7" s="100" t="s">
        <v>131</v>
      </c>
      <c r="R7" s="100">
        <v>94</v>
      </c>
      <c r="S7" s="120">
        <v>10000000</v>
      </c>
      <c r="T7" s="120">
        <v>0</v>
      </c>
      <c r="U7" s="100" t="s">
        <v>129</v>
      </c>
      <c r="V7" s="100">
        <v>6.5299999999999997E-2</v>
      </c>
      <c r="W7" s="120">
        <v>104.68</v>
      </c>
      <c r="X7" s="100">
        <v>1.001968</v>
      </c>
      <c r="Y7" s="120">
        <v>104.89</v>
      </c>
      <c r="AA7" s="135">
        <f t="shared" si="0"/>
        <v>1.2428796150000001</v>
      </c>
      <c r="AB7" s="145"/>
    </row>
    <row r="8" spans="1:28" x14ac:dyDescent="0.25">
      <c r="A8" s="100" t="s">
        <v>133</v>
      </c>
      <c r="B8" s="100" t="s">
        <v>131</v>
      </c>
      <c r="C8" s="100" t="s">
        <v>133</v>
      </c>
      <c r="D8" s="100">
        <v>92</v>
      </c>
      <c r="E8" s="100" t="s">
        <v>134</v>
      </c>
      <c r="F8" s="100">
        <v>0.80457999999999996</v>
      </c>
      <c r="G8" s="120">
        <v>-12428796.15</v>
      </c>
      <c r="H8" s="120">
        <v>4793.54</v>
      </c>
      <c r="I8" s="100" t="s">
        <v>134</v>
      </c>
      <c r="J8" s="100">
        <v>0.17412</v>
      </c>
      <c r="K8" s="120">
        <v>-736.88</v>
      </c>
      <c r="L8" s="100">
        <v>0.99979200000000001</v>
      </c>
      <c r="M8" s="120">
        <v>-736.72</v>
      </c>
      <c r="O8" s="100" t="s">
        <v>133</v>
      </c>
      <c r="P8" s="100" t="s">
        <v>131</v>
      </c>
      <c r="Q8" s="100" t="s">
        <v>133</v>
      </c>
      <c r="R8" s="100">
        <v>92</v>
      </c>
      <c r="S8" s="120">
        <v>10000000</v>
      </c>
      <c r="T8" s="120">
        <v>0</v>
      </c>
      <c r="U8" s="100" t="s">
        <v>131</v>
      </c>
      <c r="V8" s="100">
        <v>5.3100000000000001E-2</v>
      </c>
      <c r="W8" s="120">
        <v>-205.12</v>
      </c>
      <c r="X8" s="100">
        <v>1.0024409999999999</v>
      </c>
      <c r="Y8" s="120">
        <v>-205.62</v>
      </c>
      <c r="AA8" s="135">
        <f t="shared" si="0"/>
        <v>1.243358969</v>
      </c>
      <c r="AB8" s="145"/>
    </row>
    <row r="9" spans="1:28" x14ac:dyDescent="0.25">
      <c r="A9" s="100" t="s">
        <v>135</v>
      </c>
      <c r="B9" s="100" t="s">
        <v>133</v>
      </c>
      <c r="C9" s="100" t="s">
        <v>135</v>
      </c>
      <c r="D9" s="100">
        <v>90</v>
      </c>
      <c r="E9" s="100" t="s">
        <v>136</v>
      </c>
      <c r="F9" s="100">
        <v>0.80427000000000004</v>
      </c>
      <c r="G9" s="120">
        <v>-12433589.689999999</v>
      </c>
      <c r="H9" s="120">
        <v>5148.95</v>
      </c>
      <c r="I9" s="100" t="s">
        <v>136</v>
      </c>
      <c r="J9" s="100">
        <v>0.19459000000000001</v>
      </c>
      <c r="K9" s="120">
        <v>-899.52</v>
      </c>
      <c r="L9" s="100">
        <v>0.99985299999999999</v>
      </c>
      <c r="M9" s="120">
        <v>-899.39</v>
      </c>
      <c r="O9" s="100" t="s">
        <v>135</v>
      </c>
      <c r="P9" s="100" t="s">
        <v>133</v>
      </c>
      <c r="Q9" s="100" t="s">
        <v>135</v>
      </c>
      <c r="R9" s="100">
        <v>90</v>
      </c>
      <c r="S9" s="120">
        <v>10000000</v>
      </c>
      <c r="T9" s="120">
        <v>0</v>
      </c>
      <c r="U9" s="100" t="s">
        <v>133</v>
      </c>
      <c r="V9" s="100">
        <v>5.3560000000000003E-2</v>
      </c>
      <c r="W9" s="120">
        <v>-189.37</v>
      </c>
      <c r="X9" s="100">
        <v>1.0029140000000001</v>
      </c>
      <c r="Y9" s="120">
        <v>-189.92</v>
      </c>
      <c r="AA9" s="135">
        <f t="shared" si="0"/>
        <v>1.2438738650000001</v>
      </c>
      <c r="AB9" s="145"/>
    </row>
    <row r="10" spans="1:28" x14ac:dyDescent="0.25">
      <c r="A10" s="100" t="s">
        <v>138</v>
      </c>
      <c r="B10" s="100" t="s">
        <v>135</v>
      </c>
      <c r="C10" s="100" t="s">
        <v>138</v>
      </c>
      <c r="D10" s="100">
        <v>92</v>
      </c>
      <c r="E10" s="100" t="s">
        <v>139</v>
      </c>
      <c r="F10" s="100">
        <v>0.80393999999999999</v>
      </c>
      <c r="G10" s="120">
        <v>-12438738.65</v>
      </c>
      <c r="H10" s="120">
        <v>5124.7700000000004</v>
      </c>
      <c r="I10" s="100" t="s">
        <v>139</v>
      </c>
      <c r="J10" s="100">
        <v>0.19971</v>
      </c>
      <c r="K10" s="120">
        <v>-1223.6500000000001</v>
      </c>
      <c r="L10" s="100">
        <v>0.999942</v>
      </c>
      <c r="M10" s="120">
        <v>-1223.58</v>
      </c>
      <c r="O10" s="100" t="s">
        <v>138</v>
      </c>
      <c r="P10" s="100" t="s">
        <v>135</v>
      </c>
      <c r="Q10" s="100" t="s">
        <v>138</v>
      </c>
      <c r="R10" s="100">
        <v>92</v>
      </c>
      <c r="S10" s="120">
        <v>10000000</v>
      </c>
      <c r="T10" s="120">
        <v>0</v>
      </c>
      <c r="U10" s="100" t="s">
        <v>135</v>
      </c>
      <c r="V10" s="100">
        <v>4.2549999999999998E-2</v>
      </c>
      <c r="W10" s="120">
        <v>-471.04</v>
      </c>
      <c r="X10" s="100">
        <v>1.00342</v>
      </c>
      <c r="Y10" s="120">
        <v>-472.65</v>
      </c>
      <c r="AA10" s="135">
        <f t="shared" si="0"/>
        <v>1.2443863420000001</v>
      </c>
      <c r="AB10" s="145"/>
    </row>
    <row r="11" spans="1:28" x14ac:dyDescent="0.25">
      <c r="A11" s="100" t="s">
        <v>140</v>
      </c>
      <c r="B11" s="100" t="s">
        <v>138</v>
      </c>
      <c r="C11" s="100" t="s">
        <v>140</v>
      </c>
      <c r="D11" s="100">
        <v>90</v>
      </c>
      <c r="E11" s="100" t="s">
        <v>141</v>
      </c>
      <c r="F11" s="100">
        <v>0.80361000000000005</v>
      </c>
      <c r="G11" s="120">
        <v>-12443863.42</v>
      </c>
      <c r="H11" s="120">
        <v>5337.37</v>
      </c>
      <c r="I11" s="100" t="s">
        <v>142</v>
      </c>
      <c r="J11" s="100">
        <v>0.23408999999999999</v>
      </c>
      <c r="K11" s="120">
        <v>-1945.03</v>
      </c>
      <c r="L11" s="100">
        <v>0.99996799999999997</v>
      </c>
      <c r="M11" s="120">
        <v>-1944.97</v>
      </c>
      <c r="O11" s="100" t="s">
        <v>140</v>
      </c>
      <c r="P11" s="100" t="s">
        <v>138</v>
      </c>
      <c r="Q11" s="100" t="s">
        <v>140</v>
      </c>
      <c r="R11" s="100">
        <v>90</v>
      </c>
      <c r="S11" s="120">
        <v>10000000</v>
      </c>
      <c r="T11" s="120">
        <v>0</v>
      </c>
      <c r="U11" s="100" t="s">
        <v>138</v>
      </c>
      <c r="V11" s="100">
        <v>5.5849999999999997E-2</v>
      </c>
      <c r="W11" s="120">
        <v>-132.97</v>
      </c>
      <c r="X11" s="100">
        <v>1.0038739999999999</v>
      </c>
      <c r="Y11" s="120">
        <v>-133.49</v>
      </c>
      <c r="AA11" s="135">
        <f t="shared" si="0"/>
        <v>1.2449200789999999</v>
      </c>
      <c r="AB11" s="145"/>
    </row>
    <row r="12" spans="1:28" x14ac:dyDescent="0.25">
      <c r="A12" s="100" t="s">
        <v>143</v>
      </c>
      <c r="B12" s="100" t="s">
        <v>140</v>
      </c>
      <c r="C12" s="100" t="s">
        <v>143</v>
      </c>
      <c r="D12" s="100">
        <v>92</v>
      </c>
      <c r="E12" s="100" t="s">
        <v>144</v>
      </c>
      <c r="F12" s="100">
        <v>0.80325999999999997</v>
      </c>
      <c r="G12" s="120">
        <v>-12449200.789999999</v>
      </c>
      <c r="H12" s="120">
        <v>5401.69</v>
      </c>
      <c r="I12" s="100" t="s">
        <v>144</v>
      </c>
      <c r="J12" s="100">
        <v>0.23674000000000001</v>
      </c>
      <c r="K12" s="120">
        <v>-2130.06</v>
      </c>
      <c r="L12" s="100">
        <v>1.0000009999999999</v>
      </c>
      <c r="M12" s="120">
        <v>-2130.06</v>
      </c>
      <c r="O12" s="100" t="s">
        <v>143</v>
      </c>
      <c r="P12" s="100" t="s">
        <v>140</v>
      </c>
      <c r="Q12" s="100" t="s">
        <v>143</v>
      </c>
      <c r="R12" s="100">
        <v>92</v>
      </c>
      <c r="S12" s="120">
        <v>10000000</v>
      </c>
      <c r="T12" s="120">
        <v>0</v>
      </c>
      <c r="U12" s="100" t="s">
        <v>140</v>
      </c>
      <c r="V12" s="100">
        <v>0.10360999999999999</v>
      </c>
      <c r="W12" s="120">
        <v>1067.8900000000001</v>
      </c>
      <c r="X12" s="100">
        <v>1.0043470000000001</v>
      </c>
      <c r="Y12" s="120">
        <v>1072.53</v>
      </c>
      <c r="AA12" s="135">
        <f t="shared" si="0"/>
        <v>1.2454602480000001</v>
      </c>
      <c r="AB12" s="145"/>
    </row>
    <row r="13" spans="1:28" x14ac:dyDescent="0.25">
      <c r="A13" s="100" t="s">
        <v>145</v>
      </c>
      <c r="B13" s="100" t="s">
        <v>143</v>
      </c>
      <c r="C13" s="100" t="s">
        <v>145</v>
      </c>
      <c r="D13" s="100">
        <v>90</v>
      </c>
      <c r="E13" s="100" t="s">
        <v>146</v>
      </c>
      <c r="F13" s="100">
        <v>0.80291999999999997</v>
      </c>
      <c r="G13" s="120">
        <v>-12454602.48</v>
      </c>
      <c r="H13" s="120">
        <v>5414.28</v>
      </c>
      <c r="I13" s="100" t="s">
        <v>146</v>
      </c>
      <c r="J13" s="100">
        <v>0.23938000000000001</v>
      </c>
      <c r="K13" s="120">
        <v>-2039.21</v>
      </c>
      <c r="L13" s="100">
        <v>1.00004</v>
      </c>
      <c r="M13" s="120">
        <v>-2039.29</v>
      </c>
      <c r="O13" s="100" t="s">
        <v>145</v>
      </c>
      <c r="P13" s="100" t="s">
        <v>143</v>
      </c>
      <c r="Q13" s="100" t="s">
        <v>145</v>
      </c>
      <c r="R13" s="100">
        <v>90</v>
      </c>
      <c r="S13" s="120">
        <v>10000000</v>
      </c>
      <c r="T13" s="120">
        <v>0</v>
      </c>
      <c r="U13" s="100" t="s">
        <v>143</v>
      </c>
      <c r="V13" s="100">
        <v>0.10741000000000001</v>
      </c>
      <c r="W13" s="120">
        <v>1138.42</v>
      </c>
      <c r="X13" s="100">
        <v>1.004818</v>
      </c>
      <c r="Y13" s="120">
        <v>1143.9000000000001</v>
      </c>
      <c r="AA13" s="135">
        <f t="shared" si="0"/>
        <v>1.2460016759999999</v>
      </c>
      <c r="AB13" s="145"/>
    </row>
    <row r="14" spans="1:28" x14ac:dyDescent="0.25">
      <c r="A14" s="100" t="s">
        <v>148</v>
      </c>
      <c r="B14" s="100" t="s">
        <v>145</v>
      </c>
      <c r="C14" s="100" t="s">
        <v>148</v>
      </c>
      <c r="D14" s="100">
        <v>91</v>
      </c>
      <c r="E14" s="100" t="s">
        <v>149</v>
      </c>
      <c r="F14" s="100">
        <v>0.80257000000000001</v>
      </c>
      <c r="G14" s="120">
        <v>-12460016.76</v>
      </c>
      <c r="H14" s="120">
        <v>5426.85</v>
      </c>
      <c r="I14" s="100" t="s">
        <v>149</v>
      </c>
      <c r="J14" s="100">
        <v>0.24201</v>
      </c>
      <c r="K14" s="120">
        <v>-2195.42</v>
      </c>
      <c r="L14" s="100">
        <v>1.000086</v>
      </c>
      <c r="M14" s="120">
        <v>-2195.61</v>
      </c>
      <c r="O14" s="100" t="s">
        <v>148</v>
      </c>
      <c r="P14" s="100" t="s">
        <v>145</v>
      </c>
      <c r="Q14" s="100" t="s">
        <v>148</v>
      </c>
      <c r="R14" s="100">
        <v>91</v>
      </c>
      <c r="S14" s="120">
        <v>10000000</v>
      </c>
      <c r="T14" s="120">
        <v>0</v>
      </c>
      <c r="U14" s="100" t="s">
        <v>145</v>
      </c>
      <c r="V14" s="100">
        <v>0.11219</v>
      </c>
      <c r="W14" s="120">
        <v>1270.18</v>
      </c>
      <c r="X14" s="100">
        <v>1.0053019999999999</v>
      </c>
      <c r="Y14" s="120">
        <v>1276.9100000000001</v>
      </c>
      <c r="AA14" s="135">
        <f t="shared" si="0"/>
        <v>1.2465443599999999</v>
      </c>
      <c r="AB14" s="145"/>
    </row>
    <row r="15" spans="1:28" x14ac:dyDescent="0.25">
      <c r="A15" s="100" t="s">
        <v>150</v>
      </c>
      <c r="B15" s="100" t="s">
        <v>148</v>
      </c>
      <c r="C15" s="100" t="s">
        <v>150</v>
      </c>
      <c r="D15" s="100">
        <v>91</v>
      </c>
      <c r="E15" s="100" t="s">
        <v>151</v>
      </c>
      <c r="F15" s="100">
        <v>0.80222000000000004</v>
      </c>
      <c r="G15" s="120">
        <v>-12465443.6</v>
      </c>
      <c r="H15" s="120">
        <v>7022.95</v>
      </c>
      <c r="I15" s="100" t="s">
        <v>151</v>
      </c>
      <c r="J15" s="100">
        <v>0.34394999999999998</v>
      </c>
      <c r="K15" s="120">
        <v>-3815</v>
      </c>
      <c r="L15" s="100">
        <v>0.99988699999999997</v>
      </c>
      <c r="M15" s="120">
        <v>-3814.57</v>
      </c>
      <c r="O15" s="100" t="s">
        <v>150</v>
      </c>
      <c r="P15" s="100" t="s">
        <v>148</v>
      </c>
      <c r="Q15" s="100" t="s">
        <v>150</v>
      </c>
      <c r="R15" s="100">
        <v>91</v>
      </c>
      <c r="S15" s="120">
        <v>10000000</v>
      </c>
      <c r="T15" s="120">
        <v>0</v>
      </c>
      <c r="U15" s="100" t="s">
        <v>148</v>
      </c>
      <c r="V15" s="100">
        <v>0.14788000000000001</v>
      </c>
      <c r="W15" s="120">
        <v>2159.96</v>
      </c>
      <c r="X15" s="100">
        <v>1.0056750000000001</v>
      </c>
      <c r="Y15" s="120">
        <v>2172.2199999999998</v>
      </c>
      <c r="AA15" s="135">
        <f t="shared" si="0"/>
        <v>1.247246656</v>
      </c>
      <c r="AB15" s="145"/>
    </row>
    <row r="16" spans="1:28" x14ac:dyDescent="0.25">
      <c r="A16" s="100" t="s">
        <v>152</v>
      </c>
      <c r="B16" s="100" t="s">
        <v>150</v>
      </c>
      <c r="C16" s="100" t="s">
        <v>152</v>
      </c>
      <c r="D16" s="100">
        <v>92</v>
      </c>
      <c r="E16" s="100" t="s">
        <v>153</v>
      </c>
      <c r="F16" s="100">
        <v>0.80176999999999998</v>
      </c>
      <c r="G16" s="120">
        <v>-12472466.560000001</v>
      </c>
      <c r="H16" s="120">
        <v>7471.65</v>
      </c>
      <c r="I16" s="100" t="s">
        <v>153</v>
      </c>
      <c r="J16" s="100">
        <v>0.36175000000000002</v>
      </c>
      <c r="K16" s="120">
        <v>-4058.74</v>
      </c>
      <c r="L16" s="100">
        <v>0.99964399999999998</v>
      </c>
      <c r="M16" s="120">
        <v>-4057.3</v>
      </c>
      <c r="O16" s="100" t="s">
        <v>152</v>
      </c>
      <c r="P16" s="100" t="s">
        <v>150</v>
      </c>
      <c r="Q16" s="100" t="s">
        <v>152</v>
      </c>
      <c r="R16" s="100">
        <v>92</v>
      </c>
      <c r="S16" s="120">
        <v>10000000</v>
      </c>
      <c r="T16" s="120">
        <v>0</v>
      </c>
      <c r="U16" s="100" t="s">
        <v>150</v>
      </c>
      <c r="V16" s="100">
        <v>0.15672</v>
      </c>
      <c r="W16" s="120">
        <v>2406.5100000000002</v>
      </c>
      <c r="X16" s="100">
        <v>1.006041</v>
      </c>
      <c r="Y16" s="120">
        <v>2421.0500000000002</v>
      </c>
      <c r="AA16" s="135">
        <f t="shared" si="0"/>
        <v>1.2479938210000001</v>
      </c>
      <c r="AB16" s="145"/>
    </row>
    <row r="17" spans="1:28" x14ac:dyDescent="0.25">
      <c r="A17" s="100" t="s">
        <v>154</v>
      </c>
      <c r="B17" s="100" t="s">
        <v>152</v>
      </c>
      <c r="C17" s="100" t="s">
        <v>154</v>
      </c>
      <c r="D17" s="100">
        <v>91</v>
      </c>
      <c r="E17" s="100" t="s">
        <v>155</v>
      </c>
      <c r="F17" s="100">
        <v>0.80128999999999995</v>
      </c>
      <c r="G17" s="120">
        <v>-12479938.210000001</v>
      </c>
      <c r="H17" s="120">
        <v>7668.3</v>
      </c>
      <c r="I17" s="100" t="s">
        <v>155</v>
      </c>
      <c r="J17" s="100">
        <v>0.37948999999999999</v>
      </c>
      <c r="K17" s="120">
        <v>-4303.3</v>
      </c>
      <c r="L17" s="100">
        <v>0.99937100000000001</v>
      </c>
      <c r="M17" s="120">
        <v>-4300.59</v>
      </c>
      <c r="O17" s="100" t="s">
        <v>154</v>
      </c>
      <c r="P17" s="100" t="s">
        <v>152</v>
      </c>
      <c r="Q17" s="100" t="s">
        <v>154</v>
      </c>
      <c r="R17" s="100">
        <v>91</v>
      </c>
      <c r="S17" s="120">
        <v>10000000</v>
      </c>
      <c r="T17" s="120">
        <v>0</v>
      </c>
      <c r="U17" s="100" t="s">
        <v>152</v>
      </c>
      <c r="V17" s="100">
        <v>0.16553999999999999</v>
      </c>
      <c r="W17" s="120">
        <v>2600.4699999999998</v>
      </c>
      <c r="X17" s="100">
        <v>1.0063930000000001</v>
      </c>
      <c r="Y17" s="120">
        <v>2617.09</v>
      </c>
      <c r="AA17" s="135">
        <f t="shared" si="0"/>
        <v>1.248760651</v>
      </c>
      <c r="AB17" s="145"/>
    </row>
    <row r="18" spans="1:28" x14ac:dyDescent="0.25">
      <c r="A18" s="100" t="s">
        <v>156</v>
      </c>
      <c r="B18" s="100" t="s">
        <v>154</v>
      </c>
      <c r="C18" s="100" t="s">
        <v>156</v>
      </c>
      <c r="D18" s="100">
        <v>91</v>
      </c>
      <c r="E18" s="100" t="s">
        <v>157</v>
      </c>
      <c r="F18" s="100">
        <v>0.80079</v>
      </c>
      <c r="G18" s="120">
        <v>-12487606.51</v>
      </c>
      <c r="H18" s="120">
        <v>8214.9500000000007</v>
      </c>
      <c r="I18" s="100" t="s">
        <v>157</v>
      </c>
      <c r="J18" s="100">
        <v>0.39709</v>
      </c>
      <c r="K18" s="120">
        <v>-4319.46</v>
      </c>
      <c r="L18" s="100">
        <v>0.99906499999999998</v>
      </c>
      <c r="M18" s="120">
        <v>-4315.42</v>
      </c>
      <c r="O18" s="100" t="s">
        <v>156</v>
      </c>
      <c r="P18" s="100" t="s">
        <v>154</v>
      </c>
      <c r="Q18" s="100" t="s">
        <v>156</v>
      </c>
      <c r="R18" s="100">
        <v>91</v>
      </c>
      <c r="S18" s="120">
        <v>10000000</v>
      </c>
      <c r="T18" s="120">
        <v>0</v>
      </c>
      <c r="U18" s="100" t="s">
        <v>154</v>
      </c>
      <c r="V18" s="100">
        <v>0.17459</v>
      </c>
      <c r="W18" s="120">
        <v>2825.98</v>
      </c>
      <c r="X18" s="100">
        <v>1.0067330000000001</v>
      </c>
      <c r="Y18" s="120">
        <v>2845.01</v>
      </c>
      <c r="AA18" s="135">
        <f t="shared" si="0"/>
        <v>1.2495821460000001</v>
      </c>
      <c r="AB18" s="145"/>
    </row>
    <row r="19" spans="1:28" x14ac:dyDescent="0.25">
      <c r="A19" s="100" t="s">
        <v>158</v>
      </c>
      <c r="B19" s="100" t="s">
        <v>156</v>
      </c>
      <c r="C19" s="100" t="s">
        <v>158</v>
      </c>
      <c r="D19" s="100">
        <v>92</v>
      </c>
      <c r="E19" s="100" t="s">
        <v>159</v>
      </c>
      <c r="F19" s="100">
        <v>0.80027000000000004</v>
      </c>
      <c r="G19" s="120">
        <v>-12495821.460000001</v>
      </c>
      <c r="H19" s="120">
        <v>11495.83</v>
      </c>
      <c r="I19" s="100" t="s">
        <v>159</v>
      </c>
      <c r="J19" s="100">
        <v>0.51314000000000004</v>
      </c>
      <c r="K19" s="120">
        <v>-4890.79</v>
      </c>
      <c r="L19" s="100">
        <v>0.99837200000000004</v>
      </c>
      <c r="M19" s="120">
        <v>-4882.83</v>
      </c>
      <c r="O19" s="100" t="s">
        <v>158</v>
      </c>
      <c r="P19" s="100" t="s">
        <v>156</v>
      </c>
      <c r="Q19" s="100" t="s">
        <v>158</v>
      </c>
      <c r="R19" s="100">
        <v>92</v>
      </c>
      <c r="S19" s="120">
        <v>10000000</v>
      </c>
      <c r="T19" s="120">
        <v>0</v>
      </c>
      <c r="U19" s="100" t="s">
        <v>156</v>
      </c>
      <c r="V19" s="100">
        <v>0.18978</v>
      </c>
      <c r="W19" s="120">
        <v>3240.03</v>
      </c>
      <c r="X19" s="100">
        <v>1.0069520000000001</v>
      </c>
      <c r="Y19" s="120">
        <v>3262.55</v>
      </c>
      <c r="AA19" s="135">
        <f t="shared" si="0"/>
        <v>1.2507317279999999</v>
      </c>
      <c r="AB19" s="145"/>
    </row>
    <row r="20" spans="1:28" x14ac:dyDescent="0.25">
      <c r="A20" s="100" t="s">
        <v>160</v>
      </c>
      <c r="B20" s="100" t="s">
        <v>158</v>
      </c>
      <c r="C20" s="100" t="s">
        <v>160</v>
      </c>
      <c r="D20" s="100">
        <v>92</v>
      </c>
      <c r="E20" s="100" t="s">
        <v>161</v>
      </c>
      <c r="F20" s="100">
        <v>0.79952999999999996</v>
      </c>
      <c r="G20" s="120">
        <v>-12507317.279999999</v>
      </c>
      <c r="H20" s="120">
        <v>12001.97</v>
      </c>
      <c r="I20" s="100" t="s">
        <v>161</v>
      </c>
      <c r="J20" s="100">
        <v>0.54222999999999999</v>
      </c>
      <c r="K20" s="120">
        <v>-5329.49</v>
      </c>
      <c r="L20" s="100">
        <v>0.99759200000000003</v>
      </c>
      <c r="M20" s="120">
        <v>-5316.65</v>
      </c>
      <c r="O20" s="100" t="s">
        <v>160</v>
      </c>
      <c r="P20" s="100" t="s">
        <v>158</v>
      </c>
      <c r="Q20" s="100" t="s">
        <v>160</v>
      </c>
      <c r="R20" s="100">
        <v>92</v>
      </c>
      <c r="S20" s="120">
        <v>10000000</v>
      </c>
      <c r="T20" s="120">
        <v>0</v>
      </c>
      <c r="U20" s="100" t="s">
        <v>158</v>
      </c>
      <c r="V20" s="100">
        <v>0.19941</v>
      </c>
      <c r="W20" s="120">
        <v>3482.57</v>
      </c>
      <c r="X20" s="100">
        <v>1.0071429999999999</v>
      </c>
      <c r="Y20" s="120">
        <v>3507.45</v>
      </c>
      <c r="AA20" s="135">
        <f t="shared" si="0"/>
        <v>1.2519319259999999</v>
      </c>
      <c r="AB20" s="145"/>
    </row>
    <row r="21" spans="1:28" x14ac:dyDescent="0.25">
      <c r="A21" s="100" t="s">
        <v>162</v>
      </c>
      <c r="B21" s="100" t="s">
        <v>160</v>
      </c>
      <c r="C21" s="100" t="s">
        <v>162</v>
      </c>
      <c r="D21" s="100">
        <v>90</v>
      </c>
      <c r="E21" s="100" t="s">
        <v>163</v>
      </c>
      <c r="F21" s="100">
        <v>0.79876999999999998</v>
      </c>
      <c r="G21" s="120">
        <v>-12519319.26</v>
      </c>
      <c r="H21" s="120">
        <v>12641.39</v>
      </c>
      <c r="I21" s="100" t="s">
        <v>163</v>
      </c>
      <c r="J21" s="100">
        <v>0.57088000000000005</v>
      </c>
      <c r="K21" s="120">
        <v>-5226.13</v>
      </c>
      <c r="L21" s="100">
        <v>0.996757</v>
      </c>
      <c r="M21" s="120">
        <v>-5209.18</v>
      </c>
      <c r="O21" s="100" t="s">
        <v>162</v>
      </c>
      <c r="P21" s="100" t="s">
        <v>160</v>
      </c>
      <c r="Q21" s="100" t="s">
        <v>162</v>
      </c>
      <c r="R21" s="100">
        <v>90</v>
      </c>
      <c r="S21" s="120">
        <v>10000000</v>
      </c>
      <c r="T21" s="120">
        <v>0</v>
      </c>
      <c r="U21" s="100" t="s">
        <v>160</v>
      </c>
      <c r="V21" s="100">
        <v>0.20891000000000001</v>
      </c>
      <c r="W21" s="120">
        <v>3641.18</v>
      </c>
      <c r="X21" s="100">
        <v>1.007306</v>
      </c>
      <c r="Y21" s="120">
        <v>3667.79</v>
      </c>
      <c r="AA21" s="135">
        <f t="shared" si="0"/>
        <v>1.253196065</v>
      </c>
      <c r="AB21" s="145"/>
    </row>
    <row r="22" spans="1:28" x14ac:dyDescent="0.25">
      <c r="A22" s="100" t="s">
        <v>164</v>
      </c>
      <c r="B22" s="100" t="s">
        <v>162</v>
      </c>
      <c r="C22" s="100" t="s">
        <v>164</v>
      </c>
      <c r="D22" s="100">
        <v>91</v>
      </c>
      <c r="E22" s="100" t="s">
        <v>165</v>
      </c>
      <c r="F22" s="100">
        <v>0.79796</v>
      </c>
      <c r="G22" s="120">
        <v>-12531960.65</v>
      </c>
      <c r="H22" s="120">
        <v>13280.32</v>
      </c>
      <c r="I22" s="100" t="s">
        <v>165</v>
      </c>
      <c r="J22" s="100">
        <v>0.59926000000000001</v>
      </c>
      <c r="K22" s="120">
        <v>-5702.98</v>
      </c>
      <c r="L22" s="100">
        <v>0.99583999999999995</v>
      </c>
      <c r="M22" s="120">
        <v>-5679.25</v>
      </c>
      <c r="O22" s="100" t="s">
        <v>164</v>
      </c>
      <c r="P22" s="100" t="s">
        <v>162</v>
      </c>
      <c r="Q22" s="100" t="s">
        <v>164</v>
      </c>
      <c r="R22" s="100">
        <v>91</v>
      </c>
      <c r="S22" s="120">
        <v>10000000</v>
      </c>
      <c r="T22" s="120">
        <v>0</v>
      </c>
      <c r="U22" s="100" t="s">
        <v>162</v>
      </c>
      <c r="V22" s="100">
        <v>0.21944</v>
      </c>
      <c r="W22" s="120">
        <v>3944.17</v>
      </c>
      <c r="X22" s="100">
        <v>1.007447</v>
      </c>
      <c r="Y22" s="120">
        <v>3973.54</v>
      </c>
      <c r="AA22" s="135">
        <f t="shared" si="0"/>
        <v>1.254524097</v>
      </c>
      <c r="AB22" s="145"/>
    </row>
    <row r="23" spans="1:28" x14ac:dyDescent="0.25">
      <c r="A23" s="100" t="s">
        <v>169</v>
      </c>
      <c r="B23" s="100" t="s">
        <v>164</v>
      </c>
      <c r="C23" s="100" t="s">
        <v>169</v>
      </c>
      <c r="D23" s="100">
        <v>92</v>
      </c>
      <c r="E23" s="100" t="s">
        <v>170</v>
      </c>
      <c r="F23" s="100">
        <v>0.79712000000000005</v>
      </c>
      <c r="G23" s="120">
        <v>-12545240.970000001</v>
      </c>
      <c r="H23" s="120">
        <v>14346.68</v>
      </c>
      <c r="I23" s="100" t="s">
        <v>170</v>
      </c>
      <c r="J23" s="100">
        <v>0.69771000000000005</v>
      </c>
      <c r="K23" s="120">
        <v>-8021.99</v>
      </c>
      <c r="L23" s="100">
        <v>0.99479099999999998</v>
      </c>
      <c r="M23" s="120">
        <v>-7980.21</v>
      </c>
      <c r="O23" s="100" t="s">
        <v>169</v>
      </c>
      <c r="P23" s="100" t="s">
        <v>164</v>
      </c>
      <c r="Q23" s="100" t="s">
        <v>169</v>
      </c>
      <c r="R23" s="100">
        <v>92</v>
      </c>
      <c r="S23" s="120">
        <v>10000000</v>
      </c>
      <c r="T23" s="120">
        <v>0</v>
      </c>
      <c r="U23" s="100" t="s">
        <v>164</v>
      </c>
      <c r="V23" s="100">
        <v>0.28010000000000002</v>
      </c>
      <c r="W23" s="120">
        <v>5516.52</v>
      </c>
      <c r="X23" s="100">
        <v>1.007539</v>
      </c>
      <c r="Y23" s="120">
        <v>5558.11</v>
      </c>
      <c r="AA23" s="135">
        <f t="shared" si="0"/>
        <v>1.2559587650000001</v>
      </c>
      <c r="AB23" s="145"/>
    </row>
    <row r="24" spans="1:28" x14ac:dyDescent="0.25">
      <c r="A24" s="100" t="s">
        <v>171</v>
      </c>
      <c r="B24" s="100" t="s">
        <v>169</v>
      </c>
      <c r="C24" s="100" t="s">
        <v>171</v>
      </c>
      <c r="D24" s="100">
        <v>92</v>
      </c>
      <c r="E24" s="100" t="s">
        <v>172</v>
      </c>
      <c r="F24" s="100">
        <v>0.79620000000000002</v>
      </c>
      <c r="G24" s="120">
        <v>-12559587.65</v>
      </c>
      <c r="H24" s="120">
        <v>14927.05</v>
      </c>
      <c r="I24" s="100" t="s">
        <v>172</v>
      </c>
      <c r="J24" s="100">
        <v>0.73273999999999995</v>
      </c>
      <c r="K24" s="120">
        <v>-8591.56</v>
      </c>
      <c r="L24" s="100">
        <v>0.99366200000000005</v>
      </c>
      <c r="M24" s="120">
        <v>-8537.11</v>
      </c>
      <c r="O24" s="100" t="s">
        <v>171</v>
      </c>
      <c r="P24" s="100" t="s">
        <v>169</v>
      </c>
      <c r="Q24" s="100" t="s">
        <v>171</v>
      </c>
      <c r="R24" s="100">
        <v>92</v>
      </c>
      <c r="S24" s="120">
        <v>10000000</v>
      </c>
      <c r="T24" s="120">
        <v>0</v>
      </c>
      <c r="U24" s="100" t="s">
        <v>169</v>
      </c>
      <c r="V24" s="100">
        <v>0.29459000000000002</v>
      </c>
      <c r="W24" s="120">
        <v>5881.75</v>
      </c>
      <c r="X24" s="100">
        <v>1.007606</v>
      </c>
      <c r="Y24" s="120">
        <v>5926.49</v>
      </c>
      <c r="AA24" s="135">
        <f t="shared" si="0"/>
        <v>1.2574514699999999</v>
      </c>
      <c r="AB24" s="145"/>
    </row>
    <row r="25" spans="1:28" x14ac:dyDescent="0.25">
      <c r="A25" s="100" t="s">
        <v>173</v>
      </c>
      <c r="B25" s="100" t="s">
        <v>171</v>
      </c>
      <c r="C25" s="100" t="s">
        <v>173</v>
      </c>
      <c r="D25" s="100">
        <v>90</v>
      </c>
      <c r="E25" s="100" t="s">
        <v>174</v>
      </c>
      <c r="F25" s="100">
        <v>0.79525999999999997</v>
      </c>
      <c r="G25" s="120">
        <v>-12574514.699999999</v>
      </c>
      <c r="H25" s="120">
        <v>15593.69</v>
      </c>
      <c r="I25" s="100" t="s">
        <v>174</v>
      </c>
      <c r="J25" s="100">
        <v>0.76717999999999997</v>
      </c>
      <c r="K25" s="120">
        <v>-8523.69</v>
      </c>
      <c r="L25" s="100">
        <v>0.992483</v>
      </c>
      <c r="M25" s="120">
        <v>-8459.6200000000008</v>
      </c>
      <c r="O25" s="100" t="s">
        <v>173</v>
      </c>
      <c r="P25" s="100" t="s">
        <v>171</v>
      </c>
      <c r="Q25" s="100" t="s">
        <v>173</v>
      </c>
      <c r="R25" s="100">
        <v>90</v>
      </c>
      <c r="S25" s="120">
        <v>10000000</v>
      </c>
      <c r="T25" s="120">
        <v>0</v>
      </c>
      <c r="U25" s="100" t="s">
        <v>171</v>
      </c>
      <c r="V25" s="100">
        <v>0.30889</v>
      </c>
      <c r="W25" s="120">
        <v>6106.46</v>
      </c>
      <c r="X25" s="100">
        <v>1.0076449999999999</v>
      </c>
      <c r="Y25" s="120">
        <v>6153.15</v>
      </c>
      <c r="AA25" s="135">
        <f t="shared" si="0"/>
        <v>1.2590108390000001</v>
      </c>
      <c r="AB25" s="145"/>
    </row>
    <row r="26" spans="1:28" x14ac:dyDescent="0.25">
      <c r="A26" s="100" t="s">
        <v>175</v>
      </c>
      <c r="B26" s="100" t="s">
        <v>173</v>
      </c>
      <c r="C26" s="100" t="s">
        <v>175</v>
      </c>
      <c r="D26" s="100">
        <v>91</v>
      </c>
      <c r="E26" s="100" t="s">
        <v>176</v>
      </c>
      <c r="F26" s="100">
        <v>0.79427000000000003</v>
      </c>
      <c r="G26" s="120">
        <v>-12590108.390000001</v>
      </c>
      <c r="H26" s="120">
        <v>16259.07</v>
      </c>
      <c r="I26" s="100" t="s">
        <v>176</v>
      </c>
      <c r="J26" s="100">
        <v>0.80125999999999997</v>
      </c>
      <c r="K26" s="120">
        <v>-9241.0300000000007</v>
      </c>
      <c r="L26" s="100">
        <v>0.99121400000000004</v>
      </c>
      <c r="M26" s="120">
        <v>-9159.85</v>
      </c>
      <c r="O26" s="100" t="s">
        <v>175</v>
      </c>
      <c r="P26" s="100" t="s">
        <v>173</v>
      </c>
      <c r="Q26" s="100" t="s">
        <v>175</v>
      </c>
      <c r="R26" s="100">
        <v>91</v>
      </c>
      <c r="S26" s="120">
        <v>10000000</v>
      </c>
      <c r="T26" s="120">
        <v>0</v>
      </c>
      <c r="U26" s="100" t="s">
        <v>173</v>
      </c>
      <c r="V26" s="100">
        <v>0.32257000000000002</v>
      </c>
      <c r="W26" s="120">
        <v>6515.45</v>
      </c>
      <c r="X26" s="100">
        <v>1.0076590000000001</v>
      </c>
      <c r="Y26" s="120">
        <v>6565.35</v>
      </c>
      <c r="AA26" s="135">
        <f t="shared" si="0"/>
        <v>1.2606367470000002</v>
      </c>
      <c r="AB26" s="145"/>
    </row>
    <row r="27" spans="1:28" x14ac:dyDescent="0.25">
      <c r="A27" s="100" t="s">
        <v>177</v>
      </c>
      <c r="B27" s="100" t="s">
        <v>175</v>
      </c>
      <c r="C27" s="100" t="s">
        <v>177</v>
      </c>
      <c r="D27" s="100">
        <v>92</v>
      </c>
      <c r="E27" s="100" t="s">
        <v>178</v>
      </c>
      <c r="F27" s="100">
        <v>0.79325000000000001</v>
      </c>
      <c r="G27" s="120">
        <v>-12606367.470000001</v>
      </c>
      <c r="H27" s="120">
        <v>17324.96</v>
      </c>
      <c r="I27" s="100" t="s">
        <v>178</v>
      </c>
      <c r="J27" s="100">
        <v>0.82462000000000002</v>
      </c>
      <c r="K27" s="120">
        <v>-9241.33</v>
      </c>
      <c r="L27" s="100">
        <v>0.98981699999999995</v>
      </c>
      <c r="M27" s="120">
        <v>-9147.2199999999993</v>
      </c>
      <c r="O27" s="100" t="s">
        <v>177</v>
      </c>
      <c r="P27" s="100" t="s">
        <v>175</v>
      </c>
      <c r="Q27" s="100" t="s">
        <v>177</v>
      </c>
      <c r="R27" s="100">
        <v>92</v>
      </c>
      <c r="S27" s="120">
        <v>10000000</v>
      </c>
      <c r="T27" s="120">
        <v>0</v>
      </c>
      <c r="U27" s="100" t="s">
        <v>175</v>
      </c>
      <c r="V27" s="100">
        <v>0.31328</v>
      </c>
      <c r="W27" s="120">
        <v>6352.77</v>
      </c>
      <c r="X27" s="100">
        <v>1.007622</v>
      </c>
      <c r="Y27" s="120">
        <v>6401.2</v>
      </c>
      <c r="AA27" s="135">
        <f t="shared" si="0"/>
        <v>1.2623692419999999</v>
      </c>
      <c r="AB27" s="145"/>
    </row>
    <row r="28" spans="1:28" x14ac:dyDescent="0.25">
      <c r="A28" s="100" t="s">
        <v>179</v>
      </c>
      <c r="B28" s="100" t="s">
        <v>177</v>
      </c>
      <c r="C28" s="100" t="s">
        <v>179</v>
      </c>
      <c r="D28" s="100">
        <v>94</v>
      </c>
      <c r="E28" s="100" t="s">
        <v>180</v>
      </c>
      <c r="F28" s="100">
        <v>0.79215999999999998</v>
      </c>
      <c r="G28" s="120">
        <v>-12623692.42</v>
      </c>
      <c r="H28" s="120">
        <v>17825.080000000002</v>
      </c>
      <c r="I28" s="100" t="s">
        <v>180</v>
      </c>
      <c r="J28" s="100">
        <v>0.85838000000000003</v>
      </c>
      <c r="K28" s="120">
        <v>-10468.780000000001</v>
      </c>
      <c r="L28" s="100">
        <v>0.98830600000000002</v>
      </c>
      <c r="M28" s="120">
        <v>-10346.35</v>
      </c>
      <c r="O28" s="100" t="s">
        <v>179</v>
      </c>
      <c r="P28" s="100" t="s">
        <v>177</v>
      </c>
      <c r="Q28" s="100" t="s">
        <v>179</v>
      </c>
      <c r="R28" s="100">
        <v>94</v>
      </c>
      <c r="S28" s="120">
        <v>10000000</v>
      </c>
      <c r="T28" s="120">
        <v>0</v>
      </c>
      <c r="U28" s="100" t="s">
        <v>177</v>
      </c>
      <c r="V28" s="100">
        <v>0.32586999999999999</v>
      </c>
      <c r="W28" s="120">
        <v>6815.23</v>
      </c>
      <c r="X28" s="100">
        <v>1.0075529999999999</v>
      </c>
      <c r="Y28" s="120">
        <v>6866.71</v>
      </c>
      <c r="AA28" s="135">
        <f t="shared" si="0"/>
        <v>1.2641517499999999</v>
      </c>
      <c r="AB28" s="145"/>
    </row>
    <row r="29" spans="1:28" x14ac:dyDescent="0.25">
      <c r="A29" s="100" t="s">
        <v>181</v>
      </c>
      <c r="B29" s="100" t="s">
        <v>179</v>
      </c>
      <c r="C29" s="100" t="s">
        <v>181</v>
      </c>
      <c r="D29" s="100">
        <v>88</v>
      </c>
      <c r="E29" s="100" t="s">
        <v>182</v>
      </c>
      <c r="F29" s="100">
        <v>0.79103999999999997</v>
      </c>
      <c r="G29" s="120">
        <v>-12641517.5</v>
      </c>
      <c r="H29" s="120">
        <v>18503.79</v>
      </c>
      <c r="I29" s="100" t="s">
        <v>182</v>
      </c>
      <c r="J29" s="100">
        <v>0.89110999999999996</v>
      </c>
      <c r="K29" s="120">
        <v>-9032.94</v>
      </c>
      <c r="L29" s="100">
        <v>0.98681700000000006</v>
      </c>
      <c r="M29" s="120">
        <v>-8913.85</v>
      </c>
      <c r="O29" s="100" t="s">
        <v>181</v>
      </c>
      <c r="P29" s="100" t="s">
        <v>179</v>
      </c>
      <c r="Q29" s="100" t="s">
        <v>181</v>
      </c>
      <c r="R29" s="100">
        <v>88</v>
      </c>
      <c r="S29" s="120">
        <v>10000000</v>
      </c>
      <c r="T29" s="120">
        <v>0</v>
      </c>
      <c r="U29" s="100" t="s">
        <v>179</v>
      </c>
      <c r="V29" s="100">
        <v>0.33816000000000002</v>
      </c>
      <c r="W29" s="120">
        <v>6676.32</v>
      </c>
      <c r="X29" s="100">
        <v>1.0074609999999999</v>
      </c>
      <c r="Y29" s="120">
        <v>6726.13</v>
      </c>
      <c r="AA29" s="135">
        <f t="shared" si="0"/>
        <v>1.2660021289999999</v>
      </c>
      <c r="AB29" s="145"/>
    </row>
    <row r="30" spans="1:28" x14ac:dyDescent="0.25">
      <c r="A30" s="100" t="s">
        <v>183</v>
      </c>
      <c r="B30" s="100" t="s">
        <v>181</v>
      </c>
      <c r="C30" s="100" t="s">
        <v>183</v>
      </c>
      <c r="D30" s="100">
        <v>91</v>
      </c>
      <c r="E30" s="100" t="s">
        <v>184</v>
      </c>
      <c r="F30" s="100">
        <v>0.78988999999999998</v>
      </c>
      <c r="G30" s="120">
        <v>-12660021.289999999</v>
      </c>
      <c r="H30" s="120">
        <v>19180.900000000001</v>
      </c>
      <c r="I30" s="100" t="s">
        <v>184</v>
      </c>
      <c r="J30" s="100">
        <v>0.92318</v>
      </c>
      <c r="K30" s="120">
        <v>-10362.540000000001</v>
      </c>
      <c r="L30" s="100">
        <v>0.98520200000000002</v>
      </c>
      <c r="M30" s="120">
        <v>-10209.200000000001</v>
      </c>
      <c r="O30" s="100" t="s">
        <v>183</v>
      </c>
      <c r="P30" s="100" t="s">
        <v>181</v>
      </c>
      <c r="Q30" s="100" t="s">
        <v>183</v>
      </c>
      <c r="R30" s="100">
        <v>91</v>
      </c>
      <c r="S30" s="120">
        <v>10000000</v>
      </c>
      <c r="T30" s="120">
        <v>0</v>
      </c>
      <c r="U30" s="100" t="s">
        <v>181</v>
      </c>
      <c r="V30" s="100">
        <v>0.35022999999999999</v>
      </c>
      <c r="W30" s="120">
        <v>7205.02</v>
      </c>
      <c r="X30" s="100">
        <v>1.0073380000000001</v>
      </c>
      <c r="Y30" s="120">
        <v>7257.89</v>
      </c>
      <c r="AA30" s="135">
        <f t="shared" si="0"/>
        <v>1.2679202189999998</v>
      </c>
      <c r="AB30" s="145"/>
    </row>
    <row r="31" spans="1:28" x14ac:dyDescent="0.25">
      <c r="A31" s="100" t="s">
        <v>185</v>
      </c>
      <c r="B31" s="100" t="s">
        <v>183</v>
      </c>
      <c r="C31" s="100" t="s">
        <v>185</v>
      </c>
      <c r="D31" s="100">
        <v>94</v>
      </c>
      <c r="E31" s="100" t="s">
        <v>186</v>
      </c>
      <c r="F31" s="100">
        <v>0.78869</v>
      </c>
      <c r="G31" s="120">
        <v>-12679202.189999999</v>
      </c>
      <c r="H31" s="120">
        <v>19119.59</v>
      </c>
      <c r="I31" s="100" t="s">
        <v>186</v>
      </c>
      <c r="J31" s="100">
        <v>0.91913</v>
      </c>
      <c r="K31" s="120">
        <v>-11309.98</v>
      </c>
      <c r="L31" s="100">
        <v>0.98337799999999997</v>
      </c>
      <c r="M31" s="120">
        <v>-11121.98</v>
      </c>
      <c r="O31" s="100" t="s">
        <v>185</v>
      </c>
      <c r="P31" s="100" t="s">
        <v>183</v>
      </c>
      <c r="Q31" s="100" t="s">
        <v>185</v>
      </c>
      <c r="R31" s="100">
        <v>94</v>
      </c>
      <c r="S31" s="120">
        <v>10000000</v>
      </c>
      <c r="T31" s="120">
        <v>0</v>
      </c>
      <c r="U31" s="100" t="s">
        <v>183</v>
      </c>
      <c r="V31" s="100">
        <v>0.36332999999999999</v>
      </c>
      <c r="W31" s="120">
        <v>7779.96</v>
      </c>
      <c r="X31" s="100">
        <v>1.0070220000000001</v>
      </c>
      <c r="Y31" s="120">
        <v>7834.59</v>
      </c>
      <c r="AA31" s="135">
        <f t="shared" si="0"/>
        <v>1.269832179</v>
      </c>
      <c r="AB31" s="145"/>
    </row>
    <row r="32" spans="1:28" x14ac:dyDescent="0.25">
      <c r="A32" s="100" t="s">
        <v>187</v>
      </c>
      <c r="B32" s="100" t="s">
        <v>185</v>
      </c>
      <c r="C32" s="100" t="s">
        <v>187</v>
      </c>
      <c r="D32" s="100">
        <v>92</v>
      </c>
      <c r="E32" s="100" t="s">
        <v>188</v>
      </c>
      <c r="F32" s="100">
        <v>0.78751000000000004</v>
      </c>
      <c r="G32" s="120">
        <v>-12698321.789999999</v>
      </c>
      <c r="H32" s="120">
        <v>19498.900000000001</v>
      </c>
      <c r="I32" s="100" t="s">
        <v>188</v>
      </c>
      <c r="J32" s="100">
        <v>0.94950999999999997</v>
      </c>
      <c r="K32" s="120">
        <v>-11314.03</v>
      </c>
      <c r="L32" s="100">
        <v>0.98150599999999999</v>
      </c>
      <c r="M32" s="120">
        <v>-11104.79</v>
      </c>
      <c r="O32" s="100" t="s">
        <v>187</v>
      </c>
      <c r="P32" s="100" t="s">
        <v>185</v>
      </c>
      <c r="Q32" s="100" t="s">
        <v>187</v>
      </c>
      <c r="R32" s="100">
        <v>92</v>
      </c>
      <c r="S32" s="120">
        <v>10000000</v>
      </c>
      <c r="T32" s="120">
        <v>0</v>
      </c>
      <c r="U32" s="100" t="s">
        <v>185</v>
      </c>
      <c r="V32" s="100">
        <v>0.37584000000000001</v>
      </c>
      <c r="W32" s="120">
        <v>7929.63</v>
      </c>
      <c r="X32" s="100">
        <v>1.0066679999999999</v>
      </c>
      <c r="Y32" s="120">
        <v>7982.51</v>
      </c>
      <c r="AA32" s="135">
        <f t="shared" si="0"/>
        <v>1.2717820689999999</v>
      </c>
      <c r="AB32" s="145"/>
    </row>
    <row r="33" spans="1:28" x14ac:dyDescent="0.25">
      <c r="A33" s="100" t="s">
        <v>189</v>
      </c>
      <c r="B33" s="100" t="s">
        <v>187</v>
      </c>
      <c r="C33" s="100" t="s">
        <v>189</v>
      </c>
      <c r="D33" s="100">
        <v>90</v>
      </c>
      <c r="E33" s="100" t="s">
        <v>190</v>
      </c>
      <c r="F33" s="100">
        <v>0.7863</v>
      </c>
      <c r="G33" s="120">
        <v>-12717820.689999999</v>
      </c>
      <c r="H33" s="120">
        <v>20100.75</v>
      </c>
      <c r="I33" s="100" t="s">
        <v>190</v>
      </c>
      <c r="J33" s="100">
        <v>0.97902</v>
      </c>
      <c r="K33" s="120">
        <v>-11026.72</v>
      </c>
      <c r="L33" s="100">
        <v>0.97959799999999997</v>
      </c>
      <c r="M33" s="120">
        <v>-10801.75</v>
      </c>
      <c r="O33" s="100" t="s">
        <v>189</v>
      </c>
      <c r="P33" s="100" t="s">
        <v>187</v>
      </c>
      <c r="Q33" s="100" t="s">
        <v>189</v>
      </c>
      <c r="R33" s="100">
        <v>90</v>
      </c>
      <c r="S33" s="120">
        <v>10000000</v>
      </c>
      <c r="T33" s="120">
        <v>0</v>
      </c>
      <c r="U33" s="100" t="s">
        <v>187</v>
      </c>
      <c r="V33" s="100">
        <v>0.38804</v>
      </c>
      <c r="W33" s="120">
        <v>8058.1</v>
      </c>
      <c r="X33" s="100">
        <v>1.006283</v>
      </c>
      <c r="Y33" s="120">
        <v>8108.73</v>
      </c>
      <c r="AA33" s="135">
        <f t="shared" si="0"/>
        <v>1.273792144</v>
      </c>
      <c r="AB33" s="145"/>
    </row>
    <row r="34" spans="1:28" x14ac:dyDescent="0.25">
      <c r="A34" s="100" t="s">
        <v>192</v>
      </c>
      <c r="B34" s="100" t="s">
        <v>189</v>
      </c>
      <c r="C34" s="100" t="s">
        <v>192</v>
      </c>
      <c r="D34" s="100">
        <v>91</v>
      </c>
      <c r="E34" s="100" t="s">
        <v>193</v>
      </c>
      <c r="F34" s="100">
        <v>0.78505999999999998</v>
      </c>
      <c r="G34" s="120">
        <v>-12737921.439999999</v>
      </c>
      <c r="H34" s="120">
        <v>20700.21</v>
      </c>
      <c r="I34" s="100" t="s">
        <v>193</v>
      </c>
      <c r="J34" s="100">
        <v>1.0081800000000001</v>
      </c>
      <c r="K34" s="120">
        <v>-11761.8</v>
      </c>
      <c r="L34" s="100">
        <v>0.97759099999999999</v>
      </c>
      <c r="M34" s="120">
        <v>-11498.23</v>
      </c>
      <c r="O34" s="100" t="s">
        <v>192</v>
      </c>
      <c r="P34" s="100" t="s">
        <v>189</v>
      </c>
      <c r="Q34" s="100" t="s">
        <v>192</v>
      </c>
      <c r="R34" s="100">
        <v>91</v>
      </c>
      <c r="S34" s="120">
        <v>10000000</v>
      </c>
      <c r="T34" s="120">
        <v>0</v>
      </c>
      <c r="U34" s="100" t="s">
        <v>189</v>
      </c>
      <c r="V34" s="100">
        <v>0.39995999999999998</v>
      </c>
      <c r="W34" s="120">
        <v>8444.91</v>
      </c>
      <c r="X34" s="100">
        <v>1.0058560000000001</v>
      </c>
      <c r="Y34" s="120">
        <v>8494.36</v>
      </c>
      <c r="AA34" s="135">
        <f t="shared" si="0"/>
        <v>1.2758621649999999</v>
      </c>
      <c r="AB34" s="145"/>
    </row>
    <row r="35" spans="1:28" x14ac:dyDescent="0.25">
      <c r="A35" s="100" t="s">
        <v>194</v>
      </c>
      <c r="B35" s="100" t="s">
        <v>192</v>
      </c>
      <c r="C35" s="100" t="s">
        <v>194</v>
      </c>
      <c r="D35" s="100">
        <v>91</v>
      </c>
      <c r="E35" s="100" t="s">
        <v>195</v>
      </c>
      <c r="F35" s="100">
        <v>0.78378000000000003</v>
      </c>
      <c r="G35" s="120">
        <v>-12758621.65</v>
      </c>
      <c r="H35" s="120">
        <v>21297.41</v>
      </c>
      <c r="I35" s="100" t="s">
        <v>195</v>
      </c>
      <c r="J35" s="100">
        <v>1.00726</v>
      </c>
      <c r="K35" s="120">
        <v>-11187.59</v>
      </c>
      <c r="L35" s="100">
        <v>0.97582800000000003</v>
      </c>
      <c r="M35" s="120">
        <v>-10917.17</v>
      </c>
      <c r="O35" s="100" t="s">
        <v>194</v>
      </c>
      <c r="P35" s="100" t="s">
        <v>192</v>
      </c>
      <c r="Q35" s="100" t="s">
        <v>194</v>
      </c>
      <c r="R35" s="100">
        <v>91</v>
      </c>
      <c r="S35" s="120">
        <v>10000000</v>
      </c>
      <c r="T35" s="120">
        <v>0</v>
      </c>
      <c r="U35" s="100" t="s">
        <v>192</v>
      </c>
      <c r="V35" s="100">
        <v>0.40660000000000002</v>
      </c>
      <c r="W35" s="120">
        <v>8610.4599999999991</v>
      </c>
      <c r="X35" s="100">
        <v>1.0057199999999999</v>
      </c>
      <c r="Y35" s="120">
        <v>8659.7099999999991</v>
      </c>
      <c r="AA35" s="135">
        <f t="shared" si="0"/>
        <v>1.277991906</v>
      </c>
      <c r="AB35" s="145"/>
    </row>
    <row r="36" spans="1:28" x14ac:dyDescent="0.25">
      <c r="A36" s="100" t="s">
        <v>196</v>
      </c>
      <c r="B36" s="100" t="s">
        <v>194</v>
      </c>
      <c r="C36" s="100" t="s">
        <v>196</v>
      </c>
      <c r="D36" s="100">
        <v>92</v>
      </c>
      <c r="E36" s="100" t="s">
        <v>197</v>
      </c>
      <c r="F36" s="100">
        <v>0.78247999999999995</v>
      </c>
      <c r="G36" s="120">
        <v>-12779919.060000001</v>
      </c>
      <c r="H36" s="120">
        <v>21891.81</v>
      </c>
      <c r="I36" s="100" t="s">
        <v>197</v>
      </c>
      <c r="J36" s="100">
        <v>1.0346200000000001</v>
      </c>
      <c r="K36" s="120">
        <v>-11898.65</v>
      </c>
      <c r="L36" s="100">
        <v>0.973997</v>
      </c>
      <c r="M36" s="120">
        <v>-11589.25</v>
      </c>
      <c r="O36" s="100" t="s">
        <v>196</v>
      </c>
      <c r="P36" s="100" t="s">
        <v>194</v>
      </c>
      <c r="Q36" s="100" t="s">
        <v>196</v>
      </c>
      <c r="R36" s="100">
        <v>92</v>
      </c>
      <c r="S36" s="120">
        <v>10000000</v>
      </c>
      <c r="T36" s="120">
        <v>0</v>
      </c>
      <c r="U36" s="100" t="s">
        <v>194</v>
      </c>
      <c r="V36" s="100">
        <v>0.41843999999999998</v>
      </c>
      <c r="W36" s="120">
        <v>9003.34</v>
      </c>
      <c r="X36" s="100">
        <v>1.0055730000000001</v>
      </c>
      <c r="Y36" s="120">
        <v>9053.52</v>
      </c>
      <c r="AA36" s="135">
        <f t="shared" si="0"/>
        <v>1.2801810869999999</v>
      </c>
      <c r="AB36" s="145"/>
    </row>
    <row r="37" spans="1:28" x14ac:dyDescent="0.25">
      <c r="A37" s="100" t="s">
        <v>198</v>
      </c>
      <c r="B37" s="100" t="s">
        <v>196</v>
      </c>
      <c r="C37" s="100" t="s">
        <v>198</v>
      </c>
      <c r="D37" s="100">
        <v>91</v>
      </c>
      <c r="E37" s="100" t="s">
        <v>199</v>
      </c>
      <c r="F37" s="100">
        <v>0.78113999999999995</v>
      </c>
      <c r="G37" s="120">
        <v>-12801810.869999999</v>
      </c>
      <c r="H37" s="120">
        <v>22233.23</v>
      </c>
      <c r="I37" s="100" t="s">
        <v>199</v>
      </c>
      <c r="J37" s="100">
        <v>1.0617300000000001</v>
      </c>
      <c r="K37" s="120">
        <v>-12124.61</v>
      </c>
      <c r="L37" s="100">
        <v>0.97212900000000002</v>
      </c>
      <c r="M37" s="120">
        <v>-11786.68</v>
      </c>
      <c r="O37" s="100" t="s">
        <v>198</v>
      </c>
      <c r="P37" s="100" t="s">
        <v>196</v>
      </c>
      <c r="Q37" s="100" t="s">
        <v>198</v>
      </c>
      <c r="R37" s="100">
        <v>91</v>
      </c>
      <c r="S37" s="120">
        <v>10000000</v>
      </c>
      <c r="T37" s="120">
        <v>0</v>
      </c>
      <c r="U37" s="100" t="s">
        <v>196</v>
      </c>
      <c r="V37" s="100">
        <v>0.43023</v>
      </c>
      <c r="W37" s="120">
        <v>9199.44</v>
      </c>
      <c r="X37" s="100">
        <v>1.005409</v>
      </c>
      <c r="Y37" s="120">
        <v>9249.2099999999991</v>
      </c>
      <c r="AA37" s="135">
        <f t="shared" si="0"/>
        <v>1.2824044100000001</v>
      </c>
      <c r="AB37" s="145"/>
    </row>
    <row r="38" spans="1:28" x14ac:dyDescent="0.25">
      <c r="A38" s="100" t="s">
        <v>200</v>
      </c>
      <c r="B38" s="100" t="s">
        <v>198</v>
      </c>
      <c r="C38" s="100" t="s">
        <v>200</v>
      </c>
      <c r="D38" s="100">
        <v>90</v>
      </c>
      <c r="E38" s="100" t="s">
        <v>201</v>
      </c>
      <c r="F38" s="100">
        <v>0.77978999999999998</v>
      </c>
      <c r="G38" s="120">
        <v>-12824044.1</v>
      </c>
      <c r="H38" s="120">
        <v>23322.66</v>
      </c>
      <c r="I38" s="100" t="s">
        <v>201</v>
      </c>
      <c r="J38" s="100">
        <v>1.08833</v>
      </c>
      <c r="K38" s="120">
        <v>-11569.27</v>
      </c>
      <c r="L38" s="100">
        <v>0.970225</v>
      </c>
      <c r="M38" s="120">
        <v>-11224.79</v>
      </c>
      <c r="O38" s="100" t="s">
        <v>200</v>
      </c>
      <c r="P38" s="100" t="s">
        <v>198</v>
      </c>
      <c r="Q38" s="100" t="s">
        <v>200</v>
      </c>
      <c r="R38" s="100">
        <v>90</v>
      </c>
      <c r="S38" s="120">
        <v>10000000</v>
      </c>
      <c r="T38" s="120">
        <v>0</v>
      </c>
      <c r="U38" s="100" t="s">
        <v>198</v>
      </c>
      <c r="V38" s="100">
        <v>0.44161</v>
      </c>
      <c r="W38" s="120">
        <v>9379.0400000000009</v>
      </c>
      <c r="X38" s="100">
        <v>1.005228</v>
      </c>
      <c r="Y38" s="120">
        <v>9428.07</v>
      </c>
      <c r="AA38" s="135">
        <f t="shared" si="0"/>
        <v>1.284736675</v>
      </c>
      <c r="AB38" s="145"/>
    </row>
    <row r="39" spans="1:28" x14ac:dyDescent="0.25">
      <c r="A39" s="100" t="s">
        <v>202</v>
      </c>
      <c r="B39" s="100" t="s">
        <v>200</v>
      </c>
      <c r="C39" s="100" t="s">
        <v>202</v>
      </c>
      <c r="D39" s="100">
        <v>92</v>
      </c>
      <c r="E39" s="100" t="s">
        <v>203</v>
      </c>
      <c r="F39" s="100">
        <v>0.77837000000000001</v>
      </c>
      <c r="G39" s="120">
        <v>-12847366.75</v>
      </c>
      <c r="H39" s="120">
        <v>22143.45</v>
      </c>
      <c r="I39" s="100" t="s">
        <v>203</v>
      </c>
      <c r="J39" s="100">
        <v>1.0562800000000001</v>
      </c>
      <c r="K39" s="120">
        <v>-12536.51</v>
      </c>
      <c r="L39" s="100">
        <v>0.96823499999999996</v>
      </c>
      <c r="M39" s="120">
        <v>-12138.28</v>
      </c>
      <c r="O39" s="100" t="s">
        <v>202</v>
      </c>
      <c r="P39" s="100" t="s">
        <v>200</v>
      </c>
      <c r="Q39" s="100" t="s">
        <v>202</v>
      </c>
      <c r="R39" s="100">
        <v>92</v>
      </c>
      <c r="S39" s="120">
        <v>10000000</v>
      </c>
      <c r="T39" s="120">
        <v>0</v>
      </c>
      <c r="U39" s="100" t="s">
        <v>200</v>
      </c>
      <c r="V39" s="100">
        <v>0.44607999999999998</v>
      </c>
      <c r="W39" s="120">
        <v>9700.2099999999991</v>
      </c>
      <c r="X39" s="100">
        <v>1.0048900000000001</v>
      </c>
      <c r="Y39" s="120">
        <v>9747.65</v>
      </c>
      <c r="AA39" s="135">
        <f t="shared" si="0"/>
        <v>1.2869510199999998</v>
      </c>
      <c r="AB39" s="145"/>
    </row>
    <row r="40" spans="1:28" x14ac:dyDescent="0.25">
      <c r="A40" s="100" t="s">
        <v>204</v>
      </c>
      <c r="B40" s="100" t="s">
        <v>202</v>
      </c>
      <c r="C40" s="100" t="s">
        <v>204</v>
      </c>
      <c r="D40" s="100">
        <v>92</v>
      </c>
      <c r="E40" s="100" t="s">
        <v>205</v>
      </c>
      <c r="F40" s="100">
        <v>0.77703</v>
      </c>
      <c r="G40" s="120">
        <v>-12869510.199999999</v>
      </c>
      <c r="H40" s="120">
        <v>22306.79</v>
      </c>
      <c r="I40" s="100" t="s">
        <v>205</v>
      </c>
      <c r="J40" s="100">
        <v>1.08002</v>
      </c>
      <c r="K40" s="120">
        <v>-13213.6</v>
      </c>
      <c r="L40" s="100">
        <v>0.96618899999999996</v>
      </c>
      <c r="M40" s="120">
        <v>-12766.83</v>
      </c>
      <c r="O40" s="100" t="s">
        <v>204</v>
      </c>
      <c r="P40" s="100" t="s">
        <v>202</v>
      </c>
      <c r="Q40" s="100" t="s">
        <v>204</v>
      </c>
      <c r="R40" s="100">
        <v>92</v>
      </c>
      <c r="S40" s="120">
        <v>10000000</v>
      </c>
      <c r="T40" s="120">
        <v>0</v>
      </c>
      <c r="U40" s="100" t="s">
        <v>202</v>
      </c>
      <c r="V40" s="100">
        <v>0.45744000000000001</v>
      </c>
      <c r="W40" s="120">
        <v>9986.39</v>
      </c>
      <c r="X40" s="100">
        <v>1.004526</v>
      </c>
      <c r="Y40" s="120">
        <v>10031.59</v>
      </c>
      <c r="AA40" s="135">
        <f t="shared" si="0"/>
        <v>1.2891817000000001</v>
      </c>
      <c r="AB40" s="145"/>
    </row>
    <row r="41" spans="1:28" x14ac:dyDescent="0.25">
      <c r="A41" s="100" t="s">
        <v>206</v>
      </c>
      <c r="B41" s="100" t="s">
        <v>204</v>
      </c>
      <c r="C41" s="100" t="s">
        <v>206</v>
      </c>
      <c r="D41" s="100">
        <v>90</v>
      </c>
      <c r="E41" s="100" t="s">
        <v>207</v>
      </c>
      <c r="F41" s="100">
        <v>0.77568999999999999</v>
      </c>
      <c r="G41" s="120">
        <v>-12891817</v>
      </c>
      <c r="H41" s="120">
        <v>22782.33</v>
      </c>
      <c r="I41" s="100" t="s">
        <v>207</v>
      </c>
      <c r="J41" s="100">
        <v>1.1032599999999999</v>
      </c>
      <c r="K41" s="120">
        <v>-12775.32</v>
      </c>
      <c r="L41" s="100">
        <v>0.96413400000000005</v>
      </c>
      <c r="M41" s="120">
        <v>-12317.12</v>
      </c>
      <c r="O41" s="100" t="s">
        <v>206</v>
      </c>
      <c r="P41" s="100" t="s">
        <v>204</v>
      </c>
      <c r="Q41" s="100" t="s">
        <v>206</v>
      </c>
      <c r="R41" s="100">
        <v>90</v>
      </c>
      <c r="S41" s="120">
        <v>10000000</v>
      </c>
      <c r="T41" s="120">
        <v>0</v>
      </c>
      <c r="U41" s="100" t="s">
        <v>204</v>
      </c>
      <c r="V41" s="100">
        <v>0.46861999999999998</v>
      </c>
      <c r="W41" s="120">
        <v>10045.120000000001</v>
      </c>
      <c r="X41" s="100">
        <v>1.0041439999999999</v>
      </c>
      <c r="Y41" s="120">
        <v>10086.74</v>
      </c>
      <c r="AA41" s="135">
        <f t="shared" si="0"/>
        <v>1.2914599330000001</v>
      </c>
      <c r="AB41" s="145"/>
    </row>
    <row r="42" spans="1:28" x14ac:dyDescent="0.25">
      <c r="A42" s="100" t="s">
        <v>208</v>
      </c>
      <c r="B42" s="100" t="s">
        <v>206</v>
      </c>
      <c r="C42" s="100" t="s">
        <v>208</v>
      </c>
      <c r="D42" s="100">
        <v>91</v>
      </c>
      <c r="E42" s="100" t="s">
        <v>209</v>
      </c>
      <c r="F42" s="100">
        <v>0.77432000000000001</v>
      </c>
      <c r="G42" s="120">
        <v>-12914599.33</v>
      </c>
      <c r="H42" s="120">
        <v>23254.25</v>
      </c>
      <c r="I42" s="100" t="s">
        <v>209</v>
      </c>
      <c r="J42" s="100">
        <v>1.1262300000000001</v>
      </c>
      <c r="K42" s="120">
        <v>-13511.83</v>
      </c>
      <c r="L42" s="100">
        <v>0.96200399999999997</v>
      </c>
      <c r="M42" s="120">
        <v>-12998.43</v>
      </c>
      <c r="O42" s="100" t="s">
        <v>208</v>
      </c>
      <c r="P42" s="100" t="s">
        <v>206</v>
      </c>
      <c r="Q42" s="100" t="s">
        <v>208</v>
      </c>
      <c r="R42" s="100">
        <v>91</v>
      </c>
      <c r="S42" s="120">
        <v>10000000</v>
      </c>
      <c r="T42" s="120">
        <v>0</v>
      </c>
      <c r="U42" s="100" t="s">
        <v>206</v>
      </c>
      <c r="V42" s="100">
        <v>0.47650999999999999</v>
      </c>
      <c r="W42" s="120">
        <v>10353.25</v>
      </c>
      <c r="X42" s="100">
        <v>1.00373</v>
      </c>
      <c r="Y42" s="120">
        <v>10391.870000000001</v>
      </c>
      <c r="AA42" s="135">
        <f t="shared" si="0"/>
        <v>1.2937853580000001</v>
      </c>
      <c r="AB42" s="145"/>
    </row>
    <row r="43" spans="1:28" x14ac:dyDescent="0.25">
      <c r="A43" s="100" t="s">
        <v>210</v>
      </c>
      <c r="B43" s="100" t="s">
        <v>208</v>
      </c>
      <c r="C43" s="100" t="s">
        <v>210</v>
      </c>
      <c r="D43" s="100">
        <v>92</v>
      </c>
      <c r="E43" s="100" t="s">
        <v>211</v>
      </c>
      <c r="F43" s="100">
        <v>0.77293000000000001</v>
      </c>
      <c r="G43" s="120">
        <v>-12937853.58</v>
      </c>
      <c r="H43" s="120">
        <v>24436.26</v>
      </c>
      <c r="I43" s="100" t="s">
        <v>211</v>
      </c>
      <c r="J43" s="100">
        <v>1.0975999999999999</v>
      </c>
      <c r="K43" s="120">
        <v>-11854.16</v>
      </c>
      <c r="L43" s="100">
        <v>0.96013099999999996</v>
      </c>
      <c r="M43" s="120">
        <v>-11381.55</v>
      </c>
      <c r="O43" s="100" t="s">
        <v>210</v>
      </c>
      <c r="P43" s="100" t="s">
        <v>208</v>
      </c>
      <c r="Q43" s="100" t="s">
        <v>210</v>
      </c>
      <c r="R43" s="100">
        <v>92</v>
      </c>
      <c r="S43" s="120">
        <v>10000000</v>
      </c>
      <c r="T43" s="120">
        <v>0</v>
      </c>
      <c r="U43" s="100" t="s">
        <v>208</v>
      </c>
      <c r="V43" s="100">
        <v>0.41600999999999999</v>
      </c>
      <c r="W43" s="120">
        <v>8942.06</v>
      </c>
      <c r="X43" s="100">
        <v>1.003628</v>
      </c>
      <c r="Y43" s="120">
        <v>8974.5</v>
      </c>
      <c r="AA43" s="135">
        <f t="shared" si="0"/>
        <v>1.296228983</v>
      </c>
      <c r="AB43" s="145"/>
    </row>
    <row r="44" spans="1:28" x14ac:dyDescent="0.25">
      <c r="A44" s="100" t="s">
        <v>212</v>
      </c>
      <c r="B44" s="100" t="s">
        <v>210</v>
      </c>
      <c r="C44" s="100" t="s">
        <v>212</v>
      </c>
      <c r="D44" s="100">
        <v>92</v>
      </c>
      <c r="E44" s="100" t="s">
        <v>213</v>
      </c>
      <c r="F44" s="100">
        <v>0.77146999999999999</v>
      </c>
      <c r="G44" s="120">
        <v>-12962289.83</v>
      </c>
      <c r="H44" s="120">
        <v>23490.03</v>
      </c>
      <c r="I44" s="100" t="s">
        <v>213</v>
      </c>
      <c r="J44" s="100">
        <v>1.1182799999999999</v>
      </c>
      <c r="K44" s="120">
        <v>-13554.1</v>
      </c>
      <c r="L44" s="100">
        <v>0.95823100000000005</v>
      </c>
      <c r="M44" s="120">
        <v>-12987.95</v>
      </c>
      <c r="O44" s="100" t="s">
        <v>212</v>
      </c>
      <c r="P44" s="100" t="s">
        <v>210</v>
      </c>
      <c r="Q44" s="100" t="s">
        <v>212</v>
      </c>
      <c r="R44" s="100">
        <v>92</v>
      </c>
      <c r="S44" s="120">
        <v>10000000</v>
      </c>
      <c r="T44" s="120">
        <v>0</v>
      </c>
      <c r="U44" s="100" t="s">
        <v>210</v>
      </c>
      <c r="V44" s="100">
        <v>0.42370000000000002</v>
      </c>
      <c r="W44" s="120">
        <v>9136.01</v>
      </c>
      <c r="X44" s="100">
        <v>1.003477</v>
      </c>
      <c r="Y44" s="120">
        <v>9167.7800000000007</v>
      </c>
      <c r="AA44" s="135">
        <f t="shared" si="0"/>
        <v>1.298577986</v>
      </c>
      <c r="AB44" s="145"/>
    </row>
    <row r="45" spans="1:28" x14ac:dyDescent="0.25">
      <c r="A45" s="100" t="s">
        <v>214</v>
      </c>
      <c r="B45" s="100" t="s">
        <v>212</v>
      </c>
      <c r="C45" s="100" t="s">
        <v>214</v>
      </c>
      <c r="D45" s="100">
        <v>90</v>
      </c>
      <c r="E45" s="100" t="s">
        <v>215</v>
      </c>
      <c r="F45" s="100">
        <v>0.77007000000000003</v>
      </c>
      <c r="G45" s="120">
        <v>-12985779.859999999</v>
      </c>
      <c r="H45" s="120">
        <v>23995.759999999998</v>
      </c>
      <c r="I45" s="100" t="s">
        <v>215</v>
      </c>
      <c r="J45" s="100">
        <v>1.13853</v>
      </c>
      <c r="K45" s="120">
        <v>-12965.88</v>
      </c>
      <c r="L45" s="100">
        <v>0.95633400000000002</v>
      </c>
      <c r="M45" s="120">
        <v>-12399.72</v>
      </c>
      <c r="O45" s="100" t="s">
        <v>214</v>
      </c>
      <c r="P45" s="100" t="s">
        <v>212</v>
      </c>
      <c r="Q45" s="100" t="s">
        <v>214</v>
      </c>
      <c r="R45" s="100">
        <v>90</v>
      </c>
      <c r="S45" s="120">
        <v>10000000</v>
      </c>
      <c r="T45" s="120">
        <v>0</v>
      </c>
      <c r="U45" s="100" t="s">
        <v>212</v>
      </c>
      <c r="V45" s="100">
        <v>0.43128</v>
      </c>
      <c r="W45" s="120">
        <v>9124.34</v>
      </c>
      <c r="X45" s="100">
        <v>1.003323</v>
      </c>
      <c r="Y45" s="120">
        <v>9154.66</v>
      </c>
      <c r="AA45" s="135">
        <f t="shared" si="0"/>
        <v>1.3009775619999999</v>
      </c>
      <c r="AB45" s="145"/>
    </row>
    <row r="46" spans="1:28" x14ac:dyDescent="0.25">
      <c r="A46" s="100" t="s">
        <v>216</v>
      </c>
      <c r="B46" s="100" t="s">
        <v>214</v>
      </c>
      <c r="C46" s="100" t="s">
        <v>216</v>
      </c>
      <c r="D46" s="100">
        <v>91</v>
      </c>
      <c r="E46" s="100" t="s">
        <v>217</v>
      </c>
      <c r="F46" s="100">
        <v>0.76865000000000006</v>
      </c>
      <c r="G46" s="120">
        <v>-13009775.619999999</v>
      </c>
      <c r="H46" s="120">
        <v>24505.360000000001</v>
      </c>
      <c r="I46" s="100" t="s">
        <v>217</v>
      </c>
      <c r="J46" s="100">
        <v>1.1585300000000001</v>
      </c>
      <c r="K46" s="120">
        <v>-13593.82</v>
      </c>
      <c r="L46" s="100">
        <v>0.95438000000000001</v>
      </c>
      <c r="M46" s="120">
        <v>-12973.67</v>
      </c>
      <c r="O46" s="100" t="s">
        <v>216</v>
      </c>
      <c r="P46" s="100" t="s">
        <v>214</v>
      </c>
      <c r="Q46" s="100" t="s">
        <v>216</v>
      </c>
      <c r="R46" s="100">
        <v>91</v>
      </c>
      <c r="S46" s="120">
        <v>10000000</v>
      </c>
      <c r="T46" s="120">
        <v>0</v>
      </c>
      <c r="U46" s="100" t="s">
        <v>214</v>
      </c>
      <c r="V46" s="100">
        <v>0.43946000000000002</v>
      </c>
      <c r="W46" s="120">
        <v>9429.67</v>
      </c>
      <c r="X46" s="100">
        <v>1.0031589999999999</v>
      </c>
      <c r="Y46" s="120">
        <v>9459.4599999999991</v>
      </c>
      <c r="AA46" s="135">
        <f t="shared" si="0"/>
        <v>1.303428099</v>
      </c>
      <c r="AB46" s="145"/>
    </row>
    <row r="47" spans="1:28" x14ac:dyDescent="0.25">
      <c r="A47" s="100" t="s">
        <v>218</v>
      </c>
      <c r="B47" s="100" t="s">
        <v>216</v>
      </c>
      <c r="C47" s="100" t="s">
        <v>218</v>
      </c>
      <c r="D47" s="100">
        <v>92</v>
      </c>
      <c r="E47" s="100" t="s">
        <v>219</v>
      </c>
      <c r="F47" s="100">
        <v>0.76720999999999995</v>
      </c>
      <c r="G47" s="120">
        <v>-13034280.99</v>
      </c>
      <c r="H47" s="120">
        <v>25296.78</v>
      </c>
      <c r="I47" s="100" t="s">
        <v>219</v>
      </c>
      <c r="J47" s="100">
        <v>1.1175200000000001</v>
      </c>
      <c r="K47" s="120">
        <v>-11927.49</v>
      </c>
      <c r="L47" s="100">
        <v>0.95236699999999996</v>
      </c>
      <c r="M47" s="120">
        <v>-11359.35</v>
      </c>
      <c r="O47" s="100" t="s">
        <v>218</v>
      </c>
      <c r="P47" s="100" t="s">
        <v>216</v>
      </c>
      <c r="Q47" s="100" t="s">
        <v>218</v>
      </c>
      <c r="R47" s="100">
        <v>92</v>
      </c>
      <c r="S47" s="120">
        <v>10000000</v>
      </c>
      <c r="T47" s="120">
        <v>0</v>
      </c>
      <c r="U47" s="100" t="s">
        <v>216</v>
      </c>
      <c r="V47" s="100">
        <v>0.47696</v>
      </c>
      <c r="W47" s="120">
        <v>10478.450000000001</v>
      </c>
      <c r="X47" s="100">
        <v>1.0029870000000001</v>
      </c>
      <c r="Y47" s="120">
        <v>10509.74</v>
      </c>
      <c r="AA47" s="135">
        <f t="shared" si="0"/>
        <v>1.3059577760000001</v>
      </c>
      <c r="AB47" s="145"/>
    </row>
    <row r="48" spans="1:28" x14ac:dyDescent="0.25">
      <c r="A48" s="100" t="s">
        <v>220</v>
      </c>
      <c r="B48" s="100" t="s">
        <v>218</v>
      </c>
      <c r="C48" s="100" t="s">
        <v>220</v>
      </c>
      <c r="D48" s="100">
        <v>92</v>
      </c>
      <c r="E48" s="100" t="s">
        <v>221</v>
      </c>
      <c r="F48" s="100">
        <v>0.76571999999999996</v>
      </c>
      <c r="G48" s="120">
        <v>-13059577.76</v>
      </c>
      <c r="H48" s="120">
        <v>25542.43</v>
      </c>
      <c r="I48" s="100" t="s">
        <v>221</v>
      </c>
      <c r="J48" s="100">
        <v>1.1350899999999999</v>
      </c>
      <c r="K48" s="120">
        <v>-12340.62</v>
      </c>
      <c r="L48" s="100">
        <v>0.95031699999999997</v>
      </c>
      <c r="M48" s="120">
        <v>-11727.5</v>
      </c>
      <c r="O48" s="100" t="s">
        <v>220</v>
      </c>
      <c r="P48" s="100" t="s">
        <v>218</v>
      </c>
      <c r="Q48" s="100" t="s">
        <v>220</v>
      </c>
      <c r="R48" s="100">
        <v>92</v>
      </c>
      <c r="S48" s="120">
        <v>10000000</v>
      </c>
      <c r="T48" s="120">
        <v>0</v>
      </c>
      <c r="U48" s="100" t="s">
        <v>218</v>
      </c>
      <c r="V48" s="100">
        <v>0.48585</v>
      </c>
      <c r="W48" s="120">
        <v>10702.47</v>
      </c>
      <c r="X48" s="100">
        <v>1.0028079999999999</v>
      </c>
      <c r="Y48" s="120">
        <v>10732.53</v>
      </c>
      <c r="AA48" s="135">
        <f t="shared" si="0"/>
        <v>1.30851202</v>
      </c>
      <c r="AB48" s="145"/>
    </row>
    <row r="49" spans="1:28" x14ac:dyDescent="0.25">
      <c r="A49" s="100" t="s">
        <v>222</v>
      </c>
      <c r="B49" s="100" t="s">
        <v>220</v>
      </c>
      <c r="C49" s="100" t="s">
        <v>222</v>
      </c>
      <c r="D49" s="100">
        <v>91</v>
      </c>
      <c r="E49" s="100" t="s">
        <v>223</v>
      </c>
      <c r="F49" s="100">
        <v>0.76422999999999996</v>
      </c>
      <c r="G49" s="120">
        <v>-13085120.199999999</v>
      </c>
      <c r="H49" s="120">
        <v>26353.82</v>
      </c>
      <c r="I49" s="100" t="s">
        <v>223</v>
      </c>
      <c r="J49" s="100">
        <v>1.15239</v>
      </c>
      <c r="K49" s="120">
        <v>-11763.01</v>
      </c>
      <c r="L49" s="100">
        <v>0.94825400000000004</v>
      </c>
      <c r="M49" s="120">
        <v>-11154.32</v>
      </c>
      <c r="O49" s="100" t="s">
        <v>222</v>
      </c>
      <c r="P49" s="100" t="s">
        <v>220</v>
      </c>
      <c r="Q49" s="100" t="s">
        <v>222</v>
      </c>
      <c r="R49" s="100">
        <v>91</v>
      </c>
      <c r="S49" s="120">
        <v>10000000</v>
      </c>
      <c r="T49" s="120">
        <v>0</v>
      </c>
      <c r="U49" s="100" t="s">
        <v>220</v>
      </c>
      <c r="V49" s="100">
        <v>0.49464999999999998</v>
      </c>
      <c r="W49" s="120">
        <v>10805.63</v>
      </c>
      <c r="X49" s="100">
        <v>1.0026250000000001</v>
      </c>
      <c r="Y49" s="120">
        <v>10834</v>
      </c>
      <c r="AA49" s="135">
        <f t="shared" si="0"/>
        <v>1.311147402</v>
      </c>
      <c r="AB49" s="145"/>
    </row>
    <row r="50" spans="1:28" x14ac:dyDescent="0.25">
      <c r="A50" s="100" t="s">
        <v>224</v>
      </c>
      <c r="B50" s="100" t="s">
        <v>222</v>
      </c>
      <c r="C50" s="100" t="s">
        <v>224</v>
      </c>
      <c r="D50" s="100">
        <v>91</v>
      </c>
      <c r="E50" s="100" t="s">
        <v>225</v>
      </c>
      <c r="F50" s="100">
        <v>0.76268999999999998</v>
      </c>
      <c r="G50" s="120">
        <v>-13111474.02</v>
      </c>
      <c r="H50" s="120">
        <v>26596.73</v>
      </c>
      <c r="I50" s="100" t="s">
        <v>225</v>
      </c>
      <c r="J50" s="100">
        <v>1.1694599999999999</v>
      </c>
      <c r="K50" s="120">
        <v>-12162.46</v>
      </c>
      <c r="L50" s="100">
        <v>0.946156</v>
      </c>
      <c r="M50" s="120">
        <v>-11507.58</v>
      </c>
      <c r="O50" s="100" t="s">
        <v>224</v>
      </c>
      <c r="P50" s="100" t="s">
        <v>222</v>
      </c>
      <c r="Q50" s="100" t="s">
        <v>224</v>
      </c>
      <c r="R50" s="100">
        <v>91</v>
      </c>
      <c r="S50" s="120">
        <v>10000000</v>
      </c>
      <c r="T50" s="120">
        <v>0</v>
      </c>
      <c r="U50" s="100" t="s">
        <v>222</v>
      </c>
      <c r="V50" s="100">
        <v>0.50131999999999999</v>
      </c>
      <c r="W50" s="120">
        <v>10971.98</v>
      </c>
      <c r="X50" s="100">
        <v>1.002437</v>
      </c>
      <c r="Y50" s="120">
        <v>10998.72</v>
      </c>
      <c r="AA50" s="135">
        <f t="shared" si="0"/>
        <v>1.3138070749999999</v>
      </c>
      <c r="AB50" s="145"/>
    </row>
    <row r="51" spans="1:28" x14ac:dyDescent="0.25">
      <c r="A51" s="100" t="s">
        <v>226</v>
      </c>
      <c r="B51" s="100" t="s">
        <v>224</v>
      </c>
      <c r="C51" s="100" t="s">
        <v>226</v>
      </c>
      <c r="D51" s="100">
        <v>94</v>
      </c>
      <c r="E51" s="100" t="s">
        <v>227</v>
      </c>
      <c r="F51" s="100">
        <v>0.76114999999999999</v>
      </c>
      <c r="G51" s="120">
        <v>-13138070.75</v>
      </c>
      <c r="H51" s="120">
        <v>24285.35</v>
      </c>
      <c r="I51" s="100" t="s">
        <v>227</v>
      </c>
      <c r="J51" s="100">
        <v>1.06073</v>
      </c>
      <c r="K51" s="120">
        <v>-12102.83</v>
      </c>
      <c r="L51" s="100">
        <v>0.94420800000000005</v>
      </c>
      <c r="M51" s="120">
        <v>-11427.58</v>
      </c>
      <c r="O51" s="100" t="s">
        <v>226</v>
      </c>
      <c r="P51" s="100" t="s">
        <v>224</v>
      </c>
      <c r="Q51" s="100" t="s">
        <v>226</v>
      </c>
      <c r="R51" s="100">
        <v>94</v>
      </c>
      <c r="S51" s="120">
        <v>10000000</v>
      </c>
      <c r="T51" s="120">
        <v>0</v>
      </c>
      <c r="U51" s="100" t="s">
        <v>224</v>
      </c>
      <c r="V51" s="100">
        <v>0.41687000000000002</v>
      </c>
      <c r="W51" s="120">
        <v>9158.75</v>
      </c>
      <c r="X51" s="100">
        <v>1.0022580000000001</v>
      </c>
      <c r="Y51" s="120">
        <v>9179.43</v>
      </c>
      <c r="AA51" s="135">
        <f t="shared" si="0"/>
        <v>1.316235609</v>
      </c>
      <c r="AB51" s="145"/>
    </row>
    <row r="52" spans="1:28" x14ac:dyDescent="0.25">
      <c r="A52" s="100" t="s">
        <v>228</v>
      </c>
      <c r="B52" s="100" t="s">
        <v>226</v>
      </c>
      <c r="C52" s="100" t="s">
        <v>228</v>
      </c>
      <c r="D52" s="100">
        <v>92</v>
      </c>
      <c r="E52" s="100" t="s">
        <v>229</v>
      </c>
      <c r="F52" s="100">
        <v>0.75973999999999997</v>
      </c>
      <c r="G52" s="120">
        <v>-13162356.09</v>
      </c>
      <c r="H52" s="120">
        <v>24343.200000000001</v>
      </c>
      <c r="I52" s="100" t="s">
        <v>229</v>
      </c>
      <c r="J52" s="100">
        <v>1.0733200000000001</v>
      </c>
      <c r="K52" s="120">
        <v>-11760.19</v>
      </c>
      <c r="L52" s="100">
        <v>0.94228900000000004</v>
      </c>
      <c r="M52" s="120">
        <v>-11081.5</v>
      </c>
      <c r="O52" s="100" t="s">
        <v>228</v>
      </c>
      <c r="P52" s="100" t="s">
        <v>226</v>
      </c>
      <c r="Q52" s="100" t="s">
        <v>228</v>
      </c>
      <c r="R52" s="100">
        <v>92</v>
      </c>
      <c r="S52" s="120">
        <v>10000000</v>
      </c>
      <c r="T52" s="120">
        <v>0</v>
      </c>
      <c r="U52" s="100" t="s">
        <v>226</v>
      </c>
      <c r="V52" s="100">
        <v>0.42198999999999998</v>
      </c>
      <c r="W52" s="120">
        <v>9092.8700000000008</v>
      </c>
      <c r="X52" s="100">
        <v>1.002092</v>
      </c>
      <c r="Y52" s="120">
        <v>9111.89</v>
      </c>
      <c r="AA52" s="135">
        <f t="shared" si="0"/>
        <v>1.3186699289999999</v>
      </c>
      <c r="AB52" s="145"/>
    </row>
    <row r="53" spans="1:28" x14ac:dyDescent="0.25">
      <c r="A53" s="100" t="s">
        <v>230</v>
      </c>
      <c r="B53" s="100" t="s">
        <v>228</v>
      </c>
      <c r="C53" s="100" t="s">
        <v>230</v>
      </c>
      <c r="D53" s="100">
        <v>90</v>
      </c>
      <c r="E53" s="100" t="s">
        <v>231</v>
      </c>
      <c r="F53" s="100">
        <v>0.75834000000000001</v>
      </c>
      <c r="G53" s="120">
        <v>-13186699.289999999</v>
      </c>
      <c r="H53" s="120">
        <v>24733.31</v>
      </c>
      <c r="I53" s="100" t="s">
        <v>231</v>
      </c>
      <c r="J53" s="100">
        <v>1.0855300000000001</v>
      </c>
      <c r="K53" s="120">
        <v>-11053.13</v>
      </c>
      <c r="L53" s="100">
        <v>0.94038600000000006</v>
      </c>
      <c r="M53" s="120">
        <v>-10394.209999999999</v>
      </c>
      <c r="O53" s="100" t="s">
        <v>230</v>
      </c>
      <c r="P53" s="100" t="s">
        <v>228</v>
      </c>
      <c r="Q53" s="100" t="s">
        <v>230</v>
      </c>
      <c r="R53" s="100">
        <v>90</v>
      </c>
      <c r="S53" s="120">
        <v>10000000</v>
      </c>
      <c r="T53" s="120">
        <v>0</v>
      </c>
      <c r="U53" s="100" t="s">
        <v>228</v>
      </c>
      <c r="V53" s="100">
        <v>0.42698000000000003</v>
      </c>
      <c r="W53" s="120">
        <v>9018.25</v>
      </c>
      <c r="X53" s="100">
        <v>1.0019260000000001</v>
      </c>
      <c r="Y53" s="120">
        <v>9035.61</v>
      </c>
      <c r="AA53" s="135">
        <f t="shared" si="0"/>
        <v>1.3211432599999999</v>
      </c>
      <c r="AB53" s="145"/>
    </row>
    <row r="54" spans="1:28" x14ac:dyDescent="0.25">
      <c r="A54" s="100" t="s">
        <v>233</v>
      </c>
      <c r="B54" s="100" t="s">
        <v>230</v>
      </c>
      <c r="C54" s="100" t="s">
        <v>233</v>
      </c>
      <c r="D54" s="100">
        <v>92</v>
      </c>
      <c r="E54" s="100" t="s">
        <v>234</v>
      </c>
      <c r="F54" s="100">
        <v>0.75692000000000004</v>
      </c>
      <c r="G54" s="120">
        <v>-13211432.6</v>
      </c>
      <c r="H54" s="120">
        <v>25126.41</v>
      </c>
      <c r="I54" s="100" t="s">
        <v>234</v>
      </c>
      <c r="J54" s="100">
        <v>1.0976999999999999</v>
      </c>
      <c r="K54" s="120">
        <v>-11934.74</v>
      </c>
      <c r="L54" s="100">
        <v>0.93841600000000003</v>
      </c>
      <c r="M54" s="120">
        <v>-11199.75</v>
      </c>
      <c r="O54" s="100" t="s">
        <v>233</v>
      </c>
      <c r="P54" s="100" t="s">
        <v>230</v>
      </c>
      <c r="Q54" s="100" t="s">
        <v>233</v>
      </c>
      <c r="R54" s="100">
        <v>92</v>
      </c>
      <c r="S54" s="120">
        <v>10000000</v>
      </c>
      <c r="T54" s="120">
        <v>0</v>
      </c>
      <c r="U54" s="100" t="s">
        <v>230</v>
      </c>
      <c r="V54" s="100">
        <v>0.43196000000000001</v>
      </c>
      <c r="W54" s="120">
        <v>9344.27</v>
      </c>
      <c r="X54" s="100">
        <v>1.0017510000000001</v>
      </c>
      <c r="Y54" s="120">
        <v>9360.6299999999992</v>
      </c>
      <c r="AA54" s="135">
        <f t="shared" si="0"/>
        <v>1.323655901</v>
      </c>
      <c r="AB54" s="145"/>
    </row>
    <row r="55" spans="1:28" x14ac:dyDescent="0.25">
      <c r="A55" s="100" t="s">
        <v>235</v>
      </c>
      <c r="B55" s="100" t="s">
        <v>233</v>
      </c>
      <c r="C55" s="100" t="s">
        <v>235</v>
      </c>
      <c r="D55" s="100">
        <v>90</v>
      </c>
      <c r="E55" s="100" t="s">
        <v>236</v>
      </c>
      <c r="F55" s="100">
        <v>0.75548000000000004</v>
      </c>
      <c r="G55" s="120">
        <v>-13236559.01</v>
      </c>
      <c r="H55" s="120">
        <v>25522.58</v>
      </c>
      <c r="I55" s="100" t="s">
        <v>237</v>
      </c>
      <c r="J55" s="100">
        <v>1.1096900000000001</v>
      </c>
      <c r="K55" s="120">
        <v>-11198.73</v>
      </c>
      <c r="L55" s="100">
        <v>0.93646499999999999</v>
      </c>
      <c r="M55" s="120">
        <v>-10487.22</v>
      </c>
      <c r="O55" s="100" t="s">
        <v>235</v>
      </c>
      <c r="P55" s="100" t="s">
        <v>233</v>
      </c>
      <c r="Q55" s="100" t="s">
        <v>235</v>
      </c>
      <c r="R55" s="100">
        <v>90</v>
      </c>
      <c r="S55" s="120">
        <v>10000000</v>
      </c>
      <c r="T55" s="120">
        <v>0</v>
      </c>
      <c r="U55" s="100" t="s">
        <v>233</v>
      </c>
      <c r="V55" s="100">
        <v>0.43691999999999998</v>
      </c>
      <c r="W55" s="120">
        <v>9263.3700000000008</v>
      </c>
      <c r="X55" s="100">
        <v>1.0015750000000001</v>
      </c>
      <c r="Y55" s="120">
        <v>9277.9599999999991</v>
      </c>
      <c r="AA55" s="135">
        <f t="shared" si="0"/>
        <v>1.3262081589999999</v>
      </c>
      <c r="AB55" s="145"/>
    </row>
    <row r="56" spans="1:28" x14ac:dyDescent="0.25">
      <c r="A56" s="100" t="s">
        <v>238</v>
      </c>
      <c r="B56" s="100" t="s">
        <v>235</v>
      </c>
      <c r="C56" s="100" t="s">
        <v>238</v>
      </c>
      <c r="D56" s="100">
        <v>92</v>
      </c>
      <c r="E56" s="100" t="s">
        <v>239</v>
      </c>
      <c r="F56" s="100">
        <v>0.75402999999999998</v>
      </c>
      <c r="G56" s="120">
        <v>-13262081.59</v>
      </c>
      <c r="H56" s="120">
        <v>25921.9</v>
      </c>
      <c r="I56" s="100" t="s">
        <v>239</v>
      </c>
      <c r="J56" s="100">
        <v>1.12165</v>
      </c>
      <c r="K56" s="120">
        <v>-12092.92</v>
      </c>
      <c r="L56" s="100">
        <v>0.934446</v>
      </c>
      <c r="M56" s="120">
        <v>-11300.18</v>
      </c>
      <c r="O56" s="100" t="s">
        <v>238</v>
      </c>
      <c r="P56" s="100" t="s">
        <v>235</v>
      </c>
      <c r="Q56" s="100" t="s">
        <v>238</v>
      </c>
      <c r="R56" s="100">
        <v>92</v>
      </c>
      <c r="S56" s="120">
        <v>10000000</v>
      </c>
      <c r="T56" s="120">
        <v>0</v>
      </c>
      <c r="U56" s="100" t="s">
        <v>235</v>
      </c>
      <c r="V56" s="100">
        <v>0.44186999999999999</v>
      </c>
      <c r="W56" s="120">
        <v>9594.02</v>
      </c>
      <c r="X56" s="100">
        <v>1.0013920000000001</v>
      </c>
      <c r="Y56" s="120">
        <v>9607.3799999999992</v>
      </c>
      <c r="AA56" s="135">
        <f t="shared" si="0"/>
        <v>1.3288003480000001</v>
      </c>
      <c r="AB56" s="145"/>
    </row>
    <row r="57" spans="1:28" x14ac:dyDescent="0.25">
      <c r="A57" s="100" t="s">
        <v>240</v>
      </c>
      <c r="B57" s="100" t="s">
        <v>238</v>
      </c>
      <c r="C57" s="100" t="s">
        <v>240</v>
      </c>
      <c r="D57" s="100">
        <v>90</v>
      </c>
      <c r="E57" s="100" t="s">
        <v>241</v>
      </c>
      <c r="F57" s="100">
        <v>0.75256000000000001</v>
      </c>
      <c r="G57" s="120">
        <v>-13288003.48</v>
      </c>
      <c r="H57" s="120">
        <v>26324.43</v>
      </c>
      <c r="I57" s="100" t="s">
        <v>241</v>
      </c>
      <c r="J57" s="100">
        <v>1.1334200000000001</v>
      </c>
      <c r="K57" s="120">
        <v>-11327.79</v>
      </c>
      <c r="L57" s="100">
        <v>0.93244700000000003</v>
      </c>
      <c r="M57" s="120">
        <v>-10562.57</v>
      </c>
      <c r="O57" s="100" t="s">
        <v>240</v>
      </c>
      <c r="P57" s="100" t="s">
        <v>238</v>
      </c>
      <c r="Q57" s="100" t="s">
        <v>240</v>
      </c>
      <c r="R57" s="100">
        <v>90</v>
      </c>
      <c r="S57" s="120">
        <v>10000000</v>
      </c>
      <c r="T57" s="120">
        <v>0</v>
      </c>
      <c r="U57" s="100" t="s">
        <v>238</v>
      </c>
      <c r="V57" s="100">
        <v>0.44679999999999997</v>
      </c>
      <c r="W57" s="120">
        <v>9506.86</v>
      </c>
      <c r="X57" s="100">
        <v>1.001209</v>
      </c>
      <c r="Y57" s="120">
        <v>9518.36</v>
      </c>
      <c r="AA57" s="135">
        <f t="shared" si="0"/>
        <v>1.331432792</v>
      </c>
      <c r="AB57" s="145"/>
    </row>
    <row r="58" spans="1:28" x14ac:dyDescent="0.25">
      <c r="A58" s="100" t="s">
        <v>243</v>
      </c>
      <c r="B58" s="100" t="s">
        <v>240</v>
      </c>
      <c r="C58" s="100" t="s">
        <v>243</v>
      </c>
      <c r="D58" s="100">
        <v>91</v>
      </c>
      <c r="E58" s="100" t="s">
        <v>244</v>
      </c>
      <c r="F58" s="100">
        <v>0.75107000000000002</v>
      </c>
      <c r="G58" s="120">
        <v>-13314327.92</v>
      </c>
      <c r="H58" s="120">
        <v>26730.27</v>
      </c>
      <c r="I58" s="100" t="s">
        <v>244</v>
      </c>
      <c r="J58" s="100">
        <v>1.14507</v>
      </c>
      <c r="K58" s="120">
        <v>-11807.92</v>
      </c>
      <c r="L58" s="100">
        <v>0.93040299999999998</v>
      </c>
      <c r="M58" s="120">
        <v>-10986.12</v>
      </c>
      <c r="O58" s="100" t="s">
        <v>243</v>
      </c>
      <c r="P58" s="100" t="s">
        <v>240</v>
      </c>
      <c r="Q58" s="100" t="s">
        <v>243</v>
      </c>
      <c r="R58" s="100">
        <v>91</v>
      </c>
      <c r="S58" s="120">
        <v>10000000</v>
      </c>
      <c r="T58" s="120">
        <v>0</v>
      </c>
      <c r="U58" s="100" t="s">
        <v>240</v>
      </c>
      <c r="V58" s="100">
        <v>0.45168000000000003</v>
      </c>
      <c r="W58" s="120">
        <v>9734.36</v>
      </c>
      <c r="X58" s="100">
        <v>1.0010209999999999</v>
      </c>
      <c r="Y58" s="120">
        <v>9744.2900000000009</v>
      </c>
      <c r="AA58" s="135">
        <f t="shared" si="0"/>
        <v>1.3341058180000001</v>
      </c>
      <c r="AB58" s="145"/>
    </row>
    <row r="59" spans="1:28" x14ac:dyDescent="0.25">
      <c r="A59" s="100" t="s">
        <v>245</v>
      </c>
      <c r="B59" s="100" t="s">
        <v>243</v>
      </c>
      <c r="C59" s="100" t="s">
        <v>245</v>
      </c>
      <c r="D59" s="100">
        <v>91</v>
      </c>
      <c r="E59" s="100" t="s">
        <v>246</v>
      </c>
      <c r="F59" s="100">
        <v>0.74956999999999996</v>
      </c>
      <c r="G59" s="120">
        <v>-13341058.18</v>
      </c>
      <c r="H59" s="120">
        <v>27139.47</v>
      </c>
      <c r="I59" s="100" t="s">
        <v>246</v>
      </c>
      <c r="J59" s="100">
        <v>1.15666</v>
      </c>
      <c r="K59" s="120">
        <v>-11866.92</v>
      </c>
      <c r="L59" s="100">
        <v>0.92833500000000002</v>
      </c>
      <c r="M59" s="120">
        <v>-11016.48</v>
      </c>
      <c r="O59" s="100" t="s">
        <v>245</v>
      </c>
      <c r="P59" s="100" t="s">
        <v>243</v>
      </c>
      <c r="Q59" s="100" t="s">
        <v>245</v>
      </c>
      <c r="R59" s="100">
        <v>91</v>
      </c>
      <c r="S59" s="120">
        <v>10000000</v>
      </c>
      <c r="T59" s="120">
        <v>0</v>
      </c>
      <c r="U59" s="100" t="s">
        <v>243</v>
      </c>
      <c r="V59" s="100">
        <v>0.45657999999999999</v>
      </c>
      <c r="W59" s="120">
        <v>9856.4</v>
      </c>
      <c r="X59" s="100">
        <v>1.0008300000000001</v>
      </c>
      <c r="Y59" s="120">
        <v>9864.58</v>
      </c>
      <c r="AA59" s="135">
        <f t="shared" si="0"/>
        <v>1.3368197660000001</v>
      </c>
      <c r="AB59" s="145"/>
    </row>
    <row r="60" spans="1:28" x14ac:dyDescent="0.25">
      <c r="A60" s="100" t="s">
        <v>247</v>
      </c>
      <c r="B60" s="100" t="s">
        <v>245</v>
      </c>
      <c r="C60" s="100" t="s">
        <v>247</v>
      </c>
      <c r="D60" s="100">
        <v>92</v>
      </c>
      <c r="E60" s="100" t="s">
        <v>248</v>
      </c>
      <c r="F60" s="100">
        <v>0.74804000000000004</v>
      </c>
      <c r="G60" s="120">
        <v>-13368197.66</v>
      </c>
      <c r="H60" s="120">
        <v>27552.13</v>
      </c>
      <c r="I60" s="100" t="s">
        <v>248</v>
      </c>
      <c r="J60" s="100">
        <v>1.16822</v>
      </c>
      <c r="K60" s="120">
        <v>-12358.07</v>
      </c>
      <c r="L60" s="100">
        <v>0.92622199999999999</v>
      </c>
      <c r="M60" s="120">
        <v>-11446.32</v>
      </c>
      <c r="O60" s="100" t="s">
        <v>247</v>
      </c>
      <c r="P60" s="100" t="s">
        <v>245</v>
      </c>
      <c r="Q60" s="100" t="s">
        <v>247</v>
      </c>
      <c r="R60" s="100">
        <v>92</v>
      </c>
      <c r="S60" s="120">
        <v>10000000</v>
      </c>
      <c r="T60" s="120">
        <v>0</v>
      </c>
      <c r="U60" s="100" t="s">
        <v>245</v>
      </c>
      <c r="V60" s="100">
        <v>0.46149000000000001</v>
      </c>
      <c r="W60" s="120">
        <v>10088.41</v>
      </c>
      <c r="X60" s="100">
        <v>1.0006330000000001</v>
      </c>
      <c r="Y60" s="120">
        <v>10094.799999999999</v>
      </c>
      <c r="AA60" s="135">
        <f t="shared" si="0"/>
        <v>1.339574979</v>
      </c>
      <c r="AB60" s="145"/>
    </row>
    <row r="61" spans="1:28" x14ac:dyDescent="0.25">
      <c r="A61" s="100" t="s">
        <v>249</v>
      </c>
      <c r="B61" s="100" t="s">
        <v>247</v>
      </c>
      <c r="C61" s="100" t="s">
        <v>249</v>
      </c>
      <c r="D61" s="100">
        <v>90</v>
      </c>
      <c r="E61" s="100" t="s">
        <v>250</v>
      </c>
      <c r="F61" s="100">
        <v>0.74651000000000001</v>
      </c>
      <c r="G61" s="120">
        <v>-13395749.789999999</v>
      </c>
      <c r="H61" s="120">
        <v>27968.32</v>
      </c>
      <c r="I61" s="100" t="s">
        <v>250</v>
      </c>
      <c r="J61" s="100">
        <v>1.1795500000000001</v>
      </c>
      <c r="K61" s="120">
        <v>-11534.15</v>
      </c>
      <c r="L61" s="100">
        <v>0.92413299999999998</v>
      </c>
      <c r="M61" s="120">
        <v>-10659.08</v>
      </c>
      <c r="O61" s="100" t="s">
        <v>249</v>
      </c>
      <c r="P61" s="100" t="s">
        <v>247</v>
      </c>
      <c r="Q61" s="100" t="s">
        <v>249</v>
      </c>
      <c r="R61" s="100">
        <v>90</v>
      </c>
      <c r="S61" s="120">
        <v>10000000</v>
      </c>
      <c r="T61" s="120">
        <v>0</v>
      </c>
      <c r="U61" s="100" t="s">
        <v>247</v>
      </c>
      <c r="V61" s="100">
        <v>0.46633999999999998</v>
      </c>
      <c r="W61" s="120">
        <v>9988.7999999999993</v>
      </c>
      <c r="X61" s="100">
        <v>1.0004390000000001</v>
      </c>
      <c r="Y61" s="120">
        <v>9993.18</v>
      </c>
      <c r="AA61" s="135">
        <f t="shared" si="0"/>
        <v>1.342371811</v>
      </c>
      <c r="AB61" s="145"/>
    </row>
    <row r="62" spans="1:28" x14ac:dyDescent="0.25">
      <c r="A62" s="100" t="s">
        <v>251</v>
      </c>
      <c r="B62" s="100" t="s">
        <v>249</v>
      </c>
      <c r="C62" s="100" t="s">
        <v>251</v>
      </c>
      <c r="D62" s="100">
        <v>91</v>
      </c>
      <c r="E62" s="100" t="s">
        <v>252</v>
      </c>
      <c r="F62" s="100">
        <v>0.74495</v>
      </c>
      <c r="G62" s="120">
        <v>-13423718.109999999</v>
      </c>
      <c r="H62" s="120">
        <v>28388.13</v>
      </c>
      <c r="I62" s="100" t="s">
        <v>252</v>
      </c>
      <c r="J62" s="100">
        <v>1.1907700000000001</v>
      </c>
      <c r="K62" s="120">
        <v>-12017.16</v>
      </c>
      <c r="L62" s="100">
        <v>0.92199900000000001</v>
      </c>
      <c r="M62" s="120">
        <v>-11079.8</v>
      </c>
      <c r="O62" s="100" t="s">
        <v>251</v>
      </c>
      <c r="P62" s="100" t="s">
        <v>249</v>
      </c>
      <c r="Q62" s="100" t="s">
        <v>251</v>
      </c>
      <c r="R62" s="100">
        <v>91</v>
      </c>
      <c r="S62" s="120">
        <v>10000000</v>
      </c>
      <c r="T62" s="120">
        <v>0</v>
      </c>
      <c r="U62" s="100" t="s">
        <v>249</v>
      </c>
      <c r="V62" s="100">
        <v>0.46754000000000001</v>
      </c>
      <c r="W62" s="120">
        <v>10129.59</v>
      </c>
      <c r="X62" s="100">
        <v>1.00024</v>
      </c>
      <c r="Y62" s="120">
        <v>10132.030000000001</v>
      </c>
      <c r="AA62" s="135">
        <f t="shared" si="0"/>
        <v>1.345210625</v>
      </c>
      <c r="AB62" s="145"/>
    </row>
    <row r="63" spans="1:28" x14ac:dyDescent="0.25">
      <c r="A63" s="100" t="s">
        <v>253</v>
      </c>
      <c r="B63" s="100" t="s">
        <v>251</v>
      </c>
      <c r="C63" s="100" t="s">
        <v>253</v>
      </c>
      <c r="D63" s="100">
        <v>92</v>
      </c>
      <c r="E63" s="100" t="s">
        <v>254</v>
      </c>
      <c r="F63" s="100">
        <v>0.74338000000000004</v>
      </c>
      <c r="G63" s="120">
        <v>-13452106.25</v>
      </c>
      <c r="H63" s="120">
        <v>27619.11</v>
      </c>
      <c r="I63" s="100" t="s">
        <v>254</v>
      </c>
      <c r="J63" s="100">
        <v>1.05596</v>
      </c>
      <c r="K63" s="120">
        <v>-8682.24</v>
      </c>
      <c r="L63" s="100">
        <v>0.92017000000000004</v>
      </c>
      <c r="M63" s="120">
        <v>-7989.14</v>
      </c>
      <c r="O63" s="100" t="s">
        <v>253</v>
      </c>
      <c r="P63" s="100" t="s">
        <v>251</v>
      </c>
      <c r="Q63" s="100" t="s">
        <v>253</v>
      </c>
      <c r="R63" s="100">
        <v>92</v>
      </c>
      <c r="S63" s="120">
        <v>10000000</v>
      </c>
      <c r="T63" s="120">
        <v>0</v>
      </c>
      <c r="U63" s="100" t="s">
        <v>251</v>
      </c>
      <c r="V63" s="100">
        <v>0.36431999999999998</v>
      </c>
      <c r="W63" s="120">
        <v>7639.38</v>
      </c>
      <c r="X63" s="100">
        <v>1.0003029999999999</v>
      </c>
      <c r="Y63" s="120">
        <v>7641.7</v>
      </c>
      <c r="AA63" s="135">
        <f t="shared" si="0"/>
        <v>1.3479725359999999</v>
      </c>
      <c r="AB63" s="145"/>
    </row>
    <row r="64" spans="1:28" x14ac:dyDescent="0.25">
      <c r="A64" s="100" t="s">
        <v>255</v>
      </c>
      <c r="B64" s="100" t="s">
        <v>253</v>
      </c>
      <c r="C64" s="100" t="s">
        <v>255</v>
      </c>
      <c r="D64" s="100">
        <v>92</v>
      </c>
      <c r="E64" s="100" t="s">
        <v>256</v>
      </c>
      <c r="F64" s="100">
        <v>0.74185000000000001</v>
      </c>
      <c r="G64" s="120">
        <v>-13479725.359999999</v>
      </c>
      <c r="H64" s="120">
        <v>27620.21</v>
      </c>
      <c r="I64" s="100" t="s">
        <v>256</v>
      </c>
      <c r="J64" s="100">
        <v>1.06315</v>
      </c>
      <c r="K64" s="120">
        <v>-9003.26</v>
      </c>
      <c r="L64" s="100">
        <v>0.91834099999999996</v>
      </c>
      <c r="M64" s="120">
        <v>-8268.07</v>
      </c>
      <c r="O64" s="100" t="s">
        <v>255</v>
      </c>
      <c r="P64" s="100" t="s">
        <v>253</v>
      </c>
      <c r="Q64" s="100" t="s">
        <v>255</v>
      </c>
      <c r="R64" s="100">
        <v>92</v>
      </c>
      <c r="S64" s="120">
        <v>10000000</v>
      </c>
      <c r="T64" s="120">
        <v>0</v>
      </c>
      <c r="U64" s="100" t="s">
        <v>253</v>
      </c>
      <c r="V64" s="100">
        <v>0.36574000000000001</v>
      </c>
      <c r="W64" s="120">
        <v>7675.05</v>
      </c>
      <c r="X64" s="100">
        <v>1.000383</v>
      </c>
      <c r="Y64" s="120">
        <v>7677.99</v>
      </c>
      <c r="AA64" s="135">
        <f t="shared" si="0"/>
        <v>1.350734557</v>
      </c>
      <c r="AB64" s="145"/>
    </row>
    <row r="65" spans="1:28" x14ac:dyDescent="0.25">
      <c r="A65" s="100" t="s">
        <v>257</v>
      </c>
      <c r="B65" s="100" t="s">
        <v>255</v>
      </c>
      <c r="C65" s="100" t="s">
        <v>257</v>
      </c>
      <c r="D65" s="100">
        <v>91</v>
      </c>
      <c r="E65" s="100" t="s">
        <v>258</v>
      </c>
      <c r="F65" s="100">
        <v>0.74034</v>
      </c>
      <c r="G65" s="120">
        <v>-13507345.57</v>
      </c>
      <c r="H65" s="120">
        <v>28918.25</v>
      </c>
      <c r="I65" s="100" t="s">
        <v>258</v>
      </c>
      <c r="J65" s="100">
        <v>1.0702100000000001</v>
      </c>
      <c r="K65" s="120">
        <v>-7622.67</v>
      </c>
      <c r="L65" s="100">
        <v>0.91651899999999997</v>
      </c>
      <c r="M65" s="120">
        <v>-6986.32</v>
      </c>
      <c r="O65" s="100" t="s">
        <v>257</v>
      </c>
      <c r="P65" s="100" t="s">
        <v>255</v>
      </c>
      <c r="Q65" s="100" t="s">
        <v>257</v>
      </c>
      <c r="R65" s="100">
        <v>91</v>
      </c>
      <c r="S65" s="120">
        <v>10000000</v>
      </c>
      <c r="T65" s="120">
        <v>0</v>
      </c>
      <c r="U65" s="100" t="s">
        <v>255</v>
      </c>
      <c r="V65" s="100">
        <v>0.36714000000000002</v>
      </c>
      <c r="W65" s="120">
        <v>7626.57</v>
      </c>
      <c r="X65" s="100">
        <v>1.0004690000000001</v>
      </c>
      <c r="Y65" s="120">
        <v>7630.14</v>
      </c>
      <c r="AA65" s="135">
        <f t="shared" si="0"/>
        <v>1.3536263820000001</v>
      </c>
      <c r="AB65" s="145"/>
    </row>
    <row r="66" spans="1:28" x14ac:dyDescent="0.25">
      <c r="A66" s="100" t="s">
        <v>259</v>
      </c>
      <c r="B66" s="100" t="s">
        <v>257</v>
      </c>
      <c r="C66" s="100" t="s">
        <v>259</v>
      </c>
      <c r="D66" s="100">
        <v>91</v>
      </c>
      <c r="E66" s="100" t="s">
        <v>260</v>
      </c>
      <c r="F66" s="100">
        <v>0.73875999999999997</v>
      </c>
      <c r="G66" s="120">
        <v>-13536263.82</v>
      </c>
      <c r="H66" s="120">
        <v>28373.68</v>
      </c>
      <c r="I66" s="100" t="s">
        <v>260</v>
      </c>
      <c r="J66" s="100">
        <v>1.0771900000000001</v>
      </c>
      <c r="K66" s="120">
        <v>-8484.2900000000009</v>
      </c>
      <c r="L66" s="100">
        <v>0.91468499999999997</v>
      </c>
      <c r="M66" s="120">
        <v>-7760.45</v>
      </c>
      <c r="O66" s="100" t="s">
        <v>259</v>
      </c>
      <c r="P66" s="100" t="s">
        <v>257</v>
      </c>
      <c r="Q66" s="100" t="s">
        <v>259</v>
      </c>
      <c r="R66" s="100">
        <v>91</v>
      </c>
      <c r="S66" s="120">
        <v>10000000</v>
      </c>
      <c r="T66" s="120">
        <v>0</v>
      </c>
      <c r="U66" s="100" t="s">
        <v>257</v>
      </c>
      <c r="V66" s="100">
        <v>0.36853000000000002</v>
      </c>
      <c r="W66" s="120">
        <v>7661.26</v>
      </c>
      <c r="X66" s="100">
        <v>1.0005599999999999</v>
      </c>
      <c r="Y66" s="120">
        <v>7665.55</v>
      </c>
      <c r="AA66" s="135">
        <f t="shared" si="0"/>
        <v>1.3564637500000001</v>
      </c>
      <c r="AB66" s="145"/>
    </row>
    <row r="67" spans="1:28" x14ac:dyDescent="0.25">
      <c r="A67" s="100" t="s">
        <v>261</v>
      </c>
      <c r="B67" s="100" t="s">
        <v>259</v>
      </c>
      <c r="C67" s="100" t="s">
        <v>261</v>
      </c>
      <c r="D67" s="100">
        <v>92</v>
      </c>
      <c r="E67" s="100" t="s">
        <v>262</v>
      </c>
      <c r="F67" s="100">
        <v>0.73721000000000003</v>
      </c>
      <c r="G67" s="120">
        <v>-13564637.5</v>
      </c>
      <c r="H67" s="120">
        <v>29067.15</v>
      </c>
      <c r="I67" s="100" t="s">
        <v>262</v>
      </c>
      <c r="J67" s="100">
        <v>1.08416</v>
      </c>
      <c r="K67" s="120">
        <v>-8515.5400000000009</v>
      </c>
      <c r="L67" s="100">
        <v>0.91281800000000002</v>
      </c>
      <c r="M67" s="120">
        <v>-7773.14</v>
      </c>
      <c r="O67" s="100" t="s">
        <v>261</v>
      </c>
      <c r="P67" s="100" t="s">
        <v>259</v>
      </c>
      <c r="Q67" s="100" t="s">
        <v>261</v>
      </c>
      <c r="R67" s="100">
        <v>92</v>
      </c>
      <c r="S67" s="120">
        <v>10000000</v>
      </c>
      <c r="T67" s="120">
        <v>0</v>
      </c>
      <c r="U67" s="100" t="s">
        <v>259</v>
      </c>
      <c r="V67" s="100">
        <v>0.36992999999999998</v>
      </c>
      <c r="W67" s="120">
        <v>7780.65</v>
      </c>
      <c r="X67" s="100">
        <v>1.000658</v>
      </c>
      <c r="Y67" s="120">
        <v>7785.78</v>
      </c>
      <c r="AA67" s="135">
        <f t="shared" ref="AA67:AA122" si="1">G68/$T$2</f>
        <v>1.359370465</v>
      </c>
      <c r="AB67" s="145"/>
    </row>
    <row r="68" spans="1:28" x14ac:dyDescent="0.25">
      <c r="A68" s="100" t="s">
        <v>263</v>
      </c>
      <c r="B68" s="100" t="s">
        <v>261</v>
      </c>
      <c r="C68" s="100" t="s">
        <v>263</v>
      </c>
      <c r="D68" s="100">
        <v>92</v>
      </c>
      <c r="E68" s="100" t="s">
        <v>264</v>
      </c>
      <c r="F68" s="100">
        <v>0.73563000000000001</v>
      </c>
      <c r="G68" s="120">
        <v>-13593704.65</v>
      </c>
      <c r="H68" s="120">
        <v>29132.03</v>
      </c>
      <c r="I68" s="100" t="s">
        <v>264</v>
      </c>
      <c r="J68" s="100">
        <v>1.0910899999999999</v>
      </c>
      <c r="K68" s="120">
        <v>-8771.77</v>
      </c>
      <c r="L68" s="100">
        <v>0.91093999999999997</v>
      </c>
      <c r="M68" s="120">
        <v>-7990.55</v>
      </c>
      <c r="O68" s="100" t="s">
        <v>263</v>
      </c>
      <c r="P68" s="100" t="s">
        <v>261</v>
      </c>
      <c r="Q68" s="100" t="s">
        <v>263</v>
      </c>
      <c r="R68" s="100">
        <v>92</v>
      </c>
      <c r="S68" s="120">
        <v>10000000</v>
      </c>
      <c r="T68" s="120">
        <v>0</v>
      </c>
      <c r="U68" s="100" t="s">
        <v>261</v>
      </c>
      <c r="V68" s="100">
        <v>0.37132999999999999</v>
      </c>
      <c r="W68" s="120">
        <v>7815.9</v>
      </c>
      <c r="X68" s="100">
        <v>1.0007630000000001</v>
      </c>
      <c r="Y68" s="120">
        <v>7821.86</v>
      </c>
      <c r="AA68" s="135">
        <f t="shared" si="1"/>
        <v>1.3622836679999999</v>
      </c>
      <c r="AB68" s="145"/>
    </row>
    <row r="69" spans="1:28" x14ac:dyDescent="0.25">
      <c r="A69" s="100" t="s">
        <v>265</v>
      </c>
      <c r="B69" s="100" t="s">
        <v>263</v>
      </c>
      <c r="C69" s="100" t="s">
        <v>265</v>
      </c>
      <c r="D69" s="100">
        <v>90</v>
      </c>
      <c r="E69" s="100" t="s">
        <v>266</v>
      </c>
      <c r="F69" s="100">
        <v>0.73406000000000005</v>
      </c>
      <c r="G69" s="120">
        <v>-13622836.68</v>
      </c>
      <c r="H69" s="120">
        <v>29514.13</v>
      </c>
      <c r="I69" s="100" t="s">
        <v>266</v>
      </c>
      <c r="J69" s="100">
        <v>1.0978399999999999</v>
      </c>
      <c r="K69" s="120">
        <v>-7875.08</v>
      </c>
      <c r="L69" s="100">
        <v>0.90908999999999995</v>
      </c>
      <c r="M69" s="120">
        <v>-7159.16</v>
      </c>
      <c r="O69" s="100" t="s">
        <v>265</v>
      </c>
      <c r="P69" s="100" t="s">
        <v>263</v>
      </c>
      <c r="Q69" s="100" t="s">
        <v>265</v>
      </c>
      <c r="R69" s="100">
        <v>90</v>
      </c>
      <c r="S69" s="120">
        <v>10000000</v>
      </c>
      <c r="T69" s="120">
        <v>0</v>
      </c>
      <c r="U69" s="100" t="s">
        <v>263</v>
      </c>
      <c r="V69" s="100">
        <v>0.37269999999999998</v>
      </c>
      <c r="W69" s="120">
        <v>7679.9</v>
      </c>
      <c r="X69" s="100">
        <v>1.000872</v>
      </c>
      <c r="Y69" s="120">
        <v>7686.59</v>
      </c>
      <c r="AA69" s="135">
        <f t="shared" si="1"/>
        <v>1.365235081</v>
      </c>
      <c r="AB69" s="145"/>
    </row>
    <row r="70" spans="1:28" x14ac:dyDescent="0.25">
      <c r="A70" s="100" t="s">
        <v>267</v>
      </c>
      <c r="B70" s="100" t="s">
        <v>265</v>
      </c>
      <c r="C70" s="100" t="s">
        <v>267</v>
      </c>
      <c r="D70" s="100">
        <v>91</v>
      </c>
      <c r="E70" s="100" t="s">
        <v>268</v>
      </c>
      <c r="F70" s="100">
        <v>0.73246999999999995</v>
      </c>
      <c r="G70" s="120">
        <v>-13652350.810000001</v>
      </c>
      <c r="H70" s="120">
        <v>29899.64</v>
      </c>
      <c r="I70" s="100" t="s">
        <v>268</v>
      </c>
      <c r="J70" s="100">
        <v>1.1045400000000001</v>
      </c>
      <c r="K70" s="120">
        <v>-8218.15</v>
      </c>
      <c r="L70" s="100">
        <v>0.90720900000000004</v>
      </c>
      <c r="M70" s="120">
        <v>-7455.58</v>
      </c>
      <c r="O70" s="100" t="s">
        <v>267</v>
      </c>
      <c r="P70" s="100" t="s">
        <v>265</v>
      </c>
      <c r="Q70" s="100" t="s">
        <v>267</v>
      </c>
      <c r="R70" s="100">
        <v>91</v>
      </c>
      <c r="S70" s="120">
        <v>10000000</v>
      </c>
      <c r="T70" s="120">
        <v>0</v>
      </c>
      <c r="U70" s="100" t="s">
        <v>265</v>
      </c>
      <c r="V70" s="100">
        <v>0.37407000000000001</v>
      </c>
      <c r="W70" s="120">
        <v>7799.36</v>
      </c>
      <c r="X70" s="100">
        <v>1.0009889999999999</v>
      </c>
      <c r="Y70" s="120">
        <v>7807.07</v>
      </c>
      <c r="AA70" s="135">
        <f t="shared" si="1"/>
        <v>1.368225045</v>
      </c>
      <c r="AB70" s="145"/>
    </row>
    <row r="71" spans="1:28" x14ac:dyDescent="0.25">
      <c r="A71" s="100" t="s">
        <v>269</v>
      </c>
      <c r="B71" s="100" t="s">
        <v>267</v>
      </c>
      <c r="C71" s="100" t="s">
        <v>269</v>
      </c>
      <c r="D71" s="100">
        <v>92</v>
      </c>
      <c r="E71" s="100" t="s">
        <v>270</v>
      </c>
      <c r="F71" s="100">
        <v>0.73087000000000002</v>
      </c>
      <c r="G71" s="120">
        <v>-13682250.449999999</v>
      </c>
      <c r="H71" s="120">
        <v>30623.64</v>
      </c>
      <c r="I71" s="100" t="s">
        <v>270</v>
      </c>
      <c r="J71" s="100">
        <v>1.1112500000000001</v>
      </c>
      <c r="K71" s="120">
        <v>-8232.0400000000009</v>
      </c>
      <c r="L71" s="100">
        <v>0.90529499999999996</v>
      </c>
      <c r="M71" s="120">
        <v>-7452.42</v>
      </c>
      <c r="O71" s="100" t="s">
        <v>269</v>
      </c>
      <c r="P71" s="100" t="s">
        <v>267</v>
      </c>
      <c r="Q71" s="100" t="s">
        <v>269</v>
      </c>
      <c r="R71" s="100">
        <v>92</v>
      </c>
      <c r="S71" s="120">
        <v>10000000</v>
      </c>
      <c r="T71" s="120">
        <v>0</v>
      </c>
      <c r="U71" s="100" t="s">
        <v>267</v>
      </c>
      <c r="V71" s="100">
        <v>0.37545000000000001</v>
      </c>
      <c r="W71" s="120">
        <v>7919.86</v>
      </c>
      <c r="X71" s="100">
        <v>1.0011129999999999</v>
      </c>
      <c r="Y71" s="120">
        <v>7928.67</v>
      </c>
      <c r="AA71" s="135">
        <f t="shared" si="1"/>
        <v>1.3712874079999999</v>
      </c>
      <c r="AB71" s="145"/>
    </row>
    <row r="72" spans="1:28" x14ac:dyDescent="0.25">
      <c r="A72" s="100" t="s">
        <v>271</v>
      </c>
      <c r="B72" s="100" t="s">
        <v>269</v>
      </c>
      <c r="C72" s="100" t="s">
        <v>271</v>
      </c>
      <c r="D72" s="100">
        <v>94</v>
      </c>
      <c r="E72" s="100" t="s">
        <v>272</v>
      </c>
      <c r="F72" s="100">
        <v>0.72924</v>
      </c>
      <c r="G72" s="120">
        <v>-13712874.08</v>
      </c>
      <c r="H72" s="120">
        <v>30685.49</v>
      </c>
      <c r="I72" s="100" t="s">
        <v>272</v>
      </c>
      <c r="J72" s="100">
        <v>1.11802</v>
      </c>
      <c r="K72" s="120">
        <v>-9346.16</v>
      </c>
      <c r="L72" s="100">
        <v>0.90332800000000002</v>
      </c>
      <c r="M72" s="120">
        <v>-8442.65</v>
      </c>
      <c r="O72" s="100" t="s">
        <v>271</v>
      </c>
      <c r="P72" s="100" t="s">
        <v>269</v>
      </c>
      <c r="Q72" s="100" t="s">
        <v>271</v>
      </c>
      <c r="R72" s="100">
        <v>94</v>
      </c>
      <c r="S72" s="120">
        <v>10000000</v>
      </c>
      <c r="T72" s="120">
        <v>0</v>
      </c>
      <c r="U72" s="100" t="s">
        <v>269</v>
      </c>
      <c r="V72" s="100">
        <v>0.37685000000000002</v>
      </c>
      <c r="W72" s="120">
        <v>8128.09</v>
      </c>
      <c r="X72" s="100">
        <v>1.0012479999999999</v>
      </c>
      <c r="Y72" s="120">
        <v>8138.24</v>
      </c>
      <c r="AA72" s="135">
        <f t="shared" si="1"/>
        <v>1.3743559570000001</v>
      </c>
      <c r="AB72" s="145"/>
    </row>
    <row r="73" spans="1:28" x14ac:dyDescent="0.25">
      <c r="A73" s="100" t="s">
        <v>273</v>
      </c>
      <c r="B73" s="100" t="s">
        <v>271</v>
      </c>
      <c r="C73" s="100" t="s">
        <v>273</v>
      </c>
      <c r="D73" s="100">
        <v>88</v>
      </c>
      <c r="E73" s="100" t="s">
        <v>274</v>
      </c>
      <c r="F73" s="100">
        <v>0.72760999999999998</v>
      </c>
      <c r="G73" s="120">
        <v>-13743559.57</v>
      </c>
      <c r="H73" s="120">
        <v>31081.68</v>
      </c>
      <c r="I73" s="100" t="s">
        <v>274</v>
      </c>
      <c r="J73" s="100">
        <v>1.1244400000000001</v>
      </c>
      <c r="K73" s="120">
        <v>-6694.35</v>
      </c>
      <c r="L73" s="100">
        <v>0.90147600000000006</v>
      </c>
      <c r="M73" s="120">
        <v>-6034.8</v>
      </c>
      <c r="O73" s="100" t="s">
        <v>273</v>
      </c>
      <c r="P73" s="100" t="s">
        <v>271</v>
      </c>
      <c r="Q73" s="100" t="s">
        <v>273</v>
      </c>
      <c r="R73" s="100">
        <v>88</v>
      </c>
      <c r="S73" s="120">
        <v>10000000</v>
      </c>
      <c r="T73" s="120">
        <v>0</v>
      </c>
      <c r="U73" s="100" t="s">
        <v>271</v>
      </c>
      <c r="V73" s="100">
        <v>0.37819999999999998</v>
      </c>
      <c r="W73" s="120">
        <v>7641.84</v>
      </c>
      <c r="X73" s="100">
        <v>1.001382</v>
      </c>
      <c r="Y73" s="120">
        <v>7652.4</v>
      </c>
      <c r="AA73" s="135">
        <f t="shared" si="1"/>
        <v>1.3774641249999999</v>
      </c>
      <c r="AB73" s="145"/>
    </row>
    <row r="74" spans="1:28" x14ac:dyDescent="0.25">
      <c r="A74" s="100" t="s">
        <v>275</v>
      </c>
      <c r="B74" s="100" t="s">
        <v>273</v>
      </c>
      <c r="C74" s="100" t="s">
        <v>275</v>
      </c>
      <c r="D74" s="100">
        <v>91</v>
      </c>
      <c r="E74" s="100" t="s">
        <v>276</v>
      </c>
      <c r="F74" s="100">
        <v>0.72597</v>
      </c>
      <c r="G74" s="120">
        <v>-13774641.25</v>
      </c>
      <c r="H74" s="120">
        <v>31481.57</v>
      </c>
      <c r="I74" s="100" t="s">
        <v>276</v>
      </c>
      <c r="J74" s="100">
        <v>1.1308499999999999</v>
      </c>
      <c r="K74" s="120">
        <v>-7893.74</v>
      </c>
      <c r="L74" s="100">
        <v>0.89955099999999999</v>
      </c>
      <c r="M74" s="120">
        <v>-7100.82</v>
      </c>
      <c r="O74" s="100" t="s">
        <v>275</v>
      </c>
      <c r="P74" s="100" t="s">
        <v>273</v>
      </c>
      <c r="Q74" s="100" t="s">
        <v>275</v>
      </c>
      <c r="R74" s="100">
        <v>91</v>
      </c>
      <c r="S74" s="120">
        <v>10000000</v>
      </c>
      <c r="T74" s="120">
        <v>0</v>
      </c>
      <c r="U74" s="100" t="s">
        <v>273</v>
      </c>
      <c r="V74" s="100">
        <v>0.37953999999999999</v>
      </c>
      <c r="W74" s="120">
        <v>7935.8</v>
      </c>
      <c r="X74" s="100">
        <v>1.0015270000000001</v>
      </c>
      <c r="Y74" s="120">
        <v>7947.92</v>
      </c>
      <c r="AA74" s="135">
        <f t="shared" si="1"/>
        <v>1.380612282</v>
      </c>
      <c r="AB74" s="145"/>
    </row>
    <row r="75" spans="1:28" x14ac:dyDescent="0.25">
      <c r="A75" s="100" t="s">
        <v>277</v>
      </c>
      <c r="B75" s="100" t="s">
        <v>275</v>
      </c>
      <c r="C75" s="100" t="s">
        <v>277</v>
      </c>
      <c r="D75" s="100">
        <v>94</v>
      </c>
      <c r="E75" s="100" t="s">
        <v>278</v>
      </c>
      <c r="F75" s="100">
        <v>0.72431999999999996</v>
      </c>
      <c r="G75" s="120">
        <v>-13806122.82</v>
      </c>
      <c r="H75" s="120">
        <v>32237.87</v>
      </c>
      <c r="I75" s="100" t="s">
        <v>278</v>
      </c>
      <c r="J75" s="100">
        <v>1.13741</v>
      </c>
      <c r="K75" s="120">
        <v>-8764.86</v>
      </c>
      <c r="L75" s="100">
        <v>0.89755099999999999</v>
      </c>
      <c r="M75" s="120">
        <v>-7866.91</v>
      </c>
      <c r="O75" s="100" t="s">
        <v>277</v>
      </c>
      <c r="P75" s="100" t="s">
        <v>275</v>
      </c>
      <c r="Q75" s="100" t="s">
        <v>277</v>
      </c>
      <c r="R75" s="100">
        <v>94</v>
      </c>
      <c r="S75" s="120">
        <v>10000000</v>
      </c>
      <c r="T75" s="120">
        <v>0</v>
      </c>
      <c r="U75" s="100" t="s">
        <v>275</v>
      </c>
      <c r="V75" s="100">
        <v>0.38092999999999999</v>
      </c>
      <c r="W75" s="120">
        <v>8233.02</v>
      </c>
      <c r="X75" s="100">
        <v>1.0016849999999999</v>
      </c>
      <c r="Y75" s="120">
        <v>8246.89</v>
      </c>
      <c r="AA75" s="135">
        <f t="shared" si="1"/>
        <v>1.383836069</v>
      </c>
      <c r="AB75" s="145"/>
    </row>
    <row r="76" spans="1:28" x14ac:dyDescent="0.25">
      <c r="A76" s="100" t="s">
        <v>279</v>
      </c>
      <c r="B76" s="100" t="s">
        <v>277</v>
      </c>
      <c r="C76" s="100" t="s">
        <v>279</v>
      </c>
      <c r="D76" s="100">
        <v>92</v>
      </c>
      <c r="E76" s="100" t="s">
        <v>280</v>
      </c>
      <c r="F76" s="100">
        <v>0.72262999999999999</v>
      </c>
      <c r="G76" s="120">
        <v>-13838360.689999999</v>
      </c>
      <c r="H76" s="120">
        <v>32297.23</v>
      </c>
      <c r="I76" s="100" t="s">
        <v>280</v>
      </c>
      <c r="J76" s="100">
        <v>1.14384</v>
      </c>
      <c r="K76" s="120">
        <v>-8154.42</v>
      </c>
      <c r="L76" s="100">
        <v>0.89558199999999999</v>
      </c>
      <c r="M76" s="120">
        <v>-7302.96</v>
      </c>
      <c r="O76" s="100" t="s">
        <v>279</v>
      </c>
      <c r="P76" s="100" t="s">
        <v>277</v>
      </c>
      <c r="Q76" s="100" t="s">
        <v>279</v>
      </c>
      <c r="R76" s="100">
        <v>92</v>
      </c>
      <c r="S76" s="120">
        <v>10000000</v>
      </c>
      <c r="T76" s="120">
        <v>0</v>
      </c>
      <c r="U76" s="100" t="s">
        <v>277</v>
      </c>
      <c r="V76" s="100">
        <v>0.38229999999999997</v>
      </c>
      <c r="W76" s="120">
        <v>8092.51</v>
      </c>
      <c r="X76" s="100">
        <v>1.0018480000000001</v>
      </c>
      <c r="Y76" s="120">
        <v>8107.47</v>
      </c>
      <c r="AA76" s="135">
        <f t="shared" si="1"/>
        <v>1.387065792</v>
      </c>
      <c r="AB76" s="145"/>
    </row>
    <row r="77" spans="1:28" x14ac:dyDescent="0.25">
      <c r="A77" s="100" t="s">
        <v>281</v>
      </c>
      <c r="B77" s="100" t="s">
        <v>279</v>
      </c>
      <c r="C77" s="100" t="s">
        <v>281</v>
      </c>
      <c r="D77" s="100">
        <v>90</v>
      </c>
      <c r="E77" s="100" t="s">
        <v>282</v>
      </c>
      <c r="F77" s="100">
        <v>0.72094999999999998</v>
      </c>
      <c r="G77" s="120">
        <v>-13870657.92</v>
      </c>
      <c r="H77" s="120">
        <v>32708.71</v>
      </c>
      <c r="I77" s="100" t="s">
        <v>282</v>
      </c>
      <c r="J77" s="100">
        <v>1.1500699999999999</v>
      </c>
      <c r="K77" s="120">
        <v>-7172.01</v>
      </c>
      <c r="L77" s="100">
        <v>0.89364699999999997</v>
      </c>
      <c r="M77" s="120">
        <v>-6409.24</v>
      </c>
      <c r="O77" s="100" t="s">
        <v>281</v>
      </c>
      <c r="P77" s="100" t="s">
        <v>279</v>
      </c>
      <c r="Q77" s="100" t="s">
        <v>281</v>
      </c>
      <c r="R77" s="100">
        <v>90</v>
      </c>
      <c r="S77" s="120">
        <v>10000000</v>
      </c>
      <c r="T77" s="120">
        <v>0</v>
      </c>
      <c r="U77" s="100" t="s">
        <v>279</v>
      </c>
      <c r="V77" s="100">
        <v>0.38363999999999998</v>
      </c>
      <c r="W77" s="120">
        <v>7949.66</v>
      </c>
      <c r="X77" s="100">
        <v>1.0020150000000001</v>
      </c>
      <c r="Y77" s="120">
        <v>7965.68</v>
      </c>
      <c r="AA77" s="135">
        <f t="shared" si="1"/>
        <v>1.390336663</v>
      </c>
      <c r="AB77" s="145"/>
    </row>
    <row r="78" spans="1:28" x14ac:dyDescent="0.25">
      <c r="A78" s="100" t="s">
        <v>284</v>
      </c>
      <c r="B78" s="100" t="s">
        <v>281</v>
      </c>
      <c r="C78" s="100" t="s">
        <v>284</v>
      </c>
      <c r="D78" s="100">
        <v>92</v>
      </c>
      <c r="E78" s="100" t="s">
        <v>285</v>
      </c>
      <c r="F78" s="100">
        <v>0.71924999999999994</v>
      </c>
      <c r="G78" s="120">
        <v>-13903366.630000001</v>
      </c>
      <c r="H78" s="120">
        <v>33124.18</v>
      </c>
      <c r="I78" s="100" t="s">
        <v>285</v>
      </c>
      <c r="J78" s="100">
        <v>1.15632</v>
      </c>
      <c r="K78" s="120">
        <v>-7960.64</v>
      </c>
      <c r="L78" s="100">
        <v>0.89165799999999995</v>
      </c>
      <c r="M78" s="120">
        <v>-7098.17</v>
      </c>
      <c r="O78" s="100" t="s">
        <v>284</v>
      </c>
      <c r="P78" s="100" t="s">
        <v>281</v>
      </c>
      <c r="Q78" s="100" t="s">
        <v>284</v>
      </c>
      <c r="R78" s="100">
        <v>92</v>
      </c>
      <c r="S78" s="120">
        <v>10000000</v>
      </c>
      <c r="T78" s="120">
        <v>0</v>
      </c>
      <c r="U78" s="100" t="s">
        <v>281</v>
      </c>
      <c r="V78" s="100">
        <v>0.38499</v>
      </c>
      <c r="W78" s="120">
        <v>8160.23</v>
      </c>
      <c r="X78" s="100">
        <v>1.0021949999999999</v>
      </c>
      <c r="Y78" s="120">
        <v>8178.14</v>
      </c>
      <c r="AA78" s="135">
        <f t="shared" si="1"/>
        <v>1.393649081</v>
      </c>
      <c r="AB78" s="145"/>
    </row>
    <row r="79" spans="1:28" x14ac:dyDescent="0.25">
      <c r="A79" s="100" t="s">
        <v>286</v>
      </c>
      <c r="B79" s="100" t="s">
        <v>284</v>
      </c>
      <c r="C79" s="100" t="s">
        <v>286</v>
      </c>
      <c r="D79" s="100">
        <v>90</v>
      </c>
      <c r="E79" s="100" t="s">
        <v>287</v>
      </c>
      <c r="F79" s="100">
        <v>0.71753999999999996</v>
      </c>
      <c r="G79" s="120">
        <v>-13936490.810000001</v>
      </c>
      <c r="H79" s="120">
        <v>33543.75</v>
      </c>
      <c r="I79" s="100" t="s">
        <v>288</v>
      </c>
      <c r="J79" s="100">
        <v>1.16242</v>
      </c>
      <c r="K79" s="120">
        <v>-6956.32</v>
      </c>
      <c r="L79" s="100">
        <v>0.88970300000000002</v>
      </c>
      <c r="M79" s="120">
        <v>-6189.06</v>
      </c>
      <c r="O79" s="100" t="s">
        <v>286</v>
      </c>
      <c r="P79" s="100" t="s">
        <v>284</v>
      </c>
      <c r="Q79" s="100" t="s">
        <v>286</v>
      </c>
      <c r="R79" s="100">
        <v>90</v>
      </c>
      <c r="S79" s="120">
        <v>10000000</v>
      </c>
      <c r="T79" s="120">
        <v>0</v>
      </c>
      <c r="U79" s="100" t="s">
        <v>284</v>
      </c>
      <c r="V79" s="100">
        <v>0.38632</v>
      </c>
      <c r="W79" s="120">
        <v>8015.7</v>
      </c>
      <c r="X79" s="100">
        <v>1.0023789999999999</v>
      </c>
      <c r="Y79" s="120">
        <v>8034.77</v>
      </c>
      <c r="AA79" s="135">
        <f t="shared" si="1"/>
        <v>1.397003456</v>
      </c>
      <c r="AB79" s="145"/>
    </row>
    <row r="80" spans="1:28" x14ac:dyDescent="0.25">
      <c r="A80" s="100" t="s">
        <v>289</v>
      </c>
      <c r="B80" s="100" t="s">
        <v>286</v>
      </c>
      <c r="C80" s="100" t="s">
        <v>289</v>
      </c>
      <c r="D80" s="100">
        <v>92</v>
      </c>
      <c r="E80" s="100" t="s">
        <v>290</v>
      </c>
      <c r="F80" s="100">
        <v>0.71582000000000001</v>
      </c>
      <c r="G80" s="120">
        <v>-13970034.560000001</v>
      </c>
      <c r="H80" s="120">
        <v>33967.480000000003</v>
      </c>
      <c r="I80" s="100" t="s">
        <v>290</v>
      </c>
      <c r="J80" s="100">
        <v>1.1685300000000001</v>
      </c>
      <c r="K80" s="120">
        <v>-7750.52</v>
      </c>
      <c r="L80" s="100">
        <v>0.88769500000000001</v>
      </c>
      <c r="M80" s="120">
        <v>-6880.1</v>
      </c>
      <c r="O80" s="100" t="s">
        <v>289</v>
      </c>
      <c r="P80" s="100" t="s">
        <v>286</v>
      </c>
      <c r="Q80" s="100" t="s">
        <v>289</v>
      </c>
      <c r="R80" s="100">
        <v>92</v>
      </c>
      <c r="S80" s="120">
        <v>10000000</v>
      </c>
      <c r="T80" s="120">
        <v>0</v>
      </c>
      <c r="U80" s="100" t="s">
        <v>286</v>
      </c>
      <c r="V80" s="100">
        <v>0.38766</v>
      </c>
      <c r="W80" s="120">
        <v>8227.52</v>
      </c>
      <c r="X80" s="100">
        <v>1.0025759999999999</v>
      </c>
      <c r="Y80" s="120">
        <v>8248.7199999999993</v>
      </c>
      <c r="AA80" s="135">
        <f t="shared" si="1"/>
        <v>1.400400203</v>
      </c>
      <c r="AB80" s="145"/>
    </row>
    <row r="81" spans="1:28" x14ac:dyDescent="0.25">
      <c r="A81" s="100" t="s">
        <v>291</v>
      </c>
      <c r="B81" s="100" t="s">
        <v>289</v>
      </c>
      <c r="C81" s="100" t="s">
        <v>291</v>
      </c>
      <c r="D81" s="100">
        <v>91</v>
      </c>
      <c r="E81" s="100" t="s">
        <v>292</v>
      </c>
      <c r="F81" s="100">
        <v>0.71408000000000005</v>
      </c>
      <c r="G81" s="120">
        <v>-14004002.029999999</v>
      </c>
      <c r="H81" s="120">
        <v>34015.14</v>
      </c>
      <c r="I81" s="100" t="s">
        <v>292</v>
      </c>
      <c r="J81" s="100">
        <v>1.17456</v>
      </c>
      <c r="K81" s="120">
        <v>-7563.07</v>
      </c>
      <c r="L81" s="100">
        <v>0.88569900000000001</v>
      </c>
      <c r="M81" s="120">
        <v>-6698.61</v>
      </c>
      <c r="O81" s="100" t="s">
        <v>291</v>
      </c>
      <c r="P81" s="100" t="s">
        <v>289</v>
      </c>
      <c r="Q81" s="100" t="s">
        <v>291</v>
      </c>
      <c r="R81" s="100">
        <v>91</v>
      </c>
      <c r="S81" s="120">
        <v>10000000</v>
      </c>
      <c r="T81" s="120">
        <v>0</v>
      </c>
      <c r="U81" s="100" t="s">
        <v>289</v>
      </c>
      <c r="V81" s="100">
        <v>0.38899</v>
      </c>
      <c r="W81" s="120">
        <v>8171.34</v>
      </c>
      <c r="X81" s="100">
        <v>1.00278</v>
      </c>
      <c r="Y81" s="120">
        <v>8194.06</v>
      </c>
      <c r="AA81" s="135">
        <f t="shared" si="1"/>
        <v>1.403801718</v>
      </c>
      <c r="AB81" s="145"/>
    </row>
    <row r="82" spans="1:28" x14ac:dyDescent="0.25">
      <c r="A82" s="100" t="s">
        <v>294</v>
      </c>
      <c r="B82" s="100" t="s">
        <v>291</v>
      </c>
      <c r="C82" s="100" t="s">
        <v>294</v>
      </c>
      <c r="D82" s="100">
        <v>90</v>
      </c>
      <c r="E82" s="100" t="s">
        <v>295</v>
      </c>
      <c r="F82" s="100">
        <v>0.71235000000000004</v>
      </c>
      <c r="G82" s="120">
        <v>-14038017.18</v>
      </c>
      <c r="H82" s="120">
        <v>35208.089999999997</v>
      </c>
      <c r="I82" s="100" t="s">
        <v>295</v>
      </c>
      <c r="J82" s="100">
        <v>1.1804600000000001</v>
      </c>
      <c r="K82" s="120">
        <v>-6220.07</v>
      </c>
      <c r="L82" s="100">
        <v>0.88371599999999995</v>
      </c>
      <c r="M82" s="120">
        <v>-5496.78</v>
      </c>
      <c r="O82" s="100" t="s">
        <v>294</v>
      </c>
      <c r="P82" s="100" t="s">
        <v>291</v>
      </c>
      <c r="Q82" s="100" t="s">
        <v>294</v>
      </c>
      <c r="R82" s="100">
        <v>90</v>
      </c>
      <c r="S82" s="120">
        <v>10000000</v>
      </c>
      <c r="T82" s="120">
        <v>0</v>
      </c>
      <c r="U82" s="100" t="s">
        <v>291</v>
      </c>
      <c r="V82" s="100">
        <v>0.38746999999999998</v>
      </c>
      <c r="W82" s="120">
        <v>8043.93</v>
      </c>
      <c r="X82" s="100">
        <v>1.002991</v>
      </c>
      <c r="Y82" s="120">
        <v>8068</v>
      </c>
      <c r="AA82" s="135">
        <f t="shared" si="1"/>
        <v>1.407322526</v>
      </c>
      <c r="AB82" s="145"/>
    </row>
    <row r="83" spans="1:28" x14ac:dyDescent="0.25">
      <c r="A83" s="100" t="s">
        <v>296</v>
      </c>
      <c r="B83" s="100" t="s">
        <v>294</v>
      </c>
      <c r="C83" s="100" t="s">
        <v>296</v>
      </c>
      <c r="D83" s="100">
        <v>92</v>
      </c>
      <c r="E83" s="100" t="s">
        <v>297</v>
      </c>
      <c r="F83" s="100">
        <v>0.71057000000000003</v>
      </c>
      <c r="G83" s="120">
        <v>-14073225.26</v>
      </c>
      <c r="H83" s="120">
        <v>25841.52</v>
      </c>
      <c r="I83" s="100" t="s">
        <v>297</v>
      </c>
      <c r="J83" s="100">
        <v>0.98872000000000004</v>
      </c>
      <c r="K83" s="120">
        <v>-9717.69</v>
      </c>
      <c r="L83" s="100">
        <v>0.88209599999999999</v>
      </c>
      <c r="M83" s="120">
        <v>-8571.94</v>
      </c>
      <c r="O83" s="100" t="s">
        <v>296</v>
      </c>
      <c r="P83" s="100" t="s">
        <v>294</v>
      </c>
      <c r="Q83" s="100" t="s">
        <v>296</v>
      </c>
      <c r="R83" s="100">
        <v>92</v>
      </c>
      <c r="S83" s="120">
        <v>10000000</v>
      </c>
      <c r="T83" s="120">
        <v>0</v>
      </c>
      <c r="U83" s="100" t="s">
        <v>294</v>
      </c>
      <c r="V83" s="100">
        <v>0.30538999999999999</v>
      </c>
      <c r="W83" s="120">
        <v>6154.04</v>
      </c>
      <c r="X83" s="100">
        <v>1.002961</v>
      </c>
      <c r="Y83" s="120">
        <v>6172.26</v>
      </c>
      <c r="AA83" s="135">
        <f t="shared" si="1"/>
        <v>1.409906678</v>
      </c>
      <c r="AB83" s="145"/>
    </row>
    <row r="84" spans="1:28" x14ac:dyDescent="0.25">
      <c r="A84" s="100" t="s">
        <v>298</v>
      </c>
      <c r="B84" s="100" t="s">
        <v>296</v>
      </c>
      <c r="C84" s="100" t="s">
        <v>298</v>
      </c>
      <c r="D84" s="100">
        <v>92</v>
      </c>
      <c r="E84" s="100" t="s">
        <v>299</v>
      </c>
      <c r="F84" s="100">
        <v>0.70926999999999996</v>
      </c>
      <c r="G84" s="120">
        <v>-14099066.779999999</v>
      </c>
      <c r="H84" s="120">
        <v>25249.46</v>
      </c>
      <c r="I84" s="100" t="s">
        <v>299</v>
      </c>
      <c r="J84" s="100">
        <v>0.99080000000000001</v>
      </c>
      <c r="K84" s="120">
        <v>-10450.030000000001</v>
      </c>
      <c r="L84" s="100">
        <v>0.88048899999999997</v>
      </c>
      <c r="M84" s="120">
        <v>-9201.14</v>
      </c>
      <c r="O84" s="100" t="s">
        <v>298</v>
      </c>
      <c r="P84" s="100" t="s">
        <v>296</v>
      </c>
      <c r="Q84" s="100" t="s">
        <v>298</v>
      </c>
      <c r="R84" s="100">
        <v>92</v>
      </c>
      <c r="S84" s="120">
        <v>10000000</v>
      </c>
      <c r="T84" s="120">
        <v>0</v>
      </c>
      <c r="U84" s="100" t="s">
        <v>296</v>
      </c>
      <c r="V84" s="100">
        <v>0.30473</v>
      </c>
      <c r="W84" s="120">
        <v>6137.41</v>
      </c>
      <c r="X84" s="100">
        <v>1.0029459999999999</v>
      </c>
      <c r="Y84" s="120">
        <v>6155.48</v>
      </c>
      <c r="AA84" s="135">
        <f t="shared" si="1"/>
        <v>1.412431625</v>
      </c>
      <c r="AB84" s="145"/>
    </row>
    <row r="85" spans="1:28" x14ac:dyDescent="0.25">
      <c r="A85" s="100" t="s">
        <v>300</v>
      </c>
      <c r="B85" s="100" t="s">
        <v>298</v>
      </c>
      <c r="C85" s="100" t="s">
        <v>300</v>
      </c>
      <c r="D85" s="100">
        <v>90</v>
      </c>
      <c r="E85" s="100" t="s">
        <v>301</v>
      </c>
      <c r="F85" s="100">
        <v>0.70799999999999996</v>
      </c>
      <c r="G85" s="120">
        <v>-14124316.25</v>
      </c>
      <c r="H85" s="120">
        <v>25372.6</v>
      </c>
      <c r="I85" s="100" t="s">
        <v>301</v>
      </c>
      <c r="J85" s="100">
        <v>0.99280999999999997</v>
      </c>
      <c r="K85" s="120">
        <v>-9684.33</v>
      </c>
      <c r="L85" s="100">
        <v>0.87891399999999997</v>
      </c>
      <c r="M85" s="120">
        <v>-8511.69</v>
      </c>
      <c r="O85" s="100" t="s">
        <v>300</v>
      </c>
      <c r="P85" s="100" t="s">
        <v>298</v>
      </c>
      <c r="Q85" s="100" t="s">
        <v>300</v>
      </c>
      <c r="R85" s="100">
        <v>90</v>
      </c>
      <c r="S85" s="120">
        <v>10000000</v>
      </c>
      <c r="T85" s="120">
        <v>0</v>
      </c>
      <c r="U85" s="100" t="s">
        <v>298</v>
      </c>
      <c r="V85" s="100">
        <v>0.30408000000000002</v>
      </c>
      <c r="W85" s="120">
        <v>5987.86</v>
      </c>
      <c r="X85" s="100">
        <v>1.002931</v>
      </c>
      <c r="Y85" s="120">
        <v>6005.41</v>
      </c>
      <c r="AA85" s="135">
        <f t="shared" si="1"/>
        <v>1.414968885</v>
      </c>
      <c r="AB85" s="145"/>
    </row>
    <row r="86" spans="1:28" x14ac:dyDescent="0.25">
      <c r="A86" s="100" t="s">
        <v>302</v>
      </c>
      <c r="B86" s="100" t="s">
        <v>300</v>
      </c>
      <c r="C86" s="100" t="s">
        <v>302</v>
      </c>
      <c r="D86" s="100">
        <v>91</v>
      </c>
      <c r="E86" s="100" t="s">
        <v>303</v>
      </c>
      <c r="F86" s="100">
        <v>0.70672999999999997</v>
      </c>
      <c r="G86" s="120">
        <v>-14149688.85</v>
      </c>
      <c r="H86" s="120">
        <v>25496.48</v>
      </c>
      <c r="I86" s="100" t="s">
        <v>303</v>
      </c>
      <c r="J86" s="100">
        <v>0.99482999999999999</v>
      </c>
      <c r="K86" s="120">
        <v>-10085.82</v>
      </c>
      <c r="L86" s="100">
        <v>0.87732100000000002</v>
      </c>
      <c r="M86" s="120">
        <v>-8848.5</v>
      </c>
      <c r="O86" s="100" t="s">
        <v>302</v>
      </c>
      <c r="P86" s="100" t="s">
        <v>300</v>
      </c>
      <c r="Q86" s="100" t="s">
        <v>302</v>
      </c>
      <c r="R86" s="100">
        <v>91</v>
      </c>
      <c r="S86" s="120">
        <v>10000000</v>
      </c>
      <c r="T86" s="120">
        <v>0</v>
      </c>
      <c r="U86" s="100" t="s">
        <v>300</v>
      </c>
      <c r="V86" s="100">
        <v>0.30343999999999999</v>
      </c>
      <c r="W86" s="120">
        <v>6038.3</v>
      </c>
      <c r="X86" s="100">
        <v>1.0029170000000001</v>
      </c>
      <c r="Y86" s="120">
        <v>6055.91</v>
      </c>
      <c r="AA86" s="135">
        <f t="shared" si="1"/>
        <v>1.417518533</v>
      </c>
      <c r="AB86" s="145"/>
    </row>
    <row r="87" spans="1:28" x14ac:dyDescent="0.25">
      <c r="A87" s="100" t="s">
        <v>304</v>
      </c>
      <c r="B87" s="100" t="s">
        <v>302</v>
      </c>
      <c r="C87" s="100" t="s">
        <v>304</v>
      </c>
      <c r="D87" s="100">
        <v>92</v>
      </c>
      <c r="E87" s="100" t="s">
        <v>305</v>
      </c>
      <c r="F87" s="100">
        <v>0.70545999999999998</v>
      </c>
      <c r="G87" s="120">
        <v>-14175185.33</v>
      </c>
      <c r="H87" s="120">
        <v>26467.91</v>
      </c>
      <c r="I87" s="100" t="s">
        <v>305</v>
      </c>
      <c r="J87" s="100">
        <v>0.99685000000000001</v>
      </c>
      <c r="K87" s="120">
        <v>-9643.3700000000008</v>
      </c>
      <c r="L87" s="100">
        <v>0.87570800000000004</v>
      </c>
      <c r="M87" s="120">
        <v>-8444.77</v>
      </c>
      <c r="O87" s="100" t="s">
        <v>304</v>
      </c>
      <c r="P87" s="100" t="s">
        <v>302</v>
      </c>
      <c r="Q87" s="100" t="s">
        <v>304</v>
      </c>
      <c r="R87" s="100">
        <v>92</v>
      </c>
      <c r="S87" s="120">
        <v>10000000</v>
      </c>
      <c r="T87" s="120">
        <v>0</v>
      </c>
      <c r="U87" s="100" t="s">
        <v>302</v>
      </c>
      <c r="V87" s="100">
        <v>0.30277999999999999</v>
      </c>
      <c r="W87" s="120">
        <v>6088.24</v>
      </c>
      <c r="X87" s="100">
        <v>1.002902</v>
      </c>
      <c r="Y87" s="120">
        <v>6105.91</v>
      </c>
      <c r="AA87" s="135">
        <f t="shared" si="1"/>
        <v>1.4201653240000001</v>
      </c>
      <c r="AB87" s="145"/>
    </row>
    <row r="88" spans="1:28" x14ac:dyDescent="0.25">
      <c r="A88" s="100" t="s">
        <v>306</v>
      </c>
      <c r="B88" s="100" t="s">
        <v>304</v>
      </c>
      <c r="C88" s="100" t="s">
        <v>306</v>
      </c>
      <c r="D88" s="100">
        <v>92</v>
      </c>
      <c r="E88" s="100" t="s">
        <v>307</v>
      </c>
      <c r="F88" s="100">
        <v>0.70413999999999999</v>
      </c>
      <c r="G88" s="120">
        <v>-14201653.24</v>
      </c>
      <c r="H88" s="120">
        <v>25750.67</v>
      </c>
      <c r="I88" s="100" t="s">
        <v>307</v>
      </c>
      <c r="J88" s="100">
        <v>0.99883999999999995</v>
      </c>
      <c r="K88" s="120">
        <v>-10500.42</v>
      </c>
      <c r="L88" s="100">
        <v>0.87409300000000001</v>
      </c>
      <c r="M88" s="120">
        <v>-9178.34</v>
      </c>
      <c r="O88" s="100" t="s">
        <v>306</v>
      </c>
      <c r="P88" s="100" t="s">
        <v>304</v>
      </c>
      <c r="Q88" s="100" t="s">
        <v>306</v>
      </c>
      <c r="R88" s="100">
        <v>92</v>
      </c>
      <c r="S88" s="120">
        <v>10000000</v>
      </c>
      <c r="T88" s="120">
        <v>0</v>
      </c>
      <c r="U88" s="100" t="s">
        <v>304</v>
      </c>
      <c r="V88" s="100">
        <v>0.30213000000000001</v>
      </c>
      <c r="W88" s="120">
        <v>6071.73</v>
      </c>
      <c r="X88" s="100">
        <v>1.002888</v>
      </c>
      <c r="Y88" s="120">
        <v>6089.27</v>
      </c>
      <c r="AA88" s="135">
        <f t="shared" si="1"/>
        <v>1.42274039</v>
      </c>
      <c r="AB88" s="145"/>
    </row>
    <row r="89" spans="1:28" x14ac:dyDescent="0.25">
      <c r="A89" s="100" t="s">
        <v>308</v>
      </c>
      <c r="B89" s="100" t="s">
        <v>306</v>
      </c>
      <c r="C89" s="100" t="s">
        <v>308</v>
      </c>
      <c r="D89" s="100">
        <v>90</v>
      </c>
      <c r="E89" s="100" t="s">
        <v>309</v>
      </c>
      <c r="F89" s="100">
        <v>0.70286999999999999</v>
      </c>
      <c r="G89" s="120">
        <v>-14227403.9</v>
      </c>
      <c r="H89" s="120">
        <v>25876.86</v>
      </c>
      <c r="I89" s="100" t="s">
        <v>309</v>
      </c>
      <c r="J89" s="100">
        <v>1.0007699999999999</v>
      </c>
      <c r="K89" s="120">
        <v>-9718.89</v>
      </c>
      <c r="L89" s="100">
        <v>0.87251199999999995</v>
      </c>
      <c r="M89" s="120">
        <v>-8479.84</v>
      </c>
      <c r="O89" s="100" t="s">
        <v>308</v>
      </c>
      <c r="P89" s="100" t="s">
        <v>306</v>
      </c>
      <c r="Q89" s="100" t="s">
        <v>308</v>
      </c>
      <c r="R89" s="100">
        <v>90</v>
      </c>
      <c r="S89" s="120">
        <v>10000000</v>
      </c>
      <c r="T89" s="120">
        <v>0</v>
      </c>
      <c r="U89" s="100" t="s">
        <v>306</v>
      </c>
      <c r="V89" s="100">
        <v>0.30148000000000003</v>
      </c>
      <c r="W89" s="120">
        <v>5923.74</v>
      </c>
      <c r="X89" s="100">
        <v>1.002875</v>
      </c>
      <c r="Y89" s="120">
        <v>5940.77</v>
      </c>
      <c r="AA89" s="135">
        <f t="shared" si="1"/>
        <v>1.425328076</v>
      </c>
      <c r="AB89" s="145"/>
    </row>
    <row r="90" spans="1:28" x14ac:dyDescent="0.25">
      <c r="A90" s="100" t="s">
        <v>310</v>
      </c>
      <c r="B90" s="100" t="s">
        <v>308</v>
      </c>
      <c r="C90" s="100" t="s">
        <v>310</v>
      </c>
      <c r="D90" s="100">
        <v>91</v>
      </c>
      <c r="E90" s="100" t="s">
        <v>311</v>
      </c>
      <c r="F90" s="100">
        <v>0.70159000000000005</v>
      </c>
      <c r="G90" s="120">
        <v>-14253280.76</v>
      </c>
      <c r="H90" s="120">
        <v>26003.82</v>
      </c>
      <c r="I90" s="100" t="s">
        <v>311</v>
      </c>
      <c r="J90" s="100">
        <v>1.0026999999999999</v>
      </c>
      <c r="K90" s="120">
        <v>-10122.56</v>
      </c>
      <c r="L90" s="100">
        <v>0.87091099999999999</v>
      </c>
      <c r="M90" s="120">
        <v>-8815.85</v>
      </c>
      <c r="O90" s="100" t="s">
        <v>310</v>
      </c>
      <c r="P90" s="100" t="s">
        <v>308</v>
      </c>
      <c r="Q90" s="100" t="s">
        <v>310</v>
      </c>
      <c r="R90" s="100">
        <v>91</v>
      </c>
      <c r="S90" s="120">
        <v>10000000</v>
      </c>
      <c r="T90" s="120">
        <v>0</v>
      </c>
      <c r="U90" s="100" t="s">
        <v>308</v>
      </c>
      <c r="V90" s="100">
        <v>0.30084</v>
      </c>
      <c r="W90" s="120">
        <v>5973.59</v>
      </c>
      <c r="X90" s="100">
        <v>1.0028619999999999</v>
      </c>
      <c r="Y90" s="120">
        <v>5990.69</v>
      </c>
      <c r="AA90" s="135">
        <f t="shared" si="1"/>
        <v>1.427928458</v>
      </c>
      <c r="AB90" s="145"/>
    </row>
    <row r="91" spans="1:28" x14ac:dyDescent="0.25">
      <c r="A91" s="100" t="s">
        <v>312</v>
      </c>
      <c r="B91" s="100" t="s">
        <v>310</v>
      </c>
      <c r="C91" s="100" t="s">
        <v>312</v>
      </c>
      <c r="D91" s="100">
        <v>92</v>
      </c>
      <c r="E91" s="100" t="s">
        <v>313</v>
      </c>
      <c r="F91" s="100">
        <v>0.70032000000000005</v>
      </c>
      <c r="G91" s="120">
        <v>-14279284.58</v>
      </c>
      <c r="H91" s="120">
        <v>26419.439999999999</v>
      </c>
      <c r="I91" s="100" t="s">
        <v>313</v>
      </c>
      <c r="J91" s="100">
        <v>1.0046299999999999</v>
      </c>
      <c r="K91" s="120">
        <v>-10241.129999999999</v>
      </c>
      <c r="L91" s="100">
        <v>0.86929199999999995</v>
      </c>
      <c r="M91" s="120">
        <v>-8902.5300000000007</v>
      </c>
      <c r="O91" s="100" t="s">
        <v>312</v>
      </c>
      <c r="P91" s="100" t="s">
        <v>310</v>
      </c>
      <c r="Q91" s="100" t="s">
        <v>312</v>
      </c>
      <c r="R91" s="100">
        <v>92</v>
      </c>
      <c r="S91" s="120">
        <v>10000000</v>
      </c>
      <c r="T91" s="120">
        <v>0</v>
      </c>
      <c r="U91" s="100" t="s">
        <v>310</v>
      </c>
      <c r="V91" s="100">
        <v>0.30019000000000001</v>
      </c>
      <c r="W91" s="120">
        <v>6022.95</v>
      </c>
      <c r="X91" s="100">
        <v>1.0028490000000001</v>
      </c>
      <c r="Y91" s="120">
        <v>6040.11</v>
      </c>
      <c r="AA91" s="135">
        <f t="shared" si="1"/>
        <v>1.4305704019999999</v>
      </c>
      <c r="AB91" s="145"/>
    </row>
    <row r="92" spans="1:28" x14ac:dyDescent="0.25">
      <c r="A92" s="100" t="s">
        <v>314</v>
      </c>
      <c r="B92" s="100" t="s">
        <v>312</v>
      </c>
      <c r="C92" s="100" t="s">
        <v>314</v>
      </c>
      <c r="D92" s="100">
        <v>92</v>
      </c>
      <c r="E92" s="100" t="s">
        <v>315</v>
      </c>
      <c r="F92" s="100">
        <v>0.69901999999999997</v>
      </c>
      <c r="G92" s="120">
        <v>-14305704.02</v>
      </c>
      <c r="H92" s="120">
        <v>26261.52</v>
      </c>
      <c r="I92" s="100" t="s">
        <v>315</v>
      </c>
      <c r="J92" s="100">
        <v>1.00654</v>
      </c>
      <c r="K92" s="120">
        <v>-10536.68</v>
      </c>
      <c r="L92" s="100">
        <v>0.86767099999999997</v>
      </c>
      <c r="M92" s="120">
        <v>-9142.3700000000008</v>
      </c>
      <c r="O92" s="100" t="s">
        <v>314</v>
      </c>
      <c r="P92" s="100" t="s">
        <v>312</v>
      </c>
      <c r="Q92" s="100" t="s">
        <v>314</v>
      </c>
      <c r="R92" s="100">
        <v>92</v>
      </c>
      <c r="S92" s="120">
        <v>10000000</v>
      </c>
      <c r="T92" s="120">
        <v>0</v>
      </c>
      <c r="U92" s="100" t="s">
        <v>312</v>
      </c>
      <c r="V92" s="100">
        <v>0.29953999999999997</v>
      </c>
      <c r="W92" s="120">
        <v>6006.58</v>
      </c>
      <c r="X92" s="100">
        <v>1.002837</v>
      </c>
      <c r="Y92" s="120">
        <v>6023.62</v>
      </c>
      <c r="AA92" s="135">
        <f t="shared" si="1"/>
        <v>1.433196554</v>
      </c>
      <c r="AB92" s="145"/>
    </row>
    <row r="93" spans="1:28" x14ac:dyDescent="0.25">
      <c r="A93" s="100" t="s">
        <v>316</v>
      </c>
      <c r="B93" s="100" t="s">
        <v>314</v>
      </c>
      <c r="C93" s="100" t="s">
        <v>316</v>
      </c>
      <c r="D93" s="100">
        <v>90</v>
      </c>
      <c r="E93" s="100" t="s">
        <v>317</v>
      </c>
      <c r="F93" s="100">
        <v>0.69774000000000003</v>
      </c>
      <c r="G93" s="120">
        <v>-14331965.539999999</v>
      </c>
      <c r="H93" s="120">
        <v>26390.86</v>
      </c>
      <c r="I93" s="100" t="s">
        <v>317</v>
      </c>
      <c r="J93" s="100">
        <v>1.0083800000000001</v>
      </c>
      <c r="K93" s="120">
        <v>-9739.36</v>
      </c>
      <c r="L93" s="100">
        <v>0.86608300000000005</v>
      </c>
      <c r="M93" s="120">
        <v>-8435.1</v>
      </c>
      <c r="O93" s="100" t="s">
        <v>316</v>
      </c>
      <c r="P93" s="100" t="s">
        <v>314</v>
      </c>
      <c r="Q93" s="100" t="s">
        <v>316</v>
      </c>
      <c r="R93" s="100">
        <v>90</v>
      </c>
      <c r="S93" s="120">
        <v>10000000</v>
      </c>
      <c r="T93" s="120">
        <v>0</v>
      </c>
      <c r="U93" s="100" t="s">
        <v>314</v>
      </c>
      <c r="V93" s="100">
        <v>0.2989</v>
      </c>
      <c r="W93" s="120">
        <v>5860.13</v>
      </c>
      <c r="X93" s="100">
        <v>1.0028250000000001</v>
      </c>
      <c r="Y93" s="120">
        <v>5876.69</v>
      </c>
      <c r="AA93" s="135">
        <f t="shared" si="1"/>
        <v>1.4358356400000001</v>
      </c>
      <c r="AB93" s="145"/>
    </row>
    <row r="94" spans="1:28" x14ac:dyDescent="0.25">
      <c r="A94" s="100" t="s">
        <v>318</v>
      </c>
      <c r="B94" s="100" t="s">
        <v>316</v>
      </c>
      <c r="C94" s="100" t="s">
        <v>318</v>
      </c>
      <c r="D94" s="100">
        <v>91</v>
      </c>
      <c r="E94" s="100" t="s">
        <v>319</v>
      </c>
      <c r="F94" s="100">
        <v>0.69645999999999997</v>
      </c>
      <c r="G94" s="120">
        <v>-14358356.4</v>
      </c>
      <c r="H94" s="120">
        <v>26521</v>
      </c>
      <c r="I94" s="100" t="s">
        <v>319</v>
      </c>
      <c r="J94" s="100">
        <v>1.01023</v>
      </c>
      <c r="K94" s="120">
        <v>-10145.1</v>
      </c>
      <c r="L94" s="100">
        <v>0.86447700000000005</v>
      </c>
      <c r="M94" s="120">
        <v>-8770.2099999999991</v>
      </c>
      <c r="O94" s="100" t="s">
        <v>318</v>
      </c>
      <c r="P94" s="100" t="s">
        <v>316</v>
      </c>
      <c r="Q94" s="100" t="s">
        <v>318</v>
      </c>
      <c r="R94" s="100">
        <v>91</v>
      </c>
      <c r="S94" s="120">
        <v>10000000</v>
      </c>
      <c r="T94" s="120">
        <v>0</v>
      </c>
      <c r="U94" s="100" t="s">
        <v>316</v>
      </c>
      <c r="V94" s="100">
        <v>0.29826999999999998</v>
      </c>
      <c r="W94" s="120">
        <v>5909.41</v>
      </c>
      <c r="X94" s="100">
        <v>1.002815</v>
      </c>
      <c r="Y94" s="120">
        <v>5926.04</v>
      </c>
      <c r="AA94" s="135">
        <f t="shared" si="1"/>
        <v>1.43848774</v>
      </c>
      <c r="AB94" s="145"/>
    </row>
    <row r="95" spans="1:28" x14ac:dyDescent="0.25">
      <c r="A95" s="100" t="s">
        <v>320</v>
      </c>
      <c r="B95" s="100" t="s">
        <v>318</v>
      </c>
      <c r="C95" s="100" t="s">
        <v>320</v>
      </c>
      <c r="D95" s="100">
        <v>92</v>
      </c>
      <c r="E95" s="100" t="s">
        <v>321</v>
      </c>
      <c r="F95" s="100">
        <v>0.69516999999999995</v>
      </c>
      <c r="G95" s="120">
        <v>-14384877.4</v>
      </c>
      <c r="H95" s="120">
        <v>26945.56</v>
      </c>
      <c r="I95" s="100" t="s">
        <v>321</v>
      </c>
      <c r="J95" s="100">
        <v>1.0120800000000001</v>
      </c>
      <c r="K95" s="120">
        <v>-10259.950000000001</v>
      </c>
      <c r="L95" s="100">
        <v>0.86285199999999995</v>
      </c>
      <c r="M95" s="120">
        <v>-8852.82</v>
      </c>
      <c r="O95" s="100" t="s">
        <v>320</v>
      </c>
      <c r="P95" s="100" t="s">
        <v>318</v>
      </c>
      <c r="Q95" s="100" t="s">
        <v>320</v>
      </c>
      <c r="R95" s="100">
        <v>92</v>
      </c>
      <c r="S95" s="120">
        <v>10000000</v>
      </c>
      <c r="T95" s="120">
        <v>0</v>
      </c>
      <c r="U95" s="100" t="s">
        <v>318</v>
      </c>
      <c r="V95" s="100">
        <v>0.29762</v>
      </c>
      <c r="W95" s="120">
        <v>5958.19</v>
      </c>
      <c r="X95" s="100">
        <v>1.002804</v>
      </c>
      <c r="Y95" s="120">
        <v>5974.9</v>
      </c>
      <c r="AA95" s="135">
        <f t="shared" si="1"/>
        <v>1.441182296</v>
      </c>
      <c r="AB95" s="145"/>
    </row>
    <row r="96" spans="1:28" x14ac:dyDescent="0.25">
      <c r="A96" s="100" t="s">
        <v>322</v>
      </c>
      <c r="B96" s="100" t="s">
        <v>320</v>
      </c>
      <c r="C96" s="100" t="s">
        <v>322</v>
      </c>
      <c r="D96" s="100">
        <v>94</v>
      </c>
      <c r="E96" s="100" t="s">
        <v>323</v>
      </c>
      <c r="F96" s="100">
        <v>0.69386999999999999</v>
      </c>
      <c r="G96" s="120">
        <v>-14411822.960000001</v>
      </c>
      <c r="H96" s="120">
        <v>26785.18</v>
      </c>
      <c r="I96" s="100" t="s">
        <v>323</v>
      </c>
      <c r="J96" s="100">
        <v>1.01396</v>
      </c>
      <c r="K96" s="120">
        <v>-11370.86</v>
      </c>
      <c r="L96" s="100">
        <v>0.86119000000000001</v>
      </c>
      <c r="M96" s="120">
        <v>-9792.4699999999993</v>
      </c>
      <c r="O96" s="100" t="s">
        <v>322</v>
      </c>
      <c r="P96" s="100" t="s">
        <v>320</v>
      </c>
      <c r="Q96" s="100" t="s">
        <v>322</v>
      </c>
      <c r="R96" s="100">
        <v>94</v>
      </c>
      <c r="S96" s="120">
        <v>10000000</v>
      </c>
      <c r="T96" s="120">
        <v>0</v>
      </c>
      <c r="U96" s="100" t="s">
        <v>320</v>
      </c>
      <c r="V96" s="100">
        <v>0.29698000000000002</v>
      </c>
      <c r="W96" s="120">
        <v>6071</v>
      </c>
      <c r="X96" s="100">
        <v>1.002794</v>
      </c>
      <c r="Y96" s="120">
        <v>6087.96</v>
      </c>
      <c r="AA96" s="135">
        <f t="shared" si="1"/>
        <v>1.443860814</v>
      </c>
      <c r="AB96" s="145"/>
    </row>
    <row r="97" spans="1:28" x14ac:dyDescent="0.25">
      <c r="A97" s="100" t="s">
        <v>324</v>
      </c>
      <c r="B97" s="100" t="s">
        <v>322</v>
      </c>
      <c r="C97" s="100" t="s">
        <v>324</v>
      </c>
      <c r="D97" s="100">
        <v>91</v>
      </c>
      <c r="E97" s="100" t="s">
        <v>325</v>
      </c>
      <c r="F97" s="100">
        <v>0.69259000000000004</v>
      </c>
      <c r="G97" s="120">
        <v>-14438608.140000001</v>
      </c>
      <c r="H97" s="120">
        <v>27214.32</v>
      </c>
      <c r="I97" s="100" t="s">
        <v>325</v>
      </c>
      <c r="J97" s="100">
        <v>1.01573</v>
      </c>
      <c r="K97" s="120">
        <v>-9857.26</v>
      </c>
      <c r="L97" s="100">
        <v>0.85958000000000001</v>
      </c>
      <c r="M97" s="120">
        <v>-8473.1</v>
      </c>
      <c r="O97" s="100" t="s">
        <v>324</v>
      </c>
      <c r="P97" s="100" t="s">
        <v>322</v>
      </c>
      <c r="Q97" s="100" t="s">
        <v>324</v>
      </c>
      <c r="R97" s="100">
        <v>91</v>
      </c>
      <c r="S97" s="120">
        <v>10000000</v>
      </c>
      <c r="T97" s="120">
        <v>0</v>
      </c>
      <c r="U97" s="100" t="s">
        <v>322</v>
      </c>
      <c r="V97" s="100">
        <v>0.29632999999999998</v>
      </c>
      <c r="W97" s="120">
        <v>5861.03</v>
      </c>
      <c r="X97" s="100">
        <v>1.002786</v>
      </c>
      <c r="Y97" s="120">
        <v>5877.36</v>
      </c>
      <c r="AA97" s="135">
        <f t="shared" si="1"/>
        <v>1.4465822460000002</v>
      </c>
      <c r="AB97" s="145"/>
    </row>
    <row r="98" spans="1:28" x14ac:dyDescent="0.25">
      <c r="A98" s="100" t="s">
        <v>326</v>
      </c>
      <c r="B98" s="100" t="s">
        <v>324</v>
      </c>
      <c r="C98" s="100" t="s">
        <v>326</v>
      </c>
      <c r="D98" s="100">
        <v>92</v>
      </c>
      <c r="E98" s="100" t="s">
        <v>327</v>
      </c>
      <c r="F98" s="100">
        <v>0.69128000000000001</v>
      </c>
      <c r="G98" s="120">
        <v>-14465822.460000001</v>
      </c>
      <c r="H98" s="120">
        <v>27052.69</v>
      </c>
      <c r="I98" s="100" t="s">
        <v>327</v>
      </c>
      <c r="J98" s="100">
        <v>1.0175099999999999</v>
      </c>
      <c r="K98" s="120">
        <v>-10563.01</v>
      </c>
      <c r="L98" s="100">
        <v>0.85795100000000002</v>
      </c>
      <c r="M98" s="120">
        <v>-9062.5400000000009</v>
      </c>
      <c r="O98" s="100" t="s">
        <v>326</v>
      </c>
      <c r="P98" s="100" t="s">
        <v>324</v>
      </c>
      <c r="Q98" s="100" t="s">
        <v>326</v>
      </c>
      <c r="R98" s="100">
        <v>92</v>
      </c>
      <c r="S98" s="120">
        <v>10000000</v>
      </c>
      <c r="T98" s="120">
        <v>0</v>
      </c>
      <c r="U98" s="100" t="s">
        <v>324</v>
      </c>
      <c r="V98" s="100">
        <v>0.29569000000000001</v>
      </c>
      <c r="W98" s="120">
        <v>5909.38</v>
      </c>
      <c r="X98" s="100">
        <v>1.0027779999999999</v>
      </c>
      <c r="Y98" s="120">
        <v>5925.79</v>
      </c>
      <c r="AA98" s="135">
        <f t="shared" si="1"/>
        <v>1.449287515</v>
      </c>
      <c r="AB98" s="145"/>
    </row>
    <row r="99" spans="1:28" x14ac:dyDescent="0.25">
      <c r="A99" s="100" t="s">
        <v>328</v>
      </c>
      <c r="B99" s="100" t="s">
        <v>326</v>
      </c>
      <c r="C99" s="100" t="s">
        <v>328</v>
      </c>
      <c r="D99" s="100">
        <v>90</v>
      </c>
      <c r="E99" s="100" t="s">
        <v>329</v>
      </c>
      <c r="F99" s="100">
        <v>0.68998999999999999</v>
      </c>
      <c r="G99" s="120">
        <v>-14492875.15</v>
      </c>
      <c r="H99" s="120">
        <v>27186.98</v>
      </c>
      <c r="I99" s="100" t="s">
        <v>330</v>
      </c>
      <c r="J99" s="100">
        <v>1.0192300000000001</v>
      </c>
      <c r="K99" s="120">
        <v>-9741.93</v>
      </c>
      <c r="L99" s="100">
        <v>0.85635600000000001</v>
      </c>
      <c r="M99" s="120">
        <v>-8342.56</v>
      </c>
      <c r="O99" s="100" t="s">
        <v>328</v>
      </c>
      <c r="P99" s="100" t="s">
        <v>326</v>
      </c>
      <c r="Q99" s="100" t="s">
        <v>328</v>
      </c>
      <c r="R99" s="100">
        <v>90</v>
      </c>
      <c r="S99" s="120">
        <v>10000000</v>
      </c>
      <c r="T99" s="120">
        <v>0</v>
      </c>
      <c r="U99" s="100" t="s">
        <v>326</v>
      </c>
      <c r="V99" s="100">
        <v>0.29504999999999998</v>
      </c>
      <c r="W99" s="120">
        <v>5765.23</v>
      </c>
      <c r="X99" s="100">
        <v>1.0027710000000001</v>
      </c>
      <c r="Y99" s="120">
        <v>5781.21</v>
      </c>
      <c r="AA99" s="135">
        <f t="shared" si="1"/>
        <v>1.452006213</v>
      </c>
      <c r="AB99" s="145"/>
    </row>
    <row r="100" spans="1:28" x14ac:dyDescent="0.25">
      <c r="A100" s="100" t="s">
        <v>331</v>
      </c>
      <c r="B100" s="100" t="s">
        <v>328</v>
      </c>
      <c r="C100" s="100" t="s">
        <v>331</v>
      </c>
      <c r="D100" s="100">
        <v>92</v>
      </c>
      <c r="E100" s="100" t="s">
        <v>332</v>
      </c>
      <c r="F100" s="100">
        <v>0.68869999999999998</v>
      </c>
      <c r="G100" s="120">
        <v>-14520062.130000001</v>
      </c>
      <c r="H100" s="120">
        <v>27322.12</v>
      </c>
      <c r="I100" s="100" t="s">
        <v>332</v>
      </c>
      <c r="J100" s="100">
        <v>1.02098</v>
      </c>
      <c r="K100" s="120">
        <v>-10563.28</v>
      </c>
      <c r="L100" s="100">
        <v>0.85472400000000004</v>
      </c>
      <c r="M100" s="120">
        <v>-9028.69</v>
      </c>
      <c r="O100" s="100" t="s">
        <v>331</v>
      </c>
      <c r="P100" s="100" t="s">
        <v>328</v>
      </c>
      <c r="Q100" s="100" t="s">
        <v>331</v>
      </c>
      <c r="R100" s="100">
        <v>92</v>
      </c>
      <c r="S100" s="120">
        <v>10000000</v>
      </c>
      <c r="T100" s="120">
        <v>0</v>
      </c>
      <c r="U100" s="100" t="s">
        <v>328</v>
      </c>
      <c r="V100" s="100">
        <v>0.29442000000000002</v>
      </c>
      <c r="W100" s="120">
        <v>5877.47</v>
      </c>
      <c r="X100" s="100">
        <v>1.0027649999999999</v>
      </c>
      <c r="Y100" s="120">
        <v>5893.72</v>
      </c>
      <c r="AA100" s="135">
        <f t="shared" si="1"/>
        <v>1.454738426</v>
      </c>
      <c r="AB100" s="145"/>
    </row>
    <row r="101" spans="1:28" x14ac:dyDescent="0.25">
      <c r="A101" s="100" t="s">
        <v>333</v>
      </c>
      <c r="B101" s="100" t="s">
        <v>331</v>
      </c>
      <c r="C101" s="100" t="s">
        <v>333</v>
      </c>
      <c r="D101" s="100">
        <v>90</v>
      </c>
      <c r="E101" s="100" t="s">
        <v>334</v>
      </c>
      <c r="F101" s="100">
        <v>0.68740999999999997</v>
      </c>
      <c r="G101" s="120">
        <v>-14547384.26</v>
      </c>
      <c r="H101" s="120">
        <v>27458.12</v>
      </c>
      <c r="I101" s="100" t="s">
        <v>334</v>
      </c>
      <c r="J101" s="100">
        <v>1.0226599999999999</v>
      </c>
      <c r="K101" s="120">
        <v>-9734.32</v>
      </c>
      <c r="L101" s="100">
        <v>0.85312699999999997</v>
      </c>
      <c r="M101" s="120">
        <v>-8304.61</v>
      </c>
      <c r="O101" s="100" t="s">
        <v>333</v>
      </c>
      <c r="P101" s="100" t="s">
        <v>331</v>
      </c>
      <c r="Q101" s="100" t="s">
        <v>333</v>
      </c>
      <c r="R101" s="100">
        <v>90</v>
      </c>
      <c r="S101" s="120">
        <v>10000000</v>
      </c>
      <c r="T101" s="120">
        <v>0</v>
      </c>
      <c r="U101" s="100" t="s">
        <v>331</v>
      </c>
      <c r="V101" s="100">
        <v>0.29379</v>
      </c>
      <c r="W101" s="120">
        <v>5734.07</v>
      </c>
      <c r="X101" s="100">
        <v>1.0027600000000001</v>
      </c>
      <c r="Y101" s="120">
        <v>5749.9</v>
      </c>
      <c r="AA101" s="135">
        <f t="shared" si="1"/>
        <v>1.4574842369999998</v>
      </c>
      <c r="AB101" s="145"/>
    </row>
    <row r="102" spans="1:28" x14ac:dyDescent="0.25">
      <c r="A102" s="100" t="s">
        <v>336</v>
      </c>
      <c r="B102" s="100" t="s">
        <v>333</v>
      </c>
      <c r="C102" s="100" t="s">
        <v>336</v>
      </c>
      <c r="D102" s="100">
        <v>91</v>
      </c>
      <c r="E102" s="100" t="s">
        <v>337</v>
      </c>
      <c r="F102" s="100">
        <v>0.68611</v>
      </c>
      <c r="G102" s="120">
        <v>-14574842.369999999</v>
      </c>
      <c r="H102" s="120">
        <v>27594.98</v>
      </c>
      <c r="I102" s="100" t="s">
        <v>337</v>
      </c>
      <c r="J102" s="100">
        <v>1.0243500000000001</v>
      </c>
      <c r="K102" s="120">
        <v>-10143.91</v>
      </c>
      <c r="L102" s="100">
        <v>0.85151100000000002</v>
      </c>
      <c r="M102" s="120">
        <v>-8637.66</v>
      </c>
      <c r="O102" s="100" t="s">
        <v>336</v>
      </c>
      <c r="P102" s="100" t="s">
        <v>333</v>
      </c>
      <c r="Q102" s="100" t="s">
        <v>336</v>
      </c>
      <c r="R102" s="100">
        <v>91</v>
      </c>
      <c r="S102" s="120">
        <v>10000000</v>
      </c>
      <c r="T102" s="120">
        <v>0</v>
      </c>
      <c r="U102" s="100" t="s">
        <v>333</v>
      </c>
      <c r="V102" s="100">
        <v>0.29177999999999998</v>
      </c>
      <c r="W102" s="120">
        <v>5747.66</v>
      </c>
      <c r="X102" s="100">
        <v>1.002756</v>
      </c>
      <c r="Y102" s="120">
        <v>5763.5</v>
      </c>
      <c r="AA102" s="135">
        <f t="shared" si="1"/>
        <v>1.4602437349999999</v>
      </c>
      <c r="AB102" s="145"/>
    </row>
    <row r="103" spans="1:28" x14ac:dyDescent="0.25">
      <c r="A103" s="100" t="s">
        <v>338</v>
      </c>
      <c r="B103" s="100" t="s">
        <v>336</v>
      </c>
      <c r="C103" s="100" t="s">
        <v>338</v>
      </c>
      <c r="D103" s="100">
        <v>91</v>
      </c>
      <c r="E103" s="100" t="s">
        <v>339</v>
      </c>
      <c r="F103" s="100">
        <v>0.68481999999999998</v>
      </c>
      <c r="G103" s="120">
        <v>-14602437.35</v>
      </c>
      <c r="H103" s="120">
        <v>27732.71</v>
      </c>
      <c r="I103" s="100" t="s">
        <v>339</v>
      </c>
      <c r="J103" s="100">
        <v>0.95454000000000006</v>
      </c>
      <c r="K103" s="120">
        <v>-7501.05</v>
      </c>
      <c r="L103" s="100">
        <v>0.85006999999999999</v>
      </c>
      <c r="M103" s="120">
        <v>-6376.42</v>
      </c>
      <c r="O103" s="100" t="s">
        <v>338</v>
      </c>
      <c r="P103" s="100" t="s">
        <v>336</v>
      </c>
      <c r="Q103" s="100" t="s">
        <v>338</v>
      </c>
      <c r="R103" s="100">
        <v>91</v>
      </c>
      <c r="S103" s="120">
        <v>10000000</v>
      </c>
      <c r="T103" s="120">
        <v>0</v>
      </c>
      <c r="U103" s="100" t="s">
        <v>336</v>
      </c>
      <c r="V103" s="100">
        <v>0.25011</v>
      </c>
      <c r="W103" s="120">
        <v>4708.82</v>
      </c>
      <c r="X103" s="100">
        <v>1.0029600000000001</v>
      </c>
      <c r="Y103" s="120">
        <v>4722.76</v>
      </c>
      <c r="AA103" s="135">
        <f t="shared" si="1"/>
        <v>1.4630170060000001</v>
      </c>
      <c r="AB103" s="145"/>
    </row>
    <row r="104" spans="1:28" x14ac:dyDescent="0.25">
      <c r="A104" s="100" t="s">
        <v>340</v>
      </c>
      <c r="B104" s="100" t="s">
        <v>338</v>
      </c>
      <c r="C104" s="100" t="s">
        <v>340</v>
      </c>
      <c r="D104" s="100">
        <v>92</v>
      </c>
      <c r="E104" s="100" t="s">
        <v>341</v>
      </c>
      <c r="F104" s="100">
        <v>0.68352000000000002</v>
      </c>
      <c r="G104" s="120">
        <v>-14630170.060000001</v>
      </c>
      <c r="H104" s="120">
        <v>27871.32</v>
      </c>
      <c r="I104" s="100" t="s">
        <v>341</v>
      </c>
      <c r="J104" s="100">
        <v>0.95515000000000005</v>
      </c>
      <c r="K104" s="120">
        <v>-7840.09</v>
      </c>
      <c r="L104" s="100">
        <v>0.84862000000000004</v>
      </c>
      <c r="M104" s="120">
        <v>-6653.26</v>
      </c>
      <c r="O104" s="100" t="s">
        <v>340</v>
      </c>
      <c r="P104" s="100" t="s">
        <v>338</v>
      </c>
      <c r="Q104" s="100" t="s">
        <v>340</v>
      </c>
      <c r="R104" s="100">
        <v>92</v>
      </c>
      <c r="S104" s="120">
        <v>10000000</v>
      </c>
      <c r="T104" s="120">
        <v>0</v>
      </c>
      <c r="U104" s="100" t="s">
        <v>338</v>
      </c>
      <c r="V104" s="100">
        <v>0.2487</v>
      </c>
      <c r="W104" s="120">
        <v>4724.9399999999996</v>
      </c>
      <c r="X104" s="100">
        <v>1.0031779999999999</v>
      </c>
      <c r="Y104" s="120">
        <v>4739.96</v>
      </c>
      <c r="AA104" s="135">
        <f t="shared" si="1"/>
        <v>1.465804138</v>
      </c>
      <c r="AB104" s="145"/>
    </row>
    <row r="105" spans="1:28" x14ac:dyDescent="0.25">
      <c r="A105" s="100" t="s">
        <v>342</v>
      </c>
      <c r="B105" s="100" t="s">
        <v>340</v>
      </c>
      <c r="C105" s="100" t="s">
        <v>342</v>
      </c>
      <c r="D105" s="100">
        <v>90</v>
      </c>
      <c r="E105" s="100" t="s">
        <v>343</v>
      </c>
      <c r="F105" s="100">
        <v>0.68222000000000005</v>
      </c>
      <c r="G105" s="120">
        <v>-14658041.380000001</v>
      </c>
      <c r="H105" s="120">
        <v>28010.83</v>
      </c>
      <c r="I105" s="100" t="s">
        <v>343</v>
      </c>
      <c r="J105" s="100">
        <v>0.95570999999999995</v>
      </c>
      <c r="K105" s="120">
        <v>-7011.29</v>
      </c>
      <c r="L105" s="100">
        <v>0.84720300000000004</v>
      </c>
      <c r="M105" s="120">
        <v>-5939.99</v>
      </c>
      <c r="O105" s="100" t="s">
        <v>342</v>
      </c>
      <c r="P105" s="100" t="s">
        <v>340</v>
      </c>
      <c r="Q105" s="100" t="s">
        <v>342</v>
      </c>
      <c r="R105" s="100">
        <v>90</v>
      </c>
      <c r="S105" s="120">
        <v>10000000</v>
      </c>
      <c r="T105" s="120">
        <v>0</v>
      </c>
      <c r="U105" s="100" t="s">
        <v>340</v>
      </c>
      <c r="V105" s="100">
        <v>0.24729000000000001</v>
      </c>
      <c r="W105" s="120">
        <v>4587.57</v>
      </c>
      <c r="X105" s="100">
        <v>1.003396</v>
      </c>
      <c r="Y105" s="120">
        <v>4603.1499999999996</v>
      </c>
      <c r="AA105" s="135">
        <f t="shared" si="1"/>
        <v>1.468605221</v>
      </c>
      <c r="AB105" s="145"/>
    </row>
    <row r="106" spans="1:28" x14ac:dyDescent="0.25">
      <c r="A106" s="100" t="s">
        <v>344</v>
      </c>
      <c r="B106" s="100" t="s">
        <v>342</v>
      </c>
      <c r="C106" s="100" t="s">
        <v>344</v>
      </c>
      <c r="D106" s="100">
        <v>91</v>
      </c>
      <c r="E106" s="100" t="s">
        <v>345</v>
      </c>
      <c r="F106" s="100">
        <v>0.68091999999999997</v>
      </c>
      <c r="G106" s="120">
        <v>-14686052.210000001</v>
      </c>
      <c r="H106" s="120">
        <v>28151.23</v>
      </c>
      <c r="I106" s="100" t="s">
        <v>345</v>
      </c>
      <c r="J106" s="100">
        <v>0.95630000000000004</v>
      </c>
      <c r="K106" s="120">
        <v>-7349.38</v>
      </c>
      <c r="L106" s="100">
        <v>0.84577199999999997</v>
      </c>
      <c r="M106" s="120">
        <v>-6215.9</v>
      </c>
      <c r="O106" s="100" t="s">
        <v>344</v>
      </c>
      <c r="P106" s="100" t="s">
        <v>342</v>
      </c>
      <c r="Q106" s="100" t="s">
        <v>344</v>
      </c>
      <c r="R106" s="100">
        <v>91</v>
      </c>
      <c r="S106" s="120">
        <v>10000000</v>
      </c>
      <c r="T106" s="120">
        <v>0</v>
      </c>
      <c r="U106" s="100" t="s">
        <v>342</v>
      </c>
      <c r="V106" s="100">
        <v>0.24590000000000001</v>
      </c>
      <c r="W106" s="120">
        <v>4603.8100000000004</v>
      </c>
      <c r="X106" s="100">
        <v>1.0036210000000001</v>
      </c>
      <c r="Y106" s="120">
        <v>4620.4799999999996</v>
      </c>
      <c r="AA106" s="135">
        <f t="shared" si="1"/>
        <v>1.471420344</v>
      </c>
      <c r="AB106" s="145"/>
    </row>
    <row r="107" spans="1:28" x14ac:dyDescent="0.25">
      <c r="A107" s="100" t="s">
        <v>346</v>
      </c>
      <c r="B107" s="100" t="s">
        <v>344</v>
      </c>
      <c r="C107" s="100" t="s">
        <v>346</v>
      </c>
      <c r="D107" s="100">
        <v>92</v>
      </c>
      <c r="E107" s="100" t="s">
        <v>347</v>
      </c>
      <c r="F107" s="100">
        <v>0.67962</v>
      </c>
      <c r="G107" s="120">
        <v>-14714203.439999999</v>
      </c>
      <c r="H107" s="120">
        <v>28604.23</v>
      </c>
      <c r="I107" s="100" t="s">
        <v>347</v>
      </c>
      <c r="J107" s="100">
        <v>0.95687999999999995</v>
      </c>
      <c r="K107" s="120">
        <v>-7377.14</v>
      </c>
      <c r="L107" s="100">
        <v>0.84432600000000002</v>
      </c>
      <c r="M107" s="120">
        <v>-6228.71</v>
      </c>
      <c r="O107" s="100" t="s">
        <v>346</v>
      </c>
      <c r="P107" s="100" t="s">
        <v>344</v>
      </c>
      <c r="Q107" s="100" t="s">
        <v>346</v>
      </c>
      <c r="R107" s="100">
        <v>92</v>
      </c>
      <c r="S107" s="120">
        <v>10000000</v>
      </c>
      <c r="T107" s="120">
        <v>0</v>
      </c>
      <c r="U107" s="100" t="s">
        <v>344</v>
      </c>
      <c r="V107" s="100">
        <v>0.24449000000000001</v>
      </c>
      <c r="W107" s="120">
        <v>4618.97</v>
      </c>
      <c r="X107" s="100">
        <v>1.0038530000000001</v>
      </c>
      <c r="Y107" s="120">
        <v>4636.7700000000004</v>
      </c>
      <c r="AA107" s="135">
        <f t="shared" si="1"/>
        <v>1.474280767</v>
      </c>
      <c r="AB107" s="145"/>
    </row>
    <row r="108" spans="1:28" x14ac:dyDescent="0.25">
      <c r="A108" s="100" t="s">
        <v>348</v>
      </c>
      <c r="B108" s="100" t="s">
        <v>346</v>
      </c>
      <c r="C108" s="100" t="s">
        <v>348</v>
      </c>
      <c r="D108" s="100">
        <v>92</v>
      </c>
      <c r="E108" s="100" t="s">
        <v>349</v>
      </c>
      <c r="F108" s="100">
        <v>0.67830000000000001</v>
      </c>
      <c r="G108" s="120">
        <v>-14742807.67</v>
      </c>
      <c r="H108" s="120">
        <v>28436.33</v>
      </c>
      <c r="I108" s="100" t="s">
        <v>349</v>
      </c>
      <c r="J108" s="100">
        <v>0.95743999999999996</v>
      </c>
      <c r="K108" s="120">
        <v>-7636.14</v>
      </c>
      <c r="L108" s="100">
        <v>0.84288099999999999</v>
      </c>
      <c r="M108" s="120">
        <v>-6436.36</v>
      </c>
      <c r="O108" s="100" t="s">
        <v>348</v>
      </c>
      <c r="P108" s="100" t="s">
        <v>346</v>
      </c>
      <c r="Q108" s="100" t="s">
        <v>348</v>
      </c>
      <c r="R108" s="100">
        <v>92</v>
      </c>
      <c r="S108" s="120">
        <v>10000000</v>
      </c>
      <c r="T108" s="120">
        <v>0</v>
      </c>
      <c r="U108" s="100" t="s">
        <v>346</v>
      </c>
      <c r="V108" s="100">
        <v>0.24307999999999999</v>
      </c>
      <c r="W108" s="120">
        <v>4583.3900000000003</v>
      </c>
      <c r="X108" s="100">
        <v>1.0040899999999999</v>
      </c>
      <c r="Y108" s="120">
        <v>4602.13</v>
      </c>
      <c r="AA108" s="135">
        <f t="shared" si="1"/>
        <v>1.4771243999999999</v>
      </c>
      <c r="AB108" s="145"/>
    </row>
    <row r="109" spans="1:28" x14ac:dyDescent="0.25">
      <c r="A109" s="100" t="s">
        <v>350</v>
      </c>
      <c r="B109" s="100" t="s">
        <v>348</v>
      </c>
      <c r="C109" s="100" t="s">
        <v>350</v>
      </c>
      <c r="D109" s="100">
        <v>90</v>
      </c>
      <c r="E109" s="100" t="s">
        <v>351</v>
      </c>
      <c r="F109" s="100">
        <v>0.67698999999999998</v>
      </c>
      <c r="G109" s="120">
        <v>-14771244</v>
      </c>
      <c r="H109" s="120">
        <v>28579.48</v>
      </c>
      <c r="I109" s="100" t="s">
        <v>351</v>
      </c>
      <c r="J109" s="100">
        <v>0.95796000000000003</v>
      </c>
      <c r="K109" s="120">
        <v>-6796.08</v>
      </c>
      <c r="L109" s="100">
        <v>0.84147000000000005</v>
      </c>
      <c r="M109" s="120">
        <v>-5718.7</v>
      </c>
      <c r="O109" s="100" t="s">
        <v>350</v>
      </c>
      <c r="P109" s="100" t="s">
        <v>348</v>
      </c>
      <c r="Q109" s="100" t="s">
        <v>350</v>
      </c>
      <c r="R109" s="100">
        <v>90</v>
      </c>
      <c r="S109" s="120">
        <v>10000000</v>
      </c>
      <c r="T109" s="120">
        <v>0</v>
      </c>
      <c r="U109" s="100" t="s">
        <v>348</v>
      </c>
      <c r="V109" s="100">
        <v>0.24168000000000001</v>
      </c>
      <c r="W109" s="120">
        <v>4449.34</v>
      </c>
      <c r="X109" s="100">
        <v>1.004327</v>
      </c>
      <c r="Y109" s="120">
        <v>4468.59</v>
      </c>
      <c r="AA109" s="135">
        <f t="shared" si="1"/>
        <v>1.4799823480000001</v>
      </c>
      <c r="AB109" s="145"/>
    </row>
    <row r="110" spans="1:28" x14ac:dyDescent="0.25">
      <c r="A110" s="100" t="s">
        <v>352</v>
      </c>
      <c r="B110" s="100" t="s">
        <v>350</v>
      </c>
      <c r="C110" s="100" t="s">
        <v>352</v>
      </c>
      <c r="D110" s="100">
        <v>91</v>
      </c>
      <c r="E110" s="100" t="s">
        <v>353</v>
      </c>
      <c r="F110" s="100">
        <v>0.67567999999999995</v>
      </c>
      <c r="G110" s="120">
        <v>-14799823.48</v>
      </c>
      <c r="H110" s="120">
        <v>28723.57</v>
      </c>
      <c r="I110" s="100" t="s">
        <v>353</v>
      </c>
      <c r="J110" s="100">
        <v>0.95850000000000002</v>
      </c>
      <c r="K110" s="120">
        <v>-7134.68</v>
      </c>
      <c r="L110" s="100">
        <v>0.84004400000000001</v>
      </c>
      <c r="M110" s="120">
        <v>-5993.45</v>
      </c>
      <c r="O110" s="100" t="s">
        <v>352</v>
      </c>
      <c r="P110" s="100" t="s">
        <v>350</v>
      </c>
      <c r="Q110" s="100" t="s">
        <v>352</v>
      </c>
      <c r="R110" s="100">
        <v>91</v>
      </c>
      <c r="S110" s="120">
        <v>10000000</v>
      </c>
      <c r="T110" s="120">
        <v>0</v>
      </c>
      <c r="U110" s="100" t="s">
        <v>350</v>
      </c>
      <c r="V110" s="100">
        <v>0.24030000000000001</v>
      </c>
      <c r="W110" s="120">
        <v>4464.29</v>
      </c>
      <c r="X110" s="100">
        <v>1.004572</v>
      </c>
      <c r="Y110" s="120">
        <v>4484.7</v>
      </c>
      <c r="AA110" s="135">
        <f t="shared" si="1"/>
        <v>1.482854704</v>
      </c>
      <c r="AB110" s="145"/>
    </row>
    <row r="111" spans="1:28" x14ac:dyDescent="0.25">
      <c r="A111" s="100" t="s">
        <v>354</v>
      </c>
      <c r="B111" s="100" t="s">
        <v>352</v>
      </c>
      <c r="C111" s="100" t="s">
        <v>354</v>
      </c>
      <c r="D111" s="100">
        <v>92</v>
      </c>
      <c r="E111" s="100" t="s">
        <v>355</v>
      </c>
      <c r="F111" s="100">
        <v>0.67437000000000002</v>
      </c>
      <c r="G111" s="120">
        <v>-14828547.039999999</v>
      </c>
      <c r="H111" s="120">
        <v>29822.79</v>
      </c>
      <c r="I111" s="100" t="s">
        <v>355</v>
      </c>
      <c r="J111" s="100">
        <v>0.95904999999999996</v>
      </c>
      <c r="K111" s="120">
        <v>-6520.42</v>
      </c>
      <c r="L111" s="100">
        <v>0.83860400000000002</v>
      </c>
      <c r="M111" s="120">
        <v>-5468.05</v>
      </c>
      <c r="O111" s="100" t="s">
        <v>354</v>
      </c>
      <c r="P111" s="100" t="s">
        <v>352</v>
      </c>
      <c r="Q111" s="100" t="s">
        <v>354</v>
      </c>
      <c r="R111" s="100">
        <v>92</v>
      </c>
      <c r="S111" s="120">
        <v>10000000</v>
      </c>
      <c r="T111" s="120">
        <v>0</v>
      </c>
      <c r="U111" s="100" t="s">
        <v>352</v>
      </c>
      <c r="V111" s="100">
        <v>0.23891000000000001</v>
      </c>
      <c r="W111" s="120">
        <v>4478.16</v>
      </c>
      <c r="X111" s="100">
        <v>1.0048239999999999</v>
      </c>
      <c r="Y111" s="120">
        <v>4499.76</v>
      </c>
      <c r="AA111" s="135">
        <f t="shared" si="1"/>
        <v>1.485836983</v>
      </c>
      <c r="AB111" s="145"/>
    </row>
    <row r="112" spans="1:28" x14ac:dyDescent="0.25">
      <c r="A112" s="100" t="s">
        <v>356</v>
      </c>
      <c r="B112" s="100" t="s">
        <v>354</v>
      </c>
      <c r="C112" s="100" t="s">
        <v>356</v>
      </c>
      <c r="D112" s="100">
        <v>92</v>
      </c>
      <c r="E112" s="100" t="s">
        <v>357</v>
      </c>
      <c r="F112" s="100">
        <v>0.67301999999999995</v>
      </c>
      <c r="G112" s="120">
        <v>-14858369.83</v>
      </c>
      <c r="H112" s="120">
        <v>29019.4</v>
      </c>
      <c r="I112" s="100" t="s">
        <v>357</v>
      </c>
      <c r="J112" s="100">
        <v>0.95957000000000003</v>
      </c>
      <c r="K112" s="120">
        <v>-7416.75</v>
      </c>
      <c r="L112" s="100">
        <v>0.83716500000000005</v>
      </c>
      <c r="M112" s="120">
        <v>-6209.05</v>
      </c>
      <c r="O112" s="100" t="s">
        <v>356</v>
      </c>
      <c r="P112" s="100" t="s">
        <v>354</v>
      </c>
      <c r="Q112" s="100" t="s">
        <v>356</v>
      </c>
      <c r="R112" s="100">
        <v>92</v>
      </c>
      <c r="S112" s="120">
        <v>10000000</v>
      </c>
      <c r="T112" s="120">
        <v>0</v>
      </c>
      <c r="U112" s="100" t="s">
        <v>354</v>
      </c>
      <c r="V112" s="100">
        <v>0.23749999999999999</v>
      </c>
      <c r="W112" s="120">
        <v>4442.83</v>
      </c>
      <c r="X112" s="100">
        <v>1.0050809999999999</v>
      </c>
      <c r="Y112" s="120">
        <v>4465.3999999999996</v>
      </c>
      <c r="AA112" s="135">
        <f t="shared" si="1"/>
        <v>1.4887389230000001</v>
      </c>
      <c r="AB112" s="145"/>
    </row>
    <row r="113" spans="1:28" x14ac:dyDescent="0.25">
      <c r="A113" s="100" t="s">
        <v>358</v>
      </c>
      <c r="B113" s="100" t="s">
        <v>356</v>
      </c>
      <c r="C113" s="100" t="s">
        <v>358</v>
      </c>
      <c r="D113" s="100">
        <v>91</v>
      </c>
      <c r="E113" s="100" t="s">
        <v>359</v>
      </c>
      <c r="F113" s="100">
        <v>0.67171000000000003</v>
      </c>
      <c r="G113" s="120">
        <v>-14887389.23</v>
      </c>
      <c r="H113" s="120">
        <v>29487.7</v>
      </c>
      <c r="I113" s="100" t="s">
        <v>359</v>
      </c>
      <c r="J113" s="100">
        <v>0.96006999999999998</v>
      </c>
      <c r="K113" s="120">
        <v>-6641.53</v>
      </c>
      <c r="L113" s="100">
        <v>0.83574300000000001</v>
      </c>
      <c r="M113" s="120">
        <v>-5550.62</v>
      </c>
      <c r="O113" s="100" t="s">
        <v>358</v>
      </c>
      <c r="P113" s="100" t="s">
        <v>356</v>
      </c>
      <c r="Q113" s="100" t="s">
        <v>358</v>
      </c>
      <c r="R113" s="100">
        <v>91</v>
      </c>
      <c r="S113" s="120">
        <v>10000000</v>
      </c>
      <c r="T113" s="120">
        <v>0</v>
      </c>
      <c r="U113" s="100" t="s">
        <v>356</v>
      </c>
      <c r="V113" s="100">
        <v>0.23610999999999999</v>
      </c>
      <c r="W113" s="120">
        <v>4359.8100000000004</v>
      </c>
      <c r="X113" s="100">
        <v>1.0053399999999999</v>
      </c>
      <c r="Y113" s="120">
        <v>4383.09</v>
      </c>
      <c r="AA113" s="135">
        <f t="shared" si="1"/>
        <v>1.491687693</v>
      </c>
      <c r="AB113" s="145"/>
    </row>
    <row r="114" spans="1:28" x14ac:dyDescent="0.25">
      <c r="A114" s="100" t="s">
        <v>360</v>
      </c>
      <c r="B114" s="100" t="s">
        <v>358</v>
      </c>
      <c r="C114" s="100" t="s">
        <v>360</v>
      </c>
      <c r="D114" s="100">
        <v>91</v>
      </c>
      <c r="E114" s="100" t="s">
        <v>361</v>
      </c>
      <c r="F114" s="100">
        <v>0.67037999999999998</v>
      </c>
      <c r="G114" s="120">
        <v>-14916876.93</v>
      </c>
      <c r="H114" s="120">
        <v>29315.94</v>
      </c>
      <c r="I114" s="100" t="s">
        <v>361</v>
      </c>
      <c r="J114" s="100">
        <v>0.96055999999999997</v>
      </c>
      <c r="K114" s="120">
        <v>-6903.65</v>
      </c>
      <c r="L114" s="100">
        <v>0.83432300000000004</v>
      </c>
      <c r="M114" s="120">
        <v>-5759.87</v>
      </c>
      <c r="O114" s="100" t="s">
        <v>360</v>
      </c>
      <c r="P114" s="100" t="s">
        <v>358</v>
      </c>
      <c r="Q114" s="100" t="s">
        <v>360</v>
      </c>
      <c r="R114" s="100">
        <v>91</v>
      </c>
      <c r="S114" s="120">
        <v>10000000</v>
      </c>
      <c r="T114" s="120">
        <v>0</v>
      </c>
      <c r="U114" s="100" t="s">
        <v>358</v>
      </c>
      <c r="V114" s="100">
        <v>0.23472999999999999</v>
      </c>
      <c r="W114" s="120">
        <v>4325.3599999999997</v>
      </c>
      <c r="X114" s="100">
        <v>1.0056039999999999</v>
      </c>
      <c r="Y114" s="120">
        <v>4349.6000000000004</v>
      </c>
      <c r="AA114" s="135">
        <f t="shared" si="1"/>
        <v>1.4946192869999999</v>
      </c>
      <c r="AB114" s="145"/>
    </row>
    <row r="115" spans="1:28" x14ac:dyDescent="0.25">
      <c r="A115" s="100" t="s">
        <v>362</v>
      </c>
      <c r="B115" s="100" t="s">
        <v>360</v>
      </c>
      <c r="C115" s="100" t="s">
        <v>362</v>
      </c>
      <c r="D115" s="100">
        <v>92</v>
      </c>
      <c r="E115" s="100" t="s">
        <v>363</v>
      </c>
      <c r="F115" s="100">
        <v>0.66907000000000005</v>
      </c>
      <c r="G115" s="120">
        <v>-14946192.869999999</v>
      </c>
      <c r="H115" s="120">
        <v>29789.48</v>
      </c>
      <c r="I115" s="100" t="s">
        <v>363</v>
      </c>
      <c r="J115" s="100">
        <v>0.96106999999999998</v>
      </c>
      <c r="K115" s="120">
        <v>-6919.36</v>
      </c>
      <c r="L115" s="100">
        <v>0.83288899999999999</v>
      </c>
      <c r="M115" s="120">
        <v>-5763.06</v>
      </c>
      <c r="O115" s="100" t="s">
        <v>362</v>
      </c>
      <c r="P115" s="100" t="s">
        <v>360</v>
      </c>
      <c r="Q115" s="100" t="s">
        <v>362</v>
      </c>
      <c r="R115" s="100">
        <v>92</v>
      </c>
      <c r="S115" s="120">
        <v>10000000</v>
      </c>
      <c r="T115" s="120">
        <v>0</v>
      </c>
      <c r="U115" s="100" t="s">
        <v>360</v>
      </c>
      <c r="V115" s="100">
        <v>0.23333999999999999</v>
      </c>
      <c r="W115" s="120">
        <v>4337.95</v>
      </c>
      <c r="X115" s="100">
        <v>1.005876</v>
      </c>
      <c r="Y115" s="120">
        <v>4363.4399999999996</v>
      </c>
      <c r="AA115" s="135">
        <f t="shared" si="1"/>
        <v>1.497598236</v>
      </c>
      <c r="AB115" s="145"/>
    </row>
    <row r="116" spans="1:28" x14ac:dyDescent="0.25">
      <c r="A116" s="100" t="s">
        <v>364</v>
      </c>
      <c r="B116" s="100" t="s">
        <v>362</v>
      </c>
      <c r="C116" s="100" t="s">
        <v>364</v>
      </c>
      <c r="D116" s="100">
        <v>94</v>
      </c>
      <c r="E116" s="100" t="s">
        <v>365</v>
      </c>
      <c r="F116" s="100">
        <v>0.66774</v>
      </c>
      <c r="G116" s="120">
        <v>-14975982.359999999</v>
      </c>
      <c r="H116" s="120">
        <v>29616.43</v>
      </c>
      <c r="I116" s="100" t="s">
        <v>365</v>
      </c>
      <c r="J116" s="100">
        <v>0.96158999999999994</v>
      </c>
      <c r="K116" s="120">
        <v>-7985.37</v>
      </c>
      <c r="L116" s="100">
        <v>0.83142499999999997</v>
      </c>
      <c r="M116" s="120">
        <v>-6639.24</v>
      </c>
      <c r="O116" s="100" t="s">
        <v>364</v>
      </c>
      <c r="P116" s="100" t="s">
        <v>362</v>
      </c>
      <c r="Q116" s="100" t="s">
        <v>364</v>
      </c>
      <c r="R116" s="100">
        <v>94</v>
      </c>
      <c r="S116" s="120">
        <v>10000000</v>
      </c>
      <c r="T116" s="120">
        <v>0</v>
      </c>
      <c r="U116" s="100" t="s">
        <v>362</v>
      </c>
      <c r="V116" s="100">
        <v>0.23194000000000001</v>
      </c>
      <c r="W116" s="120">
        <v>4396.04</v>
      </c>
      <c r="X116" s="100">
        <v>1.0061599999999999</v>
      </c>
      <c r="Y116" s="120">
        <v>4423.12</v>
      </c>
      <c r="AA116" s="135">
        <f t="shared" si="1"/>
        <v>1.500559878</v>
      </c>
      <c r="AB116" s="145"/>
    </row>
    <row r="117" spans="1:28" x14ac:dyDescent="0.25">
      <c r="A117" s="100" t="s">
        <v>366</v>
      </c>
      <c r="B117" s="100" t="s">
        <v>364</v>
      </c>
      <c r="C117" s="100" t="s">
        <v>366</v>
      </c>
      <c r="D117" s="100">
        <v>88</v>
      </c>
      <c r="E117" s="100" t="s">
        <v>367</v>
      </c>
      <c r="F117" s="100">
        <v>0.66642000000000001</v>
      </c>
      <c r="G117" s="120">
        <v>-15005598.779999999</v>
      </c>
      <c r="H117" s="120">
        <v>29767.35</v>
      </c>
      <c r="I117" s="100" t="s">
        <v>367</v>
      </c>
      <c r="J117" s="100">
        <v>0.96197999999999995</v>
      </c>
      <c r="K117" s="120">
        <v>-5518.39</v>
      </c>
      <c r="L117" s="100">
        <v>0.83005600000000002</v>
      </c>
      <c r="M117" s="120">
        <v>-4580.57</v>
      </c>
      <c r="O117" s="100" t="s">
        <v>366</v>
      </c>
      <c r="P117" s="100" t="s">
        <v>364</v>
      </c>
      <c r="Q117" s="100" t="s">
        <v>366</v>
      </c>
      <c r="R117" s="100">
        <v>88</v>
      </c>
      <c r="S117" s="120">
        <v>10000000</v>
      </c>
      <c r="T117" s="120">
        <v>0</v>
      </c>
      <c r="U117" s="100" t="s">
        <v>364</v>
      </c>
      <c r="V117" s="100">
        <v>0.23055999999999999</v>
      </c>
      <c r="W117" s="120">
        <v>4082.19</v>
      </c>
      <c r="X117" s="100">
        <v>1.0064299999999999</v>
      </c>
      <c r="Y117" s="120">
        <v>4108.4399999999996</v>
      </c>
      <c r="AA117" s="135">
        <f t="shared" si="1"/>
        <v>1.5035366130000001</v>
      </c>
      <c r="AB117" s="145"/>
    </row>
    <row r="118" spans="1:28" x14ac:dyDescent="0.25">
      <c r="A118" s="100" t="s">
        <v>368</v>
      </c>
      <c r="B118" s="100" t="s">
        <v>366</v>
      </c>
      <c r="C118" s="100" t="s">
        <v>368</v>
      </c>
      <c r="D118" s="100">
        <v>91</v>
      </c>
      <c r="E118" s="100" t="s">
        <v>369</v>
      </c>
      <c r="F118" s="100">
        <v>0.66510000000000002</v>
      </c>
      <c r="G118" s="120">
        <v>-15035366.130000001</v>
      </c>
      <c r="H118" s="120">
        <v>29919.27</v>
      </c>
      <c r="I118" s="100" t="s">
        <v>369</v>
      </c>
      <c r="J118" s="100">
        <v>0.96247000000000005</v>
      </c>
      <c r="K118" s="120">
        <v>-6660.49</v>
      </c>
      <c r="L118" s="100">
        <v>0.82864199999999999</v>
      </c>
      <c r="M118" s="120">
        <v>-5519.16</v>
      </c>
      <c r="O118" s="100" t="s">
        <v>368</v>
      </c>
      <c r="P118" s="100" t="s">
        <v>366</v>
      </c>
      <c r="Q118" s="100" t="s">
        <v>368</v>
      </c>
      <c r="R118" s="100">
        <v>91</v>
      </c>
      <c r="S118" s="120">
        <v>10000000</v>
      </c>
      <c r="T118" s="120">
        <v>0</v>
      </c>
      <c r="U118" s="100" t="s">
        <v>366</v>
      </c>
      <c r="V118" s="100">
        <v>0.22921</v>
      </c>
      <c r="W118" s="120">
        <v>4187.75</v>
      </c>
      <c r="X118" s="100">
        <v>1.006715</v>
      </c>
      <c r="Y118" s="120">
        <v>4215.87</v>
      </c>
      <c r="AA118" s="135">
        <f t="shared" si="1"/>
        <v>1.5065285400000001</v>
      </c>
      <c r="AB118" s="145"/>
    </row>
    <row r="119" spans="1:28" x14ac:dyDescent="0.25">
      <c r="A119" s="100" t="s">
        <v>370</v>
      </c>
      <c r="B119" s="100" t="s">
        <v>368</v>
      </c>
      <c r="C119" s="100" t="s">
        <v>370</v>
      </c>
      <c r="D119" s="100">
        <v>94</v>
      </c>
      <c r="E119" s="100" t="s">
        <v>371</v>
      </c>
      <c r="F119" s="100">
        <v>0.66378000000000004</v>
      </c>
      <c r="G119" s="120">
        <v>-15065285.4</v>
      </c>
      <c r="H119" s="120">
        <v>30403.53</v>
      </c>
      <c r="I119" s="100" t="s">
        <v>371</v>
      </c>
      <c r="J119" s="100">
        <v>0.96296999999999999</v>
      </c>
      <c r="K119" s="120">
        <v>-7476.96</v>
      </c>
      <c r="L119" s="100">
        <v>0.827183</v>
      </c>
      <c r="M119" s="120">
        <v>-6184.81</v>
      </c>
      <c r="O119" s="100" t="s">
        <v>370</v>
      </c>
      <c r="P119" s="100" t="s">
        <v>368</v>
      </c>
      <c r="Q119" s="100" t="s">
        <v>370</v>
      </c>
      <c r="R119" s="100">
        <v>94</v>
      </c>
      <c r="S119" s="120">
        <v>10000000</v>
      </c>
      <c r="T119" s="120">
        <v>0</v>
      </c>
      <c r="U119" s="100" t="s">
        <v>368</v>
      </c>
      <c r="V119" s="100">
        <v>0.22781999999999999</v>
      </c>
      <c r="W119" s="120">
        <v>4289.99</v>
      </c>
      <c r="X119" s="100">
        <v>1.007015</v>
      </c>
      <c r="Y119" s="120">
        <v>4320.09</v>
      </c>
      <c r="AA119" s="135">
        <f t="shared" si="1"/>
        <v>1.509568893</v>
      </c>
      <c r="AB119" s="145"/>
    </row>
    <row r="120" spans="1:28" x14ac:dyDescent="0.25">
      <c r="A120" s="100" t="s">
        <v>372</v>
      </c>
      <c r="B120" s="100" t="s">
        <v>370</v>
      </c>
      <c r="C120" s="100" t="s">
        <v>372</v>
      </c>
      <c r="D120" s="100">
        <v>92</v>
      </c>
      <c r="E120" s="100" t="s">
        <v>373</v>
      </c>
      <c r="F120" s="100">
        <v>0.66244000000000003</v>
      </c>
      <c r="G120" s="120">
        <v>-15095688.93</v>
      </c>
      <c r="H120" s="120">
        <v>30227.87</v>
      </c>
      <c r="I120" s="100" t="s">
        <v>373</v>
      </c>
      <c r="J120" s="100">
        <v>0.96340000000000003</v>
      </c>
      <c r="K120" s="120">
        <v>-6937.96</v>
      </c>
      <c r="L120" s="100">
        <v>0.82575600000000005</v>
      </c>
      <c r="M120" s="120">
        <v>-5729.06</v>
      </c>
      <c r="O120" s="100" t="s">
        <v>372</v>
      </c>
      <c r="P120" s="100" t="s">
        <v>370</v>
      </c>
      <c r="Q120" s="100" t="s">
        <v>372</v>
      </c>
      <c r="R120" s="100">
        <v>92</v>
      </c>
      <c r="S120" s="120">
        <v>10000000</v>
      </c>
      <c r="T120" s="120">
        <v>0</v>
      </c>
      <c r="U120" s="100" t="s">
        <v>370</v>
      </c>
      <c r="V120" s="100">
        <v>0.22642000000000001</v>
      </c>
      <c r="W120" s="120">
        <v>4163.4399999999996</v>
      </c>
      <c r="X120" s="100">
        <v>1.0073129999999999</v>
      </c>
      <c r="Y120" s="120">
        <v>4193.8900000000003</v>
      </c>
      <c r="AA120" s="135">
        <f t="shared" si="1"/>
        <v>1.5125916800000001</v>
      </c>
      <c r="AB120" s="145"/>
    </row>
    <row r="121" spans="1:28" x14ac:dyDescent="0.25">
      <c r="A121" s="100" t="s">
        <v>374</v>
      </c>
      <c r="B121" s="100" t="s">
        <v>372</v>
      </c>
      <c r="C121" s="100" t="s">
        <v>374</v>
      </c>
      <c r="D121" s="100">
        <v>90</v>
      </c>
      <c r="E121" s="100" t="s">
        <v>375</v>
      </c>
      <c r="F121" s="100">
        <v>0.66112000000000004</v>
      </c>
      <c r="G121" s="120">
        <v>-15125916.800000001</v>
      </c>
      <c r="H121" s="120">
        <v>30382.89</v>
      </c>
      <c r="I121" s="100" t="s">
        <v>375</v>
      </c>
      <c r="J121" s="100">
        <v>0.96380999999999994</v>
      </c>
      <c r="K121" s="120">
        <v>-6063.25</v>
      </c>
      <c r="L121" s="100">
        <v>0.82436200000000004</v>
      </c>
      <c r="M121" s="120">
        <v>-4998.3100000000004</v>
      </c>
      <c r="O121" s="100" t="s">
        <v>374</v>
      </c>
      <c r="P121" s="100" t="s">
        <v>372</v>
      </c>
      <c r="Q121" s="100" t="s">
        <v>374</v>
      </c>
      <c r="R121" s="100">
        <v>90</v>
      </c>
      <c r="S121" s="120">
        <v>10000000</v>
      </c>
      <c r="T121" s="120">
        <v>0</v>
      </c>
      <c r="U121" s="100" t="s">
        <v>372</v>
      </c>
      <c r="V121" s="100">
        <v>0.22505</v>
      </c>
      <c r="W121" s="120">
        <v>4039.22</v>
      </c>
      <c r="X121" s="100">
        <v>1.007611</v>
      </c>
      <c r="Y121" s="120">
        <v>4069.96</v>
      </c>
      <c r="AA121" s="135">
        <f t="shared" si="1"/>
        <v>1.5156299689999999</v>
      </c>
      <c r="AB121" s="145"/>
    </row>
    <row r="122" spans="1:28" x14ac:dyDescent="0.25">
      <c r="A122" s="100" t="s">
        <v>377</v>
      </c>
      <c r="B122" s="100" t="s">
        <v>374</v>
      </c>
      <c r="C122" s="100" t="s">
        <v>377</v>
      </c>
      <c r="D122" s="100">
        <v>92</v>
      </c>
      <c r="E122" s="100" t="s">
        <v>378</v>
      </c>
      <c r="F122" s="100">
        <v>0.65978999999999999</v>
      </c>
      <c r="G122" s="120">
        <v>-15156299.689999999</v>
      </c>
      <c r="H122" s="120">
        <v>-15156299.689999999</v>
      </c>
      <c r="I122" s="100" t="s">
        <v>378</v>
      </c>
      <c r="J122" s="100">
        <v>0.96426000000000001</v>
      </c>
      <c r="K122" s="120">
        <v>-15193648.050000001</v>
      </c>
      <c r="L122" s="100">
        <v>0.82293799999999995</v>
      </c>
      <c r="M122" s="120">
        <v>-12503433.35</v>
      </c>
      <c r="O122" s="100" t="s">
        <v>377</v>
      </c>
      <c r="P122" s="100" t="s">
        <v>374</v>
      </c>
      <c r="Q122" s="100" t="s">
        <v>377</v>
      </c>
      <c r="R122" s="100">
        <v>92</v>
      </c>
      <c r="S122" s="120">
        <v>10000000</v>
      </c>
      <c r="T122" s="120">
        <v>10000000</v>
      </c>
      <c r="U122" s="100" t="s">
        <v>374</v>
      </c>
      <c r="V122" s="100">
        <v>0.22098999999999999</v>
      </c>
      <c r="W122" s="120">
        <v>10004026.5</v>
      </c>
      <c r="X122" s="100">
        <v>1.0079199999999999</v>
      </c>
      <c r="Y122" s="120">
        <v>10083257.02</v>
      </c>
      <c r="AA122" s="135">
        <f t="shared" si="1"/>
        <v>0</v>
      </c>
      <c r="AB122" s="14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</sheetPr>
  <dimension ref="A1:CF202"/>
  <sheetViews>
    <sheetView zoomScale="90" zoomScaleNormal="90" workbookViewId="0">
      <selection activeCell="A13" sqref="A13"/>
    </sheetView>
  </sheetViews>
  <sheetFormatPr defaultRowHeight="15" x14ac:dyDescent="0.25"/>
  <cols>
    <col min="1" max="1" width="14.28515625" style="38" customWidth="1"/>
    <col min="2" max="5" width="14.28515625" style="19" customWidth="1"/>
    <col min="6" max="6" width="14.28515625" style="34" customWidth="1"/>
    <col min="7" max="7" width="11.5703125" style="3" customWidth="1"/>
    <col min="8" max="9" width="10.85546875" style="3" customWidth="1"/>
    <col min="10" max="10" width="10.28515625" style="34" customWidth="1"/>
    <col min="11" max="11" width="10.28515625" style="19" customWidth="1"/>
    <col min="12" max="12" width="10.28515625" style="34" customWidth="1"/>
    <col min="13" max="13" width="14.28515625" style="96" customWidth="1"/>
    <col min="14" max="14" width="14.28515625" style="19" customWidth="1"/>
    <col min="15" max="15" width="14.28515625" style="34" customWidth="1"/>
    <col min="16" max="16" width="11.7109375" style="34" customWidth="1"/>
    <col min="17" max="17" width="13.42578125" style="45" customWidth="1"/>
    <col min="18" max="18" width="13.42578125" style="105" customWidth="1"/>
    <col min="19" max="20" width="13.42578125" style="45" customWidth="1"/>
    <col min="21" max="21" width="13.42578125" style="49" customWidth="1"/>
    <col min="22" max="22" width="14.140625" style="61" customWidth="1"/>
    <col min="23" max="23" width="13.28515625" style="47" customWidth="1"/>
    <col min="24" max="24" width="13.42578125" style="107" customWidth="1"/>
    <col min="25" max="25" width="13.42578125" style="47" customWidth="1"/>
    <col min="26" max="26" width="13.28515625" style="47" customWidth="1"/>
    <col min="27" max="27" width="13.28515625" style="49" customWidth="1"/>
    <col min="28" max="28" width="9.28515625" style="47" customWidth="1"/>
    <col min="29" max="29" width="9.28515625" style="122" customWidth="1"/>
    <col min="30" max="31" width="13.28515625" style="47" customWidth="1"/>
    <col min="32" max="33" width="13.28515625" style="117" customWidth="1"/>
    <col min="34" max="39" width="13.28515625" style="47" customWidth="1"/>
    <col min="40" max="41" width="12" style="1" customWidth="1"/>
    <col min="42" max="42" width="10.7109375" style="3" customWidth="1"/>
    <col min="43" max="43" width="13.7109375" style="3" customWidth="1"/>
    <col min="44" max="44" width="11.7109375" style="3" customWidth="1"/>
    <col min="45" max="45" width="12" style="52" customWidth="1"/>
    <col min="46" max="46" width="11.85546875" style="52" customWidth="1"/>
    <col min="47" max="47" width="10.28515625" style="1" customWidth="1"/>
    <col min="48" max="48" width="13.28515625" style="52" customWidth="1"/>
    <col min="49" max="49" width="11.5703125" style="52" customWidth="1"/>
    <col min="50" max="51" width="11.7109375" style="52" customWidth="1"/>
    <col min="52" max="53" width="12.7109375" style="52" customWidth="1"/>
    <col min="54" max="54" width="13.85546875" style="1" customWidth="1"/>
    <col min="55" max="55" width="13.42578125" style="1" customWidth="1"/>
    <col min="56" max="56" width="12" style="1" customWidth="1"/>
    <col min="57" max="57" width="10.28515625" style="1" customWidth="1"/>
    <col min="58" max="59" width="10.140625" style="3" customWidth="1"/>
    <col min="60" max="60" width="11" style="3" customWidth="1"/>
    <col min="61" max="61" width="10.28515625" style="3" customWidth="1"/>
    <col min="62" max="63" width="13.28515625" style="3" customWidth="1"/>
    <col min="64" max="64" width="9.140625" style="1"/>
    <col min="65" max="66" width="9.140625" style="3"/>
    <col min="67" max="67" width="10.7109375" style="3" customWidth="1"/>
    <col min="68" max="68" width="11.42578125" style="3" customWidth="1"/>
    <col min="69" max="69" width="10.5703125" style="3" bestFit="1" customWidth="1"/>
    <col min="70" max="70" width="9.140625" style="3"/>
    <col min="71" max="71" width="8.5703125" style="3" customWidth="1"/>
    <col min="72" max="74" width="9.140625" style="3"/>
    <col min="75" max="75" width="9.140625" style="1"/>
    <col min="76" max="76" width="14.7109375" style="1" customWidth="1"/>
    <col min="77" max="77" width="12.140625" style="1" customWidth="1"/>
    <col min="78" max="78" width="12.7109375" style="12" customWidth="1"/>
    <col min="79" max="79" width="12.28515625" style="1" customWidth="1"/>
    <col min="80" max="80" width="9.140625" style="1"/>
    <col min="81" max="82" width="10.42578125" style="1" customWidth="1"/>
    <col min="83" max="83" width="9.140625" style="1"/>
    <col min="84" max="84" width="12.140625" style="1" bestFit="1" customWidth="1"/>
    <col min="85" max="16384" width="9.140625" style="1"/>
  </cols>
  <sheetData>
    <row r="1" spans="1:82" x14ac:dyDescent="0.25">
      <c r="A1" s="36" t="s">
        <v>39</v>
      </c>
      <c r="B1" s="4" t="s">
        <v>58</v>
      </c>
      <c r="C1" s="4" t="s">
        <v>59</v>
      </c>
      <c r="D1" s="4" t="s">
        <v>60</v>
      </c>
      <c r="E1" s="4" t="s">
        <v>0</v>
      </c>
      <c r="F1" s="35" t="s">
        <v>1</v>
      </c>
      <c r="G1" s="25" t="s">
        <v>45</v>
      </c>
      <c r="H1" s="25" t="s">
        <v>57</v>
      </c>
      <c r="I1" s="25" t="s">
        <v>44</v>
      </c>
      <c r="J1" s="30" t="s">
        <v>48</v>
      </c>
      <c r="K1" s="25" t="s">
        <v>46</v>
      </c>
      <c r="L1" s="30" t="s">
        <v>96</v>
      </c>
      <c r="M1" s="97" t="s">
        <v>39</v>
      </c>
      <c r="N1" s="97" t="s">
        <v>166</v>
      </c>
      <c r="O1" s="97" t="s">
        <v>111</v>
      </c>
      <c r="P1" s="97" t="s">
        <v>112</v>
      </c>
      <c r="Q1" s="43" t="s">
        <v>95</v>
      </c>
      <c r="R1" s="103" t="s">
        <v>167</v>
      </c>
      <c r="S1" s="43" t="s">
        <v>168</v>
      </c>
      <c r="T1" s="43" t="s">
        <v>54</v>
      </c>
      <c r="U1" s="48" t="s">
        <v>379</v>
      </c>
      <c r="V1" s="109" t="s">
        <v>103</v>
      </c>
      <c r="W1" s="43" t="s">
        <v>104</v>
      </c>
      <c r="X1" s="103" t="s">
        <v>167</v>
      </c>
      <c r="Y1" s="43" t="s">
        <v>381</v>
      </c>
      <c r="Z1" s="43" t="s">
        <v>379</v>
      </c>
      <c r="AA1" s="48" t="s">
        <v>380</v>
      </c>
      <c r="AB1" s="111"/>
      <c r="AC1" s="121" t="s">
        <v>390</v>
      </c>
      <c r="AD1" s="114" t="s">
        <v>382</v>
      </c>
      <c r="AE1" s="114" t="s">
        <v>383</v>
      </c>
      <c r="AF1" s="115" t="s">
        <v>384</v>
      </c>
      <c r="AG1" s="115" t="s">
        <v>385</v>
      </c>
      <c r="AH1" s="114" t="s">
        <v>386</v>
      </c>
      <c r="AI1" s="114" t="s">
        <v>387</v>
      </c>
      <c r="AJ1" s="114" t="s">
        <v>389</v>
      </c>
      <c r="AK1" s="114" t="s">
        <v>388</v>
      </c>
      <c r="AL1" s="114" t="s">
        <v>412</v>
      </c>
      <c r="AM1" s="114" t="s">
        <v>413</v>
      </c>
      <c r="AN1" s="114" t="s">
        <v>420</v>
      </c>
      <c r="AP1" s="53" t="s">
        <v>2</v>
      </c>
      <c r="AQ1" s="54" t="s">
        <v>38</v>
      </c>
      <c r="AR1" s="55" t="s">
        <v>40</v>
      </c>
      <c r="AS1" s="58" t="s">
        <v>97</v>
      </c>
      <c r="AT1" s="58" t="s">
        <v>98</v>
      </c>
      <c r="AU1" s="54" t="s">
        <v>99</v>
      </c>
      <c r="AV1" s="59" t="s">
        <v>100</v>
      </c>
      <c r="AW1" s="60" t="s">
        <v>101</v>
      </c>
      <c r="AX1" s="58" t="s">
        <v>102</v>
      </c>
      <c r="AY1" s="58" t="s">
        <v>49</v>
      </c>
      <c r="AZ1" s="59" t="s">
        <v>50</v>
      </c>
      <c r="BA1" s="85" t="s">
        <v>108</v>
      </c>
      <c r="BB1" s="53" t="s">
        <v>55</v>
      </c>
      <c r="BC1" s="55" t="s">
        <v>56</v>
      </c>
      <c r="BD1" s="67" t="s">
        <v>51</v>
      </c>
      <c r="BF1" s="4" t="s">
        <v>2</v>
      </c>
      <c r="BG1" s="4" t="s">
        <v>38</v>
      </c>
      <c r="BH1" s="4" t="s">
        <v>40</v>
      </c>
      <c r="BI1" s="4" t="s">
        <v>3</v>
      </c>
      <c r="BJ1" s="4" t="s">
        <v>60</v>
      </c>
      <c r="BK1" s="4" t="s">
        <v>1</v>
      </c>
      <c r="BM1" s="4" t="s">
        <v>2</v>
      </c>
      <c r="BN1" s="4" t="s">
        <v>38</v>
      </c>
      <c r="BO1" s="4" t="s">
        <v>40</v>
      </c>
      <c r="BP1" s="4" t="s">
        <v>105</v>
      </c>
      <c r="BQ1" s="4" t="s">
        <v>43</v>
      </c>
      <c r="BR1" s="4" t="s">
        <v>44</v>
      </c>
      <c r="BS1" s="4" t="s">
        <v>45</v>
      </c>
      <c r="BT1" s="4" t="s">
        <v>106</v>
      </c>
      <c r="BU1" s="4" t="s">
        <v>107</v>
      </c>
      <c r="BV1" s="4" t="s">
        <v>46</v>
      </c>
      <c r="BX1" s="4" t="s">
        <v>41</v>
      </c>
      <c r="BY1" s="4" t="s">
        <v>42</v>
      </c>
      <c r="BZ1" s="23" t="s">
        <v>44</v>
      </c>
      <c r="CA1" s="4" t="s">
        <v>47</v>
      </c>
      <c r="CB1" s="4" t="s">
        <v>52</v>
      </c>
      <c r="CC1" s="4" t="s">
        <v>53</v>
      </c>
      <c r="CD1" s="4" t="s">
        <v>419</v>
      </c>
    </row>
    <row r="2" spans="1:82" x14ac:dyDescent="0.25">
      <c r="A2" s="37">
        <f>BH2</f>
        <v>44014</v>
      </c>
      <c r="B2" s="26"/>
      <c r="C2" s="26"/>
      <c r="D2" s="27">
        <v>1</v>
      </c>
      <c r="E2" s="26"/>
      <c r="F2" s="31">
        <v>1</v>
      </c>
      <c r="G2" s="27">
        <f t="shared" ref="G2:G65" si="0">YEARFRAC($BH$2,$A2,2)</f>
        <v>0</v>
      </c>
      <c r="H2" s="26"/>
      <c r="I2" s="27">
        <v>1</v>
      </c>
      <c r="J2" s="31">
        <f t="shared" ref="J2:J65" si="1">$BI$2*I2/F2</f>
        <v>1.1234</v>
      </c>
      <c r="K2" s="27"/>
      <c r="L2" s="31"/>
      <c r="M2" s="94">
        <f>BO2</f>
        <v>44014</v>
      </c>
      <c r="N2" s="98"/>
      <c r="O2" s="90"/>
      <c r="P2" s="90"/>
      <c r="Q2" s="44">
        <v>10000000</v>
      </c>
      <c r="R2" s="104"/>
      <c r="S2" s="44"/>
      <c r="T2" s="44"/>
      <c r="U2" s="108">
        <f>-Q2</f>
        <v>-10000000</v>
      </c>
      <c r="V2" s="110"/>
      <c r="W2" s="44">
        <f>-Q2*J2</f>
        <v>-11234000</v>
      </c>
      <c r="X2" s="104"/>
      <c r="Y2" s="44"/>
      <c r="Z2" s="44">
        <f>-R2*K2</f>
        <v>0</v>
      </c>
      <c r="AA2" s="108">
        <f>-W2</f>
        <v>11234000</v>
      </c>
      <c r="AB2" s="86"/>
      <c r="AC2" s="123"/>
      <c r="AD2" s="44"/>
      <c r="AE2" s="44"/>
      <c r="AF2" s="118">
        <f>BBG_EUR!X2</f>
        <v>1.00004</v>
      </c>
      <c r="AG2" s="118">
        <f>BBG_EUR!L2</f>
        <v>0.99999400000000005</v>
      </c>
      <c r="AH2" s="44"/>
      <c r="AI2" s="44"/>
      <c r="AJ2" s="44"/>
      <c r="AK2" s="44"/>
      <c r="AL2" s="142">
        <f>J2</f>
        <v>1.1234</v>
      </c>
      <c r="AM2" s="141">
        <f>BBG_EUR!AA2</f>
        <v>1.1234</v>
      </c>
      <c r="AN2" s="152">
        <f>AM2/AL2</f>
        <v>1</v>
      </c>
      <c r="AO2" s="147"/>
      <c r="AP2" s="56" t="str">
        <f t="shared" ref="AP2:AP16" si="2">BF21</f>
        <v>2Y</v>
      </c>
      <c r="AQ2" s="19" t="str">
        <f t="shared" ref="AQ2:AQ16" si="3">BG21</f>
        <v>EUBS2</v>
      </c>
      <c r="AR2" s="38">
        <f t="shared" ref="AR2:AR16" si="4">BH21</f>
        <v>44747</v>
      </c>
      <c r="AS2" s="47">
        <f>SUMPRODUCT($S$3:$S$202,$I$3:$I$202,1*($A$3:$A$202&lt;=$AR2))</f>
        <v>-96718.510389965857</v>
      </c>
      <c r="AT2" s="47">
        <f>SUMPRODUCT($U$3:$U$202,$I$3:$I$202,1*($A$3:$A$202=$AR2))+$U$2*$I$2</f>
        <v>175668.24146187864</v>
      </c>
      <c r="AU2" s="47">
        <f>SUMPRODUCT($T$3:$T$202,$I$3:$I$202,1*($A$3:$A$202&lt;=$AR2))</f>
        <v>2027.6895961620153</v>
      </c>
      <c r="AV2" s="49">
        <f>(AS2+AT2)</f>
        <v>78949.731071912785</v>
      </c>
      <c r="AW2" s="61">
        <f>SUMPRODUCT($Y$3:$Y$202,$F$3:$F$202,1*($A$3:$A$202&lt;=$AR2))</f>
        <v>-51232.408529721928</v>
      </c>
      <c r="AX2" s="47">
        <f>SUMPRODUCT($Z$3:$Z$202,$F$3:$F$202,1*($A$3:$A$202&lt;=$AR2))</f>
        <v>196617.22528893335</v>
      </c>
      <c r="AY2" s="47">
        <f>SUMPRODUCT($AA$3:$AA$202,$F$3:$F$202,1*($A$3:$A$202=$AR2))+AA$2</f>
        <v>-197345.70245827548</v>
      </c>
      <c r="AZ2" s="49">
        <f>SUM(AW2:AY2)</f>
        <v>-51960.885699064063</v>
      </c>
      <c r="BA2" s="47">
        <f>(AV2*$BI$2+AZ2)</f>
        <v>36731.242187122756</v>
      </c>
      <c r="BB2" s="63">
        <f>-BA2/($BI$2*$AU2)</f>
        <v>-16.124999999265633</v>
      </c>
      <c r="BC2" s="64">
        <f t="shared" ref="BC2:BC16" si="5">VLOOKUP($AP2,$BF$21:$BI$36,4,FALSE)*10000</f>
        <v>-16.125</v>
      </c>
      <c r="BD2" s="68">
        <f>(BB2-BC2)</f>
        <v>7.3436723369013635E-10</v>
      </c>
      <c r="BF2" s="7" t="s">
        <v>4</v>
      </c>
      <c r="BG2" s="7" t="s">
        <v>61</v>
      </c>
      <c r="BH2" s="8">
        <v>44014</v>
      </c>
      <c r="BI2" s="10">
        <v>1.1234</v>
      </c>
      <c r="BJ2" s="10">
        <v>1</v>
      </c>
      <c r="BK2" s="11">
        <v>1</v>
      </c>
      <c r="BM2" s="7" t="str">
        <f>BF2</f>
        <v>Spot</v>
      </c>
      <c r="BN2" s="7" t="str">
        <f t="shared" ref="BN2:BN20" si="6">BG2</f>
        <v>EUR</v>
      </c>
      <c r="BO2" s="8">
        <f t="shared" ref="BO2:BO20" si="7">BH2</f>
        <v>44014</v>
      </c>
      <c r="BP2" s="10">
        <f t="shared" ref="BP2:BP20" si="8">BI2</f>
        <v>1.1234</v>
      </c>
      <c r="BQ2" s="72">
        <f>BK2/BK$2</f>
        <v>1</v>
      </c>
      <c r="BR2" s="71">
        <f>BQ2*$BP2/$BP$2</f>
        <v>1</v>
      </c>
      <c r="BS2" s="74">
        <f>YEARFRAC($BO$2,$BO2,2)</f>
        <v>0</v>
      </c>
      <c r="BT2" s="72">
        <f>BJ2/$BJ$2</f>
        <v>1</v>
      </c>
      <c r="BU2" s="75"/>
      <c r="BV2" s="75"/>
      <c r="BX2" s="8">
        <f t="shared" ref="BX2:BX35" si="9">BH2</f>
        <v>44014</v>
      </c>
      <c r="BY2" s="15">
        <f t="shared" ref="BY2:BY14" si="10">YEARFRAC($BX$2,$BX2,2)</f>
        <v>0</v>
      </c>
      <c r="BZ2" s="17">
        <f t="shared" ref="BZ2:BZ14" si="11">BR2</f>
        <v>1</v>
      </c>
      <c r="CA2" s="7"/>
      <c r="CB2" s="28">
        <f t="shared" ref="CB2:CB35" si="12">BJ2</f>
        <v>1</v>
      </c>
      <c r="CC2" s="21"/>
      <c r="CD2" s="21"/>
    </row>
    <row r="3" spans="1:82" x14ac:dyDescent="0.25">
      <c r="A3" s="38">
        <v>44106</v>
      </c>
      <c r="B3" s="22">
        <v>2.4999999999941702E-5</v>
      </c>
      <c r="C3" s="22">
        <v>-1.0784444444452701E-3</v>
      </c>
      <c r="D3" s="22">
        <v>1.00120460488261</v>
      </c>
      <c r="E3" s="22">
        <v>7.7177777777737101E-4</v>
      </c>
      <c r="F3" s="32">
        <v>0.99984158065616202</v>
      </c>
      <c r="G3" s="5">
        <f t="shared" si="0"/>
        <v>0.25555555555555554</v>
      </c>
      <c r="H3" s="5">
        <f t="shared" ref="H3:H34" si="13">RE_MATH_LinearInterpolation($BY$3:$BY$35,$CA$3:$CA$35,$G3)</f>
        <v>-7.3353604886845503E-3</v>
      </c>
      <c r="I3" s="5">
        <f t="shared" ref="I3:I34" si="14">(1+H3)^-$G3</f>
        <v>1.0018832724721005</v>
      </c>
      <c r="J3" s="32">
        <f t="shared" si="1"/>
        <v>1.125694</v>
      </c>
      <c r="K3" s="22" t="s">
        <v>80</v>
      </c>
      <c r="L3" s="40">
        <f t="shared" ref="L3:L34" si="15">VLOOKUP($K3,$BG$21:$BI$35,3,FALSE)*10000</f>
        <v>-16.125</v>
      </c>
      <c r="M3" s="93">
        <v>44106</v>
      </c>
      <c r="N3" s="92">
        <f>M2</f>
        <v>44014</v>
      </c>
      <c r="O3" s="91">
        <f>M3</f>
        <v>44106</v>
      </c>
      <c r="P3" s="89">
        <f>O3-N3</f>
        <v>92</v>
      </c>
      <c r="Q3" s="45">
        <v>10000000</v>
      </c>
      <c r="R3" s="105">
        <f t="shared" ref="R3:R34" si="16">C3*360/P3</f>
        <v>-4.2200000000032307E-3</v>
      </c>
      <c r="S3" s="45">
        <f>Q3*$C3</f>
        <v>-10784.444444452702</v>
      </c>
      <c r="T3" s="45">
        <f>Q3*$B3</f>
        <v>249.99999999941701</v>
      </c>
      <c r="V3" s="61">
        <f t="shared" ref="V3:V34" si="17">W2</f>
        <v>-11234000</v>
      </c>
      <c r="W3" s="47">
        <f t="shared" ref="W3:W66" si="18">-Q3*J3</f>
        <v>-11256940</v>
      </c>
      <c r="X3" s="107">
        <f t="shared" ref="X3:X34" si="19">E3*360/P3</f>
        <v>3.0199999999984081E-3</v>
      </c>
      <c r="Y3" s="47">
        <f t="shared" ref="Y3:Y34" si="20">V3*E3</f>
        <v>-8670.1515555509868</v>
      </c>
      <c r="Z3" s="47">
        <f t="shared" ref="Z3:Z34" si="21">V3-W3</f>
        <v>22940</v>
      </c>
      <c r="AC3" s="122">
        <f>$G3</f>
        <v>0.25555555555555554</v>
      </c>
      <c r="AD3" s="113">
        <f>BBG_EUR!V3/100</f>
        <v>-4.2199999999999998E-3</v>
      </c>
      <c r="AE3" s="113">
        <f>BBG_EUR!J3/100</f>
        <v>3.0200000000000001E-3</v>
      </c>
      <c r="AF3" s="116">
        <f>BBG_EUR!X3</f>
        <v>1.001916</v>
      </c>
      <c r="AG3" s="116">
        <f>BBG_EUR!L3</f>
        <v>0.99982899999999997</v>
      </c>
      <c r="AH3" s="112">
        <f>AF3^(-1/$G3)-1</f>
        <v>-7.462236188968463E-3</v>
      </c>
      <c r="AI3" s="112">
        <f>AG3^(-1/$G3)-1</f>
        <v>6.694116079679624E-4</v>
      </c>
      <c r="AJ3" s="112">
        <f>I3^(-1/$G3)-1</f>
        <v>-7.3353604886845503E-3</v>
      </c>
      <c r="AK3" s="112">
        <f>F3^(-1/$G3)-1</f>
        <v>6.201430969081656E-4</v>
      </c>
      <c r="AL3" s="143">
        <f t="shared" ref="AL3:AL66" si="22">J3</f>
        <v>1.125694</v>
      </c>
      <c r="AM3" s="143">
        <f>BBG_EUR!AA3</f>
        <v>1.1256957519999999</v>
      </c>
      <c r="AN3" s="151">
        <f t="shared" ref="AN3:AN66" si="23">AM3/AL3</f>
        <v>1.0000015563732239</v>
      </c>
      <c r="AO3" s="147"/>
      <c r="AP3" s="56" t="str">
        <f t="shared" si="2"/>
        <v>3Y</v>
      </c>
      <c r="AQ3" s="19" t="str">
        <f t="shared" si="3"/>
        <v>EUBS3</v>
      </c>
      <c r="AR3" s="38">
        <f t="shared" si="4"/>
        <v>45110</v>
      </c>
      <c r="AS3" s="47">
        <f t="shared" ref="AS3:AS16" si="24">SUMPRODUCT($S$3:$S$202,$I$3:$I$202,1*($A$3:$A$202&lt;=$AR3))</f>
        <v>-144496.59195212508</v>
      </c>
      <c r="AT3" s="47">
        <f t="shared" ref="AT3:AT16" si="25">SUMPRODUCT($U$3:$U$202,$I$3:$I$202,1*($A$3:$A$202=$AR3))+$U$2*$I$2</f>
        <v>268305.13665151037</v>
      </c>
      <c r="AU3" s="47">
        <f t="shared" ref="AU3:AU16" si="26">SUMPRODUCT($T$3:$T$202,$I$3:$I$202,1*($A$3:$A$202&lt;=$AR3))</f>
        <v>3045.3475946512949</v>
      </c>
      <c r="AV3" s="49">
        <f t="shared" ref="AV3:AV16" si="27">(AS3+AT3)</f>
        <v>123808.5446993853</v>
      </c>
      <c r="AW3" s="61">
        <f t="shared" ref="AW3:AW16" si="28">SUMPRODUCT($Y$3:$Y$202,$F$3:$F$202,1*($A$3:$A$202&lt;=$AR3))</f>
        <v>-78760.915247740122</v>
      </c>
      <c r="AX3" s="47">
        <f t="shared" ref="AX3:AX16" si="29">SUMPRODUCT($Z$3:$Z$202,$F$3:$F$202,1*($A$3:$A$202&lt;=$AR3))</f>
        <v>301386.04061942379</v>
      </c>
      <c r="AY3" s="47">
        <f t="shared" ref="AY3:AY16" si="30">SUMPRODUCT($AA$3:$AA$202,$F$3:$F$202,1*($A$3:$A$202=$AR3))+AA$2</f>
        <v>-301413.99051430449</v>
      </c>
      <c r="AZ3" s="49">
        <f t="shared" ref="AZ3:AZ16" si="31">SUM(AW3:AY3)</f>
        <v>-78788.865142620809</v>
      </c>
      <c r="BA3" s="47">
        <f t="shared" ref="BA3:BA16" si="32">(AV3*$BI$2+AZ3)</f>
        <v>60297.653972668631</v>
      </c>
      <c r="BB3" s="63">
        <f t="shared" ref="BB3:BB16" si="33">-BA3/($BI$2*$AU3)</f>
        <v>-17.624999999895532</v>
      </c>
      <c r="BC3" s="64">
        <f t="shared" si="5"/>
        <v>-17.625</v>
      </c>
      <c r="BD3" s="68">
        <f t="shared" ref="BD3:BD16" si="34">(BB3-BC3)</f>
        <v>1.0446754572512873E-10</v>
      </c>
      <c r="BF3" s="3" t="s">
        <v>5</v>
      </c>
      <c r="BG3" s="3" t="s">
        <v>62</v>
      </c>
      <c r="BH3" s="2">
        <v>44021</v>
      </c>
      <c r="BI3" s="5">
        <v>1.1235599999999999</v>
      </c>
      <c r="BJ3" s="5">
        <v>1.00008964692473</v>
      </c>
      <c r="BK3" s="5">
        <v>0.99998590297650602</v>
      </c>
      <c r="BM3" s="3" t="str">
        <f t="shared" ref="BM3:BM20" si="35">BF3</f>
        <v>1W</v>
      </c>
      <c r="BN3" s="3" t="str">
        <f t="shared" si="6"/>
        <v>EUR1W</v>
      </c>
      <c r="BO3" s="2">
        <f t="shared" si="7"/>
        <v>44021</v>
      </c>
      <c r="BP3" s="5">
        <f t="shared" si="8"/>
        <v>1.1235599999999999</v>
      </c>
      <c r="BQ3" s="73">
        <f t="shared" ref="BQ3:BQ20" si="36">BK3/BK$2</f>
        <v>0.99998590297650602</v>
      </c>
      <c r="BR3" s="73">
        <f t="shared" ref="BR3:BR20" si="37">BQ3*$BP3/$BP$2</f>
        <v>1.0001283257506526</v>
      </c>
      <c r="BS3" s="76">
        <f t="shared" ref="BS3:BS20" si="38">YEARFRAC($BO$2,$BO3,2)</f>
        <v>1.9444444444444445E-2</v>
      </c>
      <c r="BT3" s="77">
        <f t="shared" ref="BT3:BT20" si="39">BJ3/$BJ$2</f>
        <v>1.00008964692473</v>
      </c>
      <c r="BU3" s="78">
        <f>BT3^(-1/$BS3)-1</f>
        <v>-4.5995959389977248E-3</v>
      </c>
      <c r="BV3" s="79">
        <f t="shared" ref="BV3:BV16" si="40">(BR3^(-1/$BS3)-BT3^(-1/BS3))*10000</f>
        <v>-19.778638681774432</v>
      </c>
      <c r="BX3" s="2">
        <f t="shared" si="9"/>
        <v>44021</v>
      </c>
      <c r="BY3" s="14">
        <f t="shared" si="10"/>
        <v>1.9444444444444445E-2</v>
      </c>
      <c r="BZ3" s="18">
        <f t="shared" si="11"/>
        <v>1.0001283257506526</v>
      </c>
      <c r="CA3" s="5">
        <f>BZ3^(-1/BY3)-1</f>
        <v>-6.5774598071751678E-3</v>
      </c>
      <c r="CB3" s="13">
        <f t="shared" si="12"/>
        <v>1.00008964692473</v>
      </c>
      <c r="CC3" s="5">
        <f>CB3^(-1/BY3)-1</f>
        <v>-4.5995959389977248E-3</v>
      </c>
      <c r="CD3" s="149">
        <f>(CA3-CC3)*10000</f>
        <v>-19.778638681774432</v>
      </c>
    </row>
    <row r="4" spans="1:82" x14ac:dyDescent="0.25">
      <c r="A4" s="38">
        <v>44200</v>
      </c>
      <c r="B4" s="22">
        <v>2.55555555555009E-5</v>
      </c>
      <c r="C4" s="22">
        <v>-1.1854444444444601E-3</v>
      </c>
      <c r="D4" s="22">
        <v>1.0025017430998999</v>
      </c>
      <c r="E4" s="22">
        <v>7.1988333333328203E-4</v>
      </c>
      <c r="F4" s="32">
        <v>0.99973656941395905</v>
      </c>
      <c r="G4" s="5">
        <f t="shared" si="0"/>
        <v>0.51666666666666672</v>
      </c>
      <c r="H4" s="5">
        <f t="shared" si="13"/>
        <v>-8.1956618775956835E-3</v>
      </c>
      <c r="I4" s="5">
        <f t="shared" si="14"/>
        <v>1.004260924691599</v>
      </c>
      <c r="J4" s="32">
        <f t="shared" si="1"/>
        <v>1.128484</v>
      </c>
      <c r="K4" s="22" t="s">
        <v>80</v>
      </c>
      <c r="L4" s="40">
        <f t="shared" si="15"/>
        <v>-16.125</v>
      </c>
      <c r="M4" s="96">
        <v>44200</v>
      </c>
      <c r="N4" s="99">
        <f t="shared" ref="N4:N67" si="41">M3</f>
        <v>44106</v>
      </c>
      <c r="O4" s="38">
        <f t="shared" ref="O4:O67" si="42">M4</f>
        <v>44200</v>
      </c>
      <c r="P4" s="88">
        <f t="shared" ref="P4:P67" si="43">O4-N4</f>
        <v>94</v>
      </c>
      <c r="Q4" s="45">
        <v>10000000</v>
      </c>
      <c r="R4" s="105">
        <f t="shared" si="16"/>
        <v>-4.5400000000000596E-3</v>
      </c>
      <c r="S4" s="45">
        <f t="shared" ref="S4:S67" si="44">Q4*$C4</f>
        <v>-11854.444444444602</v>
      </c>
      <c r="T4" s="45">
        <f t="shared" ref="T4:T67" si="45">Q4*$B4</f>
        <v>255.55555555500899</v>
      </c>
      <c r="V4" s="61">
        <f t="shared" si="17"/>
        <v>-11256940</v>
      </c>
      <c r="W4" s="47">
        <f t="shared" si="18"/>
        <v>-11284840</v>
      </c>
      <c r="X4" s="107">
        <f t="shared" si="19"/>
        <v>2.7569999999998034E-3</v>
      </c>
      <c r="Y4" s="47">
        <f t="shared" si="20"/>
        <v>-8103.6834903327563</v>
      </c>
      <c r="Z4" s="47">
        <f t="shared" si="21"/>
        <v>27900</v>
      </c>
      <c r="AC4" s="122">
        <f t="shared" ref="AC4:AC67" si="46">$G4</f>
        <v>0.51666666666666672</v>
      </c>
      <c r="AD4" s="113">
        <f>BBG_EUR!V4/100</f>
        <v>-4.6874999999999998E-3</v>
      </c>
      <c r="AE4" s="113">
        <f>BBG_EUR!J4/100</f>
        <v>2.6281E-3</v>
      </c>
      <c r="AF4" s="116">
        <f>BBG_EUR!X4</f>
        <v>1.0042439999999999</v>
      </c>
      <c r="AG4" s="116">
        <f>BBG_EUR!L4</f>
        <v>0.99968400000000002</v>
      </c>
      <c r="AH4" s="112">
        <f t="shared" ref="AH4:AH67" si="47">AF4^(-1/$G4)-1</f>
        <v>-8.1633099246924967E-3</v>
      </c>
      <c r="AI4" s="112">
        <f t="shared" ref="AI4:AI67" si="48">AG4^(-1/$G4)-1</f>
        <v>6.118966908739143E-4</v>
      </c>
      <c r="AJ4" s="112">
        <f t="shared" ref="AJ4:AJ67" si="49">I4^(-1/$G4)-1</f>
        <v>-8.1956618775956835E-3</v>
      </c>
      <c r="AK4" s="112">
        <f t="shared" ref="AK4:AK67" si="50">F4^(-1/$G4)-1</f>
        <v>5.1006285714461086E-4</v>
      </c>
      <c r="AL4" s="143">
        <f t="shared" si="22"/>
        <v>1.128484</v>
      </c>
      <c r="AM4" s="143">
        <f>BBG_EUR!AA4</f>
        <v>1.1283656210000002</v>
      </c>
      <c r="AN4" s="151">
        <f t="shared" si="23"/>
        <v>0.99989509908868901</v>
      </c>
      <c r="AO4" s="147"/>
      <c r="AP4" s="56" t="str">
        <f t="shared" si="2"/>
        <v>4Y</v>
      </c>
      <c r="AQ4" s="19" t="str">
        <f t="shared" si="3"/>
        <v>EUBS4</v>
      </c>
      <c r="AR4" s="38">
        <f t="shared" si="4"/>
        <v>45475</v>
      </c>
      <c r="AS4" s="47">
        <f t="shared" si="24"/>
        <v>-185341.58934870787</v>
      </c>
      <c r="AT4" s="47">
        <f t="shared" si="25"/>
        <v>359838.48403086327</v>
      </c>
      <c r="AU4" s="47">
        <f t="shared" si="26"/>
        <v>4075.0348245131518</v>
      </c>
      <c r="AV4" s="49">
        <f t="shared" si="27"/>
        <v>174496.8946821554</v>
      </c>
      <c r="AW4" s="61">
        <f t="shared" si="28"/>
        <v>-122235.02053928141</v>
      </c>
      <c r="AX4" s="47">
        <f t="shared" si="29"/>
        <v>419716.69738840219</v>
      </c>
      <c r="AY4" s="47">
        <f t="shared" si="30"/>
        <v>-404242.55296027102</v>
      </c>
      <c r="AZ4" s="49">
        <f t="shared" si="31"/>
        <v>-106760.87611115025</v>
      </c>
      <c r="BA4" s="47">
        <f t="shared" si="32"/>
        <v>89268.935374783119</v>
      </c>
      <c r="BB4" s="63">
        <f t="shared" si="33"/>
        <v>-19.499999999683403</v>
      </c>
      <c r="BC4" s="64">
        <f t="shared" si="5"/>
        <v>-19.5</v>
      </c>
      <c r="BD4" s="68">
        <f t="shared" si="34"/>
        <v>3.1659652677262784E-10</v>
      </c>
      <c r="BF4" s="3" t="s">
        <v>6</v>
      </c>
      <c r="BG4" s="3" t="s">
        <v>63</v>
      </c>
      <c r="BH4" s="2">
        <v>44028</v>
      </c>
      <c r="BI4" s="5">
        <v>1.123726</v>
      </c>
      <c r="BJ4" s="5">
        <v>1.0001793099240599</v>
      </c>
      <c r="BK4" s="5">
        <v>0.99997180635046001</v>
      </c>
      <c r="BM4" s="3" t="str">
        <f t="shared" si="35"/>
        <v>2W</v>
      </c>
      <c r="BN4" s="3" t="str">
        <f t="shared" si="6"/>
        <v>EUR2W</v>
      </c>
      <c r="BO4" s="2">
        <f t="shared" si="7"/>
        <v>44028</v>
      </c>
      <c r="BP4" s="5">
        <f t="shared" si="8"/>
        <v>1.123726</v>
      </c>
      <c r="BQ4" s="73">
        <f t="shared" si="36"/>
        <v>0.99997180635046001</v>
      </c>
      <c r="BR4" s="73">
        <f t="shared" si="37"/>
        <v>1.0002619886620767</v>
      </c>
      <c r="BS4" s="76">
        <f t="shared" si="38"/>
        <v>3.888888888888889E-2</v>
      </c>
      <c r="BT4" s="80">
        <f t="shared" si="39"/>
        <v>1.0001793099240599</v>
      </c>
      <c r="BU4" s="78">
        <f t="shared" ref="BU4:BU20" si="51">BT4^(-1/$BS4)-1</f>
        <v>-4.5998016435601086E-3</v>
      </c>
      <c r="BV4" s="79">
        <f t="shared" si="40"/>
        <v>-21.13531545906655</v>
      </c>
      <c r="BX4" s="2">
        <f t="shared" si="9"/>
        <v>44028</v>
      </c>
      <c r="BY4" s="14">
        <f t="shared" si="10"/>
        <v>3.888888888888889E-2</v>
      </c>
      <c r="BZ4" s="18">
        <f t="shared" si="11"/>
        <v>1.0002619886620767</v>
      </c>
      <c r="CA4" s="5">
        <f t="shared" ref="CA4:CA14" si="52">BZ4^(-1/BY4)-1</f>
        <v>-6.7133331894667636E-3</v>
      </c>
      <c r="CB4" s="13">
        <f t="shared" si="12"/>
        <v>1.0001793099240599</v>
      </c>
      <c r="CC4" s="5">
        <f t="shared" ref="CC4:CC35" si="53">CB4^(-1/BY4)-1</f>
        <v>-4.5998016435601086E-3</v>
      </c>
      <c r="CD4" s="149">
        <f t="shared" ref="CD4:CD35" si="54">(CA4-CC4)*10000</f>
        <v>-21.13531545906655</v>
      </c>
    </row>
    <row r="5" spans="1:82" x14ac:dyDescent="0.25">
      <c r="A5" s="38">
        <v>44292</v>
      </c>
      <c r="B5" s="22">
        <v>2.55555555555009E-5</v>
      </c>
      <c r="C5" s="22">
        <v>-1.18322222222233E-3</v>
      </c>
      <c r="D5" s="22">
        <v>1.0038449492322099</v>
      </c>
      <c r="E5" s="22">
        <v>7.1172222222215498E-4</v>
      </c>
      <c r="F5" s="32">
        <v>0.99970438670061001</v>
      </c>
      <c r="G5" s="5">
        <f t="shared" si="0"/>
        <v>0.77222222222222225</v>
      </c>
      <c r="H5" s="5">
        <f t="shared" si="13"/>
        <v>-8.114805174971651E-3</v>
      </c>
      <c r="I5" s="5">
        <f t="shared" si="14"/>
        <v>1.006311832909665</v>
      </c>
      <c r="J5" s="32">
        <f t="shared" si="1"/>
        <v>1.1308250000000002</v>
      </c>
      <c r="K5" s="22" t="s">
        <v>80</v>
      </c>
      <c r="L5" s="40">
        <f t="shared" si="15"/>
        <v>-16.125</v>
      </c>
      <c r="M5" s="96">
        <v>44292</v>
      </c>
      <c r="N5" s="99">
        <f t="shared" si="41"/>
        <v>44200</v>
      </c>
      <c r="O5" s="38">
        <f t="shared" si="42"/>
        <v>44292</v>
      </c>
      <c r="P5" s="88">
        <f t="shared" si="43"/>
        <v>92</v>
      </c>
      <c r="Q5" s="45">
        <v>10000000</v>
      </c>
      <c r="R5" s="105">
        <f t="shared" si="16"/>
        <v>-4.630000000000422E-3</v>
      </c>
      <c r="S5" s="45">
        <f t="shared" si="44"/>
        <v>-11832.222222223299</v>
      </c>
      <c r="T5" s="45">
        <f t="shared" si="45"/>
        <v>255.55555555500899</v>
      </c>
      <c r="V5" s="61">
        <f t="shared" si="17"/>
        <v>-11284840</v>
      </c>
      <c r="W5" s="47">
        <f t="shared" si="18"/>
        <v>-11308250.000000002</v>
      </c>
      <c r="X5" s="107">
        <f t="shared" si="19"/>
        <v>2.7849999999997369E-3</v>
      </c>
      <c r="Y5" s="47">
        <f t="shared" si="20"/>
        <v>-8031.6714022214637</v>
      </c>
      <c r="Z5" s="47">
        <f t="shared" si="21"/>
        <v>23410.000000001863</v>
      </c>
      <c r="AC5" s="122">
        <f t="shared" si="46"/>
        <v>0.77222222222222225</v>
      </c>
      <c r="AD5" s="113">
        <f>BBG_EUR!V5/100</f>
        <v>-4.5608000000000003E-3</v>
      </c>
      <c r="AE5" s="113">
        <f>BBG_EUR!J5/100</f>
        <v>2.7339999999999999E-3</v>
      </c>
      <c r="AF5" s="116">
        <f>BBG_EUR!X5</f>
        <v>1.0062960000000001</v>
      </c>
      <c r="AG5" s="116">
        <f>BBG_EUR!L5</f>
        <v>0.99966699999999997</v>
      </c>
      <c r="AH5" s="112">
        <f t="shared" si="47"/>
        <v>-8.0945956964156851E-3</v>
      </c>
      <c r="AI5" s="112">
        <f t="shared" si="48"/>
        <v>4.3138785714957883E-4</v>
      </c>
      <c r="AJ5" s="112">
        <f t="shared" si="49"/>
        <v>-8.114805174971873E-3</v>
      </c>
      <c r="AK5" s="112">
        <f t="shared" si="50"/>
        <v>3.8293848417492171E-4</v>
      </c>
      <c r="AL5" s="143">
        <f t="shared" si="22"/>
        <v>1.1308250000000002</v>
      </c>
      <c r="AM5" s="143">
        <f>BBG_EUR!AA5</f>
        <v>1.1307008779999999</v>
      </c>
      <c r="AN5" s="151">
        <f t="shared" si="23"/>
        <v>0.9998902376583465</v>
      </c>
      <c r="AO5" s="147"/>
      <c r="AP5" s="56" t="str">
        <f t="shared" si="2"/>
        <v>5Y</v>
      </c>
      <c r="AQ5" s="19" t="str">
        <f t="shared" si="3"/>
        <v>EUBS5</v>
      </c>
      <c r="AR5" s="38">
        <f t="shared" si="4"/>
        <v>45840</v>
      </c>
      <c r="AS5" s="47">
        <f t="shared" si="24"/>
        <v>-218238.83882009704</v>
      </c>
      <c r="AT5" s="47">
        <f t="shared" si="25"/>
        <v>446858.45069542341</v>
      </c>
      <c r="AU5" s="47">
        <f t="shared" si="26"/>
        <v>5116.481821920207</v>
      </c>
      <c r="AV5" s="49">
        <f t="shared" si="27"/>
        <v>228619.61187532637</v>
      </c>
      <c r="AW5" s="61">
        <f t="shared" si="28"/>
        <v>-187986.46682106768</v>
      </c>
      <c r="AX5" s="47">
        <f t="shared" si="29"/>
        <v>554579.42956470384</v>
      </c>
      <c r="AY5" s="47">
        <f t="shared" si="30"/>
        <v>-502000.7835112419</v>
      </c>
      <c r="AZ5" s="49">
        <f t="shared" si="31"/>
        <v>-135407.82076760574</v>
      </c>
      <c r="BA5" s="47">
        <f t="shared" si="32"/>
        <v>121423.45121313591</v>
      </c>
      <c r="BB5" s="63">
        <f t="shared" si="33"/>
        <v>-21.124999999938133</v>
      </c>
      <c r="BC5" s="64">
        <f t="shared" si="5"/>
        <v>-21.124999999999996</v>
      </c>
      <c r="BD5" s="68">
        <f t="shared" si="34"/>
        <v>6.1863403288953123E-11</v>
      </c>
      <c r="BF5" s="3" t="s">
        <v>7</v>
      </c>
      <c r="BG5" s="3" t="s">
        <v>64</v>
      </c>
      <c r="BH5" s="2">
        <v>44035</v>
      </c>
      <c r="BI5" s="5">
        <v>1.1238969999999999</v>
      </c>
      <c r="BJ5" s="5">
        <v>1.00026968714926</v>
      </c>
      <c r="BK5" s="5">
        <v>0.99995871264190705</v>
      </c>
      <c r="BM5" s="3" t="str">
        <f t="shared" si="35"/>
        <v>3W</v>
      </c>
      <c r="BN5" s="3" t="str">
        <f t="shared" si="6"/>
        <v>EUR3W</v>
      </c>
      <c r="BO5" s="2">
        <f t="shared" si="7"/>
        <v>44035</v>
      </c>
      <c r="BP5" s="5">
        <f t="shared" si="8"/>
        <v>1.1238969999999999</v>
      </c>
      <c r="BQ5" s="73">
        <f t="shared" si="36"/>
        <v>0.99995871264190705</v>
      </c>
      <c r="BR5" s="73">
        <f t="shared" si="37"/>
        <v>1.0004011013549059</v>
      </c>
      <c r="BS5" s="76">
        <f t="shared" si="38"/>
        <v>5.8333333333333334E-2</v>
      </c>
      <c r="BT5" s="80">
        <f t="shared" si="39"/>
        <v>1.00026968714926</v>
      </c>
      <c r="BU5" s="78">
        <f t="shared" si="51"/>
        <v>-4.6119172730169078E-3</v>
      </c>
      <c r="BV5" s="79">
        <f t="shared" si="40"/>
        <v>-22.391510194308406</v>
      </c>
      <c r="BX5" s="2">
        <f t="shared" si="9"/>
        <v>44035</v>
      </c>
      <c r="BY5" s="14">
        <f t="shared" si="10"/>
        <v>5.8333333333333334E-2</v>
      </c>
      <c r="BZ5" s="18">
        <f t="shared" si="11"/>
        <v>1.0004011013549059</v>
      </c>
      <c r="CA5" s="5">
        <f t="shared" si="52"/>
        <v>-6.8510682924477484E-3</v>
      </c>
      <c r="CB5" s="13">
        <f t="shared" si="12"/>
        <v>1.00026968714926</v>
      </c>
      <c r="CC5" s="5">
        <f t="shared" si="53"/>
        <v>-4.6119172730169078E-3</v>
      </c>
      <c r="CD5" s="149">
        <f t="shared" si="54"/>
        <v>-22.391510194308406</v>
      </c>
    </row>
    <row r="6" spans="1:82" x14ac:dyDescent="0.25">
      <c r="A6" s="38">
        <v>44379</v>
      </c>
      <c r="B6" s="22">
        <v>2.3888888888823301E-5</v>
      </c>
      <c r="C6" s="22">
        <v>-1.1592327022331699E-3</v>
      </c>
      <c r="D6" s="22">
        <v>1.0051567332517799</v>
      </c>
      <c r="E6" s="22">
        <v>4.5892696763671898E-4</v>
      </c>
      <c r="F6" s="32">
        <v>0.99972632491855296</v>
      </c>
      <c r="G6" s="5">
        <f t="shared" si="0"/>
        <v>1.0138888888888888</v>
      </c>
      <c r="H6" s="5">
        <f t="shared" si="13"/>
        <v>-8.1268823676341473E-3</v>
      </c>
      <c r="I6" s="5">
        <f t="shared" si="14"/>
        <v>1.0083077393312196</v>
      </c>
      <c r="J6" s="32">
        <f t="shared" si="1"/>
        <v>1.133043</v>
      </c>
      <c r="K6" s="22" t="s">
        <v>80</v>
      </c>
      <c r="L6" s="40">
        <f t="shared" si="15"/>
        <v>-16.125</v>
      </c>
      <c r="M6" s="96">
        <v>44379</v>
      </c>
      <c r="N6" s="99">
        <f t="shared" si="41"/>
        <v>44292</v>
      </c>
      <c r="O6" s="38">
        <f t="shared" si="42"/>
        <v>44379</v>
      </c>
      <c r="P6" s="88">
        <f t="shared" si="43"/>
        <v>87</v>
      </c>
      <c r="Q6" s="45">
        <v>10000000</v>
      </c>
      <c r="R6" s="105">
        <f t="shared" si="16"/>
        <v>-4.7968249747579444E-3</v>
      </c>
      <c r="S6" s="45">
        <f t="shared" si="44"/>
        <v>-11592.327022331699</v>
      </c>
      <c r="T6" s="45">
        <f t="shared" si="45"/>
        <v>238.88888888823303</v>
      </c>
      <c r="V6" s="61">
        <f t="shared" si="17"/>
        <v>-11308250.000000002</v>
      </c>
      <c r="W6" s="47">
        <f t="shared" si="18"/>
        <v>-11330430</v>
      </c>
      <c r="X6" s="107">
        <f t="shared" si="19"/>
        <v>1.899008141945044E-3</v>
      </c>
      <c r="Y6" s="47">
        <f t="shared" si="20"/>
        <v>-5189.6608817779279</v>
      </c>
      <c r="Z6" s="47">
        <f t="shared" si="21"/>
        <v>22179.999999998137</v>
      </c>
      <c r="AC6" s="122">
        <f t="shared" si="46"/>
        <v>1.0138888888888888</v>
      </c>
      <c r="AD6" s="113">
        <f>BBG_EUR!V6/100</f>
        <v>-4.8374999999999998E-3</v>
      </c>
      <c r="AE6" s="113">
        <f>BBG_EUR!J6/100</f>
        <v>1.9270000000000001E-3</v>
      </c>
      <c r="AF6" s="116">
        <f>BBG_EUR!X6</f>
        <v>1.0083329999999999</v>
      </c>
      <c r="AG6" s="116">
        <f>BBG_EUR!L6</f>
        <v>0.99967300000000003</v>
      </c>
      <c r="AH6" s="112">
        <f t="shared" si="47"/>
        <v>-8.1513903012004896E-3</v>
      </c>
      <c r="AI6" s="112">
        <f t="shared" si="48"/>
        <v>3.2262532391191812E-4</v>
      </c>
      <c r="AJ6" s="112">
        <f t="shared" si="49"/>
        <v>-8.1268823676341473E-3</v>
      </c>
      <c r="AK6" s="112">
        <f t="shared" si="50"/>
        <v>2.699994937973571E-4</v>
      </c>
      <c r="AL6" s="143">
        <f t="shared" si="22"/>
        <v>1.133043</v>
      </c>
      <c r="AM6" s="143">
        <f>BBG_EUR!AA6</f>
        <v>1.1330798989999999</v>
      </c>
      <c r="AN6" s="151">
        <f t="shared" si="23"/>
        <v>1.000032566283892</v>
      </c>
      <c r="AO6" s="147"/>
      <c r="AP6" s="56" t="str">
        <f t="shared" si="2"/>
        <v>6Y</v>
      </c>
      <c r="AQ6" s="19" t="str">
        <f t="shared" si="3"/>
        <v>EUBS6</v>
      </c>
      <c r="AR6" s="38">
        <f t="shared" si="4"/>
        <v>46205</v>
      </c>
      <c r="AS6" s="47">
        <f t="shared" si="24"/>
        <v>-242422.12716112583</v>
      </c>
      <c r="AT6" s="47">
        <f t="shared" si="25"/>
        <v>524915.96429010667</v>
      </c>
      <c r="AU6" s="47">
        <f t="shared" si="26"/>
        <v>6166.0904301922737</v>
      </c>
      <c r="AV6" s="49">
        <f t="shared" si="27"/>
        <v>282493.83712898084</v>
      </c>
      <c r="AW6" s="61">
        <f t="shared" si="28"/>
        <v>-277298.33451663342</v>
      </c>
      <c r="AX6" s="47">
        <f t="shared" si="29"/>
        <v>704626.66367314535</v>
      </c>
      <c r="AY6" s="47">
        <f t="shared" si="30"/>
        <v>-589690.59428350441</v>
      </c>
      <c r="AZ6" s="49">
        <f t="shared" si="31"/>
        <v>-162362.26512699248</v>
      </c>
      <c r="BA6" s="47">
        <f t="shared" si="32"/>
        <v>154991.31150370458</v>
      </c>
      <c r="BB6" s="63">
        <f t="shared" si="33"/>
        <v>-22.374999999077424</v>
      </c>
      <c r="BC6" s="64">
        <f t="shared" si="5"/>
        <v>-22.375</v>
      </c>
      <c r="BD6" s="68">
        <f t="shared" si="34"/>
        <v>9.2257579353827168E-10</v>
      </c>
      <c r="BF6" s="3" t="s">
        <v>8</v>
      </c>
      <c r="BG6" s="3" t="s">
        <v>65</v>
      </c>
      <c r="BH6" s="2">
        <v>44046</v>
      </c>
      <c r="BI6" s="5">
        <v>1.124177</v>
      </c>
      <c r="BJ6" s="5">
        <v>1.00041172500326</v>
      </c>
      <c r="BK6" s="5">
        <v>0.999938137160581</v>
      </c>
      <c r="BM6" s="3" t="str">
        <f t="shared" si="35"/>
        <v>1M</v>
      </c>
      <c r="BN6" s="3" t="str">
        <f t="shared" si="6"/>
        <v>EUR1M</v>
      </c>
      <c r="BO6" s="2">
        <f t="shared" si="7"/>
        <v>44046</v>
      </c>
      <c r="BP6" s="5">
        <f t="shared" si="8"/>
        <v>1.124177</v>
      </c>
      <c r="BQ6" s="73">
        <f t="shared" si="36"/>
        <v>0.999938137160581</v>
      </c>
      <c r="BR6" s="73">
        <f t="shared" si="37"/>
        <v>1.000629744720287</v>
      </c>
      <c r="BS6" s="76">
        <f t="shared" si="38"/>
        <v>8.8888888888888892E-2</v>
      </c>
      <c r="BT6" s="80">
        <f t="shared" si="39"/>
        <v>1.00041172500326</v>
      </c>
      <c r="BU6" s="78">
        <f t="shared" si="51"/>
        <v>-4.6202466828192401E-3</v>
      </c>
      <c r="BV6" s="79">
        <f t="shared" si="40"/>
        <v>-24.371305247868904</v>
      </c>
      <c r="BX6" s="2">
        <f t="shared" si="9"/>
        <v>44046</v>
      </c>
      <c r="BY6" s="14">
        <f t="shared" si="10"/>
        <v>8.8888888888888892E-2</v>
      </c>
      <c r="BZ6" s="18">
        <f t="shared" si="11"/>
        <v>1.000629744720287</v>
      </c>
      <c r="CA6" s="5">
        <f t="shared" si="52"/>
        <v>-7.0573772076061303E-3</v>
      </c>
      <c r="CB6" s="13">
        <f t="shared" si="12"/>
        <v>1.00041172500326</v>
      </c>
      <c r="CC6" s="5">
        <f t="shared" si="53"/>
        <v>-4.6202466828192401E-3</v>
      </c>
      <c r="CD6" s="149">
        <f t="shared" si="54"/>
        <v>-24.371305247868904</v>
      </c>
    </row>
    <row r="7" spans="1:82" x14ac:dyDescent="0.25">
      <c r="A7" s="38">
        <v>44473</v>
      </c>
      <c r="B7" s="22">
        <v>2.55555555555009E-5</v>
      </c>
      <c r="C7" s="22">
        <v>-1.26627699961079E-3</v>
      </c>
      <c r="D7" s="22">
        <v>1.0066257382556301</v>
      </c>
      <c r="E7" s="22">
        <v>4.8445906375405002E-4</v>
      </c>
      <c r="F7" s="32">
        <v>0.99981182155658299</v>
      </c>
      <c r="G7" s="5">
        <f t="shared" si="0"/>
        <v>1.2749999999999999</v>
      </c>
      <c r="H7" s="5">
        <f t="shared" si="13"/>
        <v>-8.2381158952025135E-3</v>
      </c>
      <c r="I7" s="5">
        <f t="shared" si="14"/>
        <v>1.0106029185268284</v>
      </c>
      <c r="J7" s="32">
        <f t="shared" si="1"/>
        <v>1.1355250000000001</v>
      </c>
      <c r="K7" s="22" t="s">
        <v>80</v>
      </c>
      <c r="L7" s="40">
        <f t="shared" si="15"/>
        <v>-16.125</v>
      </c>
      <c r="M7" s="96">
        <v>44473</v>
      </c>
      <c r="N7" s="99">
        <f t="shared" si="41"/>
        <v>44379</v>
      </c>
      <c r="O7" s="38">
        <f t="shared" si="42"/>
        <v>44473</v>
      </c>
      <c r="P7" s="88">
        <f t="shared" si="43"/>
        <v>94</v>
      </c>
      <c r="Q7" s="45">
        <v>10000000</v>
      </c>
      <c r="R7" s="105">
        <f t="shared" si="16"/>
        <v>-4.8495714878711103E-3</v>
      </c>
      <c r="S7" s="45">
        <f t="shared" si="44"/>
        <v>-12662.7699961079</v>
      </c>
      <c r="T7" s="45">
        <f t="shared" si="45"/>
        <v>255.55555555500899</v>
      </c>
      <c r="V7" s="61">
        <f t="shared" si="17"/>
        <v>-11330430</v>
      </c>
      <c r="W7" s="47">
        <f t="shared" si="18"/>
        <v>-11355250.000000002</v>
      </c>
      <c r="X7" s="107">
        <f t="shared" si="19"/>
        <v>1.8553751377814681E-3</v>
      </c>
      <c r="Y7" s="47">
        <f t="shared" si="20"/>
        <v>-5489.1295097308011</v>
      </c>
      <c r="Z7" s="47">
        <f t="shared" si="21"/>
        <v>24820.000000001863</v>
      </c>
      <c r="AC7" s="122">
        <f t="shared" si="46"/>
        <v>1.2749999999999999</v>
      </c>
      <c r="AD7" s="113">
        <f>BBG_EUR!V7/100</f>
        <v>-4.9633999999999998E-3</v>
      </c>
      <c r="AE7" s="113">
        <f>BBG_EUR!J7/100</f>
        <v>1.7496999999999999E-3</v>
      </c>
      <c r="AF7" s="116">
        <f>BBG_EUR!X7</f>
        <v>1.010621</v>
      </c>
      <c r="AG7" s="116">
        <f>BBG_EUR!L7</f>
        <v>0.99970999999999999</v>
      </c>
      <c r="AH7" s="112">
        <f t="shared" si="47"/>
        <v>-8.2520328289399369E-3</v>
      </c>
      <c r="AI7" s="112">
        <f t="shared" si="48"/>
        <v>2.2750984360175863E-4</v>
      </c>
      <c r="AJ7" s="112">
        <f t="shared" si="49"/>
        <v>-8.2381158952025135E-3</v>
      </c>
      <c r="AK7" s="112">
        <f t="shared" si="50"/>
        <v>1.4761571860000267E-4</v>
      </c>
      <c r="AL7" s="143">
        <f t="shared" si="22"/>
        <v>1.1355250000000001</v>
      </c>
      <c r="AM7" s="143">
        <f>BBG_EUR!AA7</f>
        <v>1.135554049</v>
      </c>
      <c r="AN7" s="151">
        <f t="shared" si="23"/>
        <v>1.0000255819995156</v>
      </c>
      <c r="AO7" s="147"/>
      <c r="AP7" s="56" t="str">
        <f t="shared" si="2"/>
        <v>7Y</v>
      </c>
      <c r="AQ7" s="19" t="str">
        <f t="shared" si="3"/>
        <v>EUBS7</v>
      </c>
      <c r="AR7" s="38">
        <f t="shared" si="4"/>
        <v>46570</v>
      </c>
      <c r="AS7" s="47">
        <f t="shared" si="24"/>
        <v>-257488.55521692854</v>
      </c>
      <c r="AT7" s="47">
        <f t="shared" si="25"/>
        <v>594814.30103305727</v>
      </c>
      <c r="AU7" s="47">
        <f t="shared" si="26"/>
        <v>7223.0041844946882</v>
      </c>
      <c r="AV7" s="49">
        <f t="shared" si="27"/>
        <v>337325.74581612874</v>
      </c>
      <c r="AW7" s="61">
        <f t="shared" si="28"/>
        <v>-382170.61474841775</v>
      </c>
      <c r="AX7" s="47">
        <f t="shared" si="29"/>
        <v>860091.26511007198</v>
      </c>
      <c r="AY7" s="47">
        <f t="shared" si="30"/>
        <v>-668214.38578053564</v>
      </c>
      <c r="AZ7" s="49">
        <f t="shared" si="31"/>
        <v>-190293.73541888141</v>
      </c>
      <c r="BA7" s="47">
        <f t="shared" si="32"/>
        <v>188658.00743095757</v>
      </c>
      <c r="BB7" s="63">
        <f t="shared" si="33"/>
        <v>-23.249999998266226</v>
      </c>
      <c r="BC7" s="64">
        <f t="shared" si="5"/>
        <v>-23.249999999999996</v>
      </c>
      <c r="BD7" s="68">
        <f t="shared" si="34"/>
        <v>1.7337704605324689E-9</v>
      </c>
      <c r="BF7" s="3" t="s">
        <v>9</v>
      </c>
      <c r="BG7" s="3" t="s">
        <v>66</v>
      </c>
      <c r="BH7" s="2">
        <v>44076</v>
      </c>
      <c r="BI7" s="5">
        <v>1.124911</v>
      </c>
      <c r="BJ7" s="5">
        <v>1.0008035451664099</v>
      </c>
      <c r="BK7" s="5">
        <v>0.99988634625197603</v>
      </c>
      <c r="BM7" s="3" t="str">
        <f t="shared" si="35"/>
        <v>2M</v>
      </c>
      <c r="BN7" s="3" t="str">
        <f t="shared" si="6"/>
        <v>EUR2M</v>
      </c>
      <c r="BO7" s="2">
        <f t="shared" si="7"/>
        <v>44076</v>
      </c>
      <c r="BP7" s="5">
        <f t="shared" si="8"/>
        <v>1.124911</v>
      </c>
      <c r="BQ7" s="73">
        <f t="shared" si="36"/>
        <v>0.99988634625197603</v>
      </c>
      <c r="BR7" s="73">
        <f t="shared" si="37"/>
        <v>1.0012312174191353</v>
      </c>
      <c r="BS7" s="76">
        <f t="shared" si="38"/>
        <v>0.17222222222222222</v>
      </c>
      <c r="BT7" s="80">
        <f t="shared" si="39"/>
        <v>1.0008035451664099</v>
      </c>
      <c r="BU7" s="78">
        <f t="shared" si="51"/>
        <v>-4.6530135967937092E-3</v>
      </c>
      <c r="BV7" s="79">
        <f t="shared" si="40"/>
        <v>-24.661313623807189</v>
      </c>
      <c r="BX7" s="2">
        <f t="shared" si="9"/>
        <v>44076</v>
      </c>
      <c r="BY7" s="14">
        <f t="shared" si="10"/>
        <v>0.17222222222222222</v>
      </c>
      <c r="BZ7" s="18">
        <f t="shared" si="11"/>
        <v>1.0012312174191353</v>
      </c>
      <c r="CA7" s="5">
        <f t="shared" si="52"/>
        <v>-7.1191449591744282E-3</v>
      </c>
      <c r="CB7" s="13">
        <f t="shared" si="12"/>
        <v>1.0008035451664099</v>
      </c>
      <c r="CC7" s="5">
        <f t="shared" si="53"/>
        <v>-4.6530135967937092E-3</v>
      </c>
      <c r="CD7" s="149">
        <f t="shared" si="54"/>
        <v>-24.661313623807189</v>
      </c>
    </row>
    <row r="8" spans="1:82" x14ac:dyDescent="0.25">
      <c r="A8" s="38">
        <v>44565</v>
      </c>
      <c r="B8" s="22">
        <v>2.4999999999941702E-5</v>
      </c>
      <c r="C8" s="22">
        <v>-1.2442675982678999E-3</v>
      </c>
      <c r="D8" s="22">
        <v>1.00806556668473</v>
      </c>
      <c r="E8" s="22">
        <v>4.6435820835899401E-4</v>
      </c>
      <c r="F8" s="32">
        <v>0.99989550619718304</v>
      </c>
      <c r="G8" s="5">
        <f t="shared" si="0"/>
        <v>1.5305555555555554</v>
      </c>
      <c r="H8" s="5">
        <f t="shared" si="13"/>
        <v>-8.3612070424138318E-3</v>
      </c>
      <c r="I8" s="5">
        <f t="shared" si="14"/>
        <v>1.0129340225495798</v>
      </c>
      <c r="J8" s="32">
        <f t="shared" si="1"/>
        <v>1.1380490000000001</v>
      </c>
      <c r="K8" s="22" t="s">
        <v>80</v>
      </c>
      <c r="L8" s="40">
        <f t="shared" si="15"/>
        <v>-16.125</v>
      </c>
      <c r="M8" s="96">
        <v>44565</v>
      </c>
      <c r="N8" s="99">
        <f t="shared" si="41"/>
        <v>44473</v>
      </c>
      <c r="O8" s="38">
        <f t="shared" si="42"/>
        <v>44565</v>
      </c>
      <c r="P8" s="88">
        <f t="shared" si="43"/>
        <v>92</v>
      </c>
      <c r="Q8" s="45">
        <v>10000000</v>
      </c>
      <c r="R8" s="105">
        <f t="shared" si="16"/>
        <v>-4.8688732106135215E-3</v>
      </c>
      <c r="S8" s="45">
        <f t="shared" si="44"/>
        <v>-12442.675982678998</v>
      </c>
      <c r="T8" s="45">
        <f t="shared" si="45"/>
        <v>249.99999999941701</v>
      </c>
      <c r="V8" s="61">
        <f t="shared" si="17"/>
        <v>-11355250.000000002</v>
      </c>
      <c r="W8" s="47">
        <f t="shared" si="18"/>
        <v>-11380490</v>
      </c>
      <c r="X8" s="107">
        <f t="shared" si="19"/>
        <v>1.8170538587960635E-3</v>
      </c>
      <c r="Y8" s="47">
        <f t="shared" si="20"/>
        <v>-5272.9035454684672</v>
      </c>
      <c r="Z8" s="47">
        <f t="shared" si="21"/>
        <v>25239.999999998137</v>
      </c>
      <c r="AC8" s="122">
        <f t="shared" si="46"/>
        <v>1.5305555555555554</v>
      </c>
      <c r="AD8" s="113">
        <f>BBG_EUR!V8/100</f>
        <v>-4.9581E-3</v>
      </c>
      <c r="AE8" s="113">
        <f>BBG_EUR!J8/100</f>
        <v>1.7412E-3</v>
      </c>
      <c r="AF8" s="116">
        <f>BBG_EUR!X8</f>
        <v>1.012923</v>
      </c>
      <c r="AG8" s="116">
        <f>BBG_EUR!L8</f>
        <v>0.99979200000000001</v>
      </c>
      <c r="AH8" s="112">
        <f t="shared" si="47"/>
        <v>-8.3541567160818619E-3</v>
      </c>
      <c r="AI8" s="112">
        <f t="shared" si="48"/>
        <v>1.3592173851906253E-4</v>
      </c>
      <c r="AJ8" s="112">
        <f t="shared" si="49"/>
        <v>-8.3612070424138318E-3</v>
      </c>
      <c r="AK8" s="112">
        <f t="shared" si="50"/>
        <v>6.8277711148700959E-5</v>
      </c>
      <c r="AL8" s="143">
        <f t="shared" si="22"/>
        <v>1.1380490000000001</v>
      </c>
      <c r="AM8" s="143">
        <f>BBG_EUR!AA8</f>
        <v>1.1380176019999999</v>
      </c>
      <c r="AN8" s="151">
        <f t="shared" si="23"/>
        <v>0.99997241067827469</v>
      </c>
      <c r="AO8" s="147"/>
      <c r="AP8" s="56" t="str">
        <f t="shared" si="2"/>
        <v>8Y</v>
      </c>
      <c r="AQ8" s="19" t="str">
        <f t="shared" si="3"/>
        <v>EUBS8</v>
      </c>
      <c r="AR8" s="38">
        <f t="shared" si="4"/>
        <v>46937</v>
      </c>
      <c r="AS8" s="47">
        <f t="shared" si="24"/>
        <v>-259937.97156423092</v>
      </c>
      <c r="AT8" s="47">
        <f t="shared" si="25"/>
        <v>653778.15767091513</v>
      </c>
      <c r="AU8" s="47">
        <f t="shared" si="26"/>
        <v>8289.1869972349123</v>
      </c>
      <c r="AV8" s="49">
        <f t="shared" si="27"/>
        <v>393840.18610668421</v>
      </c>
      <c r="AW8" s="61">
        <f t="shared" si="28"/>
        <v>-499321.01722487953</v>
      </c>
      <c r="AX8" s="47">
        <f t="shared" si="29"/>
        <v>1014825.0781721198</v>
      </c>
      <c r="AY8" s="47">
        <f t="shared" si="30"/>
        <v>-734454.38232750446</v>
      </c>
      <c r="AZ8" s="49">
        <f t="shared" si="31"/>
        <v>-218950.32138026418</v>
      </c>
      <c r="BA8" s="47">
        <f t="shared" si="32"/>
        <v>223489.74369198486</v>
      </c>
      <c r="BB8" s="63">
        <f t="shared" si="33"/>
        <v>-23.999999951389558</v>
      </c>
      <c r="BC8" s="64">
        <f t="shared" si="5"/>
        <v>-23.999999999999996</v>
      </c>
      <c r="BD8" s="68">
        <f t="shared" si="34"/>
        <v>4.8610438341256668E-8</v>
      </c>
      <c r="BF8" s="3" t="s">
        <v>10</v>
      </c>
      <c r="BG8" s="3" t="s">
        <v>67</v>
      </c>
      <c r="BH8" s="2">
        <v>44106</v>
      </c>
      <c r="BI8" s="5">
        <v>1.125694</v>
      </c>
      <c r="BJ8" s="5">
        <v>1.00120460488261</v>
      </c>
      <c r="BK8" s="5">
        <v>0.99984158065616202</v>
      </c>
      <c r="BM8" s="3" t="str">
        <f t="shared" si="35"/>
        <v>3M</v>
      </c>
      <c r="BN8" s="3" t="str">
        <f t="shared" si="6"/>
        <v>EUR3M</v>
      </c>
      <c r="BO8" s="2">
        <f t="shared" si="7"/>
        <v>44106</v>
      </c>
      <c r="BP8" s="5">
        <f t="shared" si="8"/>
        <v>1.125694</v>
      </c>
      <c r="BQ8" s="73">
        <f t="shared" si="36"/>
        <v>0.99984158065616202</v>
      </c>
      <c r="BR8" s="73">
        <f t="shared" si="37"/>
        <v>1.0018832724721005</v>
      </c>
      <c r="BS8" s="76">
        <f t="shared" si="38"/>
        <v>0.25555555555555554</v>
      </c>
      <c r="BT8" s="80">
        <f t="shared" si="39"/>
        <v>1.00120460488261</v>
      </c>
      <c r="BU8" s="78">
        <f t="shared" si="51"/>
        <v>-4.699755924384541E-3</v>
      </c>
      <c r="BV8" s="79">
        <f t="shared" si="40"/>
        <v>-26.356045643000094</v>
      </c>
      <c r="BX8" s="2">
        <f t="shared" si="9"/>
        <v>44106</v>
      </c>
      <c r="BY8" s="14">
        <f t="shared" si="10"/>
        <v>0.25555555555555554</v>
      </c>
      <c r="BZ8" s="18">
        <f t="shared" si="11"/>
        <v>1.0018832724721005</v>
      </c>
      <c r="CA8" s="5">
        <f t="shared" si="52"/>
        <v>-7.3353604886845503E-3</v>
      </c>
      <c r="CB8" s="13">
        <f t="shared" si="12"/>
        <v>1.00120460488261</v>
      </c>
      <c r="CC8" s="5">
        <f t="shared" si="53"/>
        <v>-4.699755924384541E-3</v>
      </c>
      <c r="CD8" s="149">
        <f t="shared" si="54"/>
        <v>-26.356045643000094</v>
      </c>
    </row>
    <row r="9" spans="1:82" x14ac:dyDescent="0.25">
      <c r="A9" s="38">
        <v>44655</v>
      </c>
      <c r="B9" s="22">
        <v>2.4999999999941702E-5</v>
      </c>
      <c r="C9" s="22">
        <v>-1.2172347720830199E-3</v>
      </c>
      <c r="D9" s="22">
        <v>1.0094760872659301</v>
      </c>
      <c r="E9" s="22">
        <v>4.5426117222491198E-4</v>
      </c>
      <c r="F9" s="32">
        <v>0.99997737838414902</v>
      </c>
      <c r="G9" s="5">
        <f t="shared" si="0"/>
        <v>1.7805555555555554</v>
      </c>
      <c r="H9" s="5">
        <f t="shared" si="13"/>
        <v>-8.4700983536315499E-3</v>
      </c>
      <c r="I9" s="5">
        <f t="shared" si="14"/>
        <v>1.0152609920452278</v>
      </c>
      <c r="J9" s="32">
        <f t="shared" si="1"/>
        <v>1.1405700000000001</v>
      </c>
      <c r="K9" s="22" t="s">
        <v>80</v>
      </c>
      <c r="L9" s="40">
        <f t="shared" si="15"/>
        <v>-16.125</v>
      </c>
      <c r="M9" s="96">
        <v>44655</v>
      </c>
      <c r="N9" s="99">
        <f t="shared" si="41"/>
        <v>44565</v>
      </c>
      <c r="O9" s="38">
        <f t="shared" si="42"/>
        <v>44655</v>
      </c>
      <c r="P9" s="88">
        <f t="shared" si="43"/>
        <v>90</v>
      </c>
      <c r="Q9" s="45">
        <v>10000000</v>
      </c>
      <c r="R9" s="105">
        <f t="shared" si="16"/>
        <v>-4.8689390883320796E-3</v>
      </c>
      <c r="S9" s="45">
        <f t="shared" si="44"/>
        <v>-12172.347720830199</v>
      </c>
      <c r="T9" s="45">
        <f t="shared" si="45"/>
        <v>249.99999999941701</v>
      </c>
      <c r="V9" s="61">
        <f t="shared" si="17"/>
        <v>-11380490</v>
      </c>
      <c r="W9" s="47">
        <f t="shared" si="18"/>
        <v>-11405700</v>
      </c>
      <c r="X9" s="107">
        <f t="shared" si="19"/>
        <v>1.8170446888996479E-3</v>
      </c>
      <c r="Y9" s="47">
        <f t="shared" si="20"/>
        <v>-5169.7147278938883</v>
      </c>
      <c r="Z9" s="47">
        <f t="shared" si="21"/>
        <v>25210</v>
      </c>
      <c r="AC9" s="122">
        <f t="shared" si="46"/>
        <v>1.7805555555555554</v>
      </c>
      <c r="AD9" s="113">
        <f>BBG_EUR!V9/100</f>
        <v>-4.9129999999999998E-3</v>
      </c>
      <c r="AE9" s="113">
        <f>BBG_EUR!J9/100</f>
        <v>1.9459000000000002E-3</v>
      </c>
      <c r="AF9" s="116">
        <f>BBG_EUR!X9</f>
        <v>1.015218</v>
      </c>
      <c r="AG9" s="116">
        <f>BBG_EUR!L9</f>
        <v>0.99985299999999999</v>
      </c>
      <c r="AH9" s="112">
        <f t="shared" si="47"/>
        <v>-8.4465166567516681E-3</v>
      </c>
      <c r="AI9" s="112">
        <f t="shared" si="48"/>
        <v>8.2567979532877089E-5</v>
      </c>
      <c r="AJ9" s="112">
        <f t="shared" si="49"/>
        <v>-8.4700983536315499E-3</v>
      </c>
      <c r="AK9" s="112">
        <f t="shared" si="50"/>
        <v>1.2705032066406829E-5</v>
      </c>
      <c r="AL9" s="143">
        <f t="shared" si="22"/>
        <v>1.1405700000000001</v>
      </c>
      <c r="AM9" s="143">
        <f>BBG_EUR!AA9</f>
        <v>1.1405515460000002</v>
      </c>
      <c r="AN9" s="151">
        <f t="shared" si="23"/>
        <v>0.99998382037051659</v>
      </c>
      <c r="AO9" s="147"/>
      <c r="AP9" s="56" t="str">
        <f t="shared" si="2"/>
        <v>9Y</v>
      </c>
      <c r="AQ9" s="19" t="str">
        <f t="shared" si="3"/>
        <v>EUBS9</v>
      </c>
      <c r="AR9" s="38">
        <f t="shared" si="4"/>
        <v>47301</v>
      </c>
      <c r="AS9" s="47">
        <f t="shared" si="24"/>
        <v>-252044.0102230722</v>
      </c>
      <c r="AT9" s="47">
        <f t="shared" si="25"/>
        <v>698997.28548234142</v>
      </c>
      <c r="AU9" s="47">
        <f t="shared" si="26"/>
        <v>9354.4972809862466</v>
      </c>
      <c r="AV9" s="49">
        <f t="shared" si="27"/>
        <v>446953.27525926923</v>
      </c>
      <c r="AW9" s="61">
        <f t="shared" si="28"/>
        <v>-625999.51268239028</v>
      </c>
      <c r="AX9" s="47">
        <f t="shared" si="29"/>
        <v>1165298.7834153133</v>
      </c>
      <c r="AY9" s="47">
        <f t="shared" si="30"/>
        <v>-785253.55051086284</v>
      </c>
      <c r="AZ9" s="49">
        <f t="shared" si="31"/>
        <v>-245954.27977793978</v>
      </c>
      <c r="BA9" s="47">
        <f t="shared" si="32"/>
        <v>256153.02964832325</v>
      </c>
      <c r="BB9" s="63">
        <f t="shared" si="33"/>
        <v>-24.374999991934125</v>
      </c>
      <c r="BC9" s="64">
        <f t="shared" si="5"/>
        <v>-24.375</v>
      </c>
      <c r="BD9" s="68">
        <f t="shared" si="34"/>
        <v>8.0658750789552869E-9</v>
      </c>
      <c r="BF9" s="3" t="s">
        <v>11</v>
      </c>
      <c r="BG9" s="3" t="s">
        <v>68</v>
      </c>
      <c r="BH9" s="2">
        <v>44137</v>
      </c>
      <c r="BI9" s="5">
        <v>1.126465</v>
      </c>
      <c r="BJ9" s="5">
        <v>1.0016289826020299</v>
      </c>
      <c r="BK9" s="5">
        <v>0.99980187259557696</v>
      </c>
      <c r="BM9" s="3" t="str">
        <f t="shared" si="35"/>
        <v>4M</v>
      </c>
      <c r="BN9" s="3" t="str">
        <f t="shared" si="6"/>
        <v>EUR4M</v>
      </c>
      <c r="BO9" s="2">
        <f t="shared" si="7"/>
        <v>44137</v>
      </c>
      <c r="BP9" s="5">
        <f t="shared" si="8"/>
        <v>1.126465</v>
      </c>
      <c r="BQ9" s="73">
        <f t="shared" si="36"/>
        <v>0.99980187259557696</v>
      </c>
      <c r="BR9" s="73">
        <f t="shared" si="37"/>
        <v>1.002529656768183</v>
      </c>
      <c r="BS9" s="76">
        <f t="shared" si="38"/>
        <v>0.34166666666666667</v>
      </c>
      <c r="BT9" s="80">
        <f t="shared" si="39"/>
        <v>1.0016289826020299</v>
      </c>
      <c r="BU9" s="78">
        <f t="shared" si="51"/>
        <v>-4.7525456207143657E-3</v>
      </c>
      <c r="BV9" s="79">
        <f t="shared" si="40"/>
        <v>-26.14706746882689</v>
      </c>
      <c r="BX9" s="2">
        <f t="shared" si="9"/>
        <v>44137</v>
      </c>
      <c r="BY9" s="14">
        <f t="shared" si="10"/>
        <v>0.34166666666666667</v>
      </c>
      <c r="BZ9" s="18">
        <f t="shared" si="11"/>
        <v>1.002529656768183</v>
      </c>
      <c r="CA9" s="5">
        <f t="shared" si="52"/>
        <v>-7.3672523675970547E-3</v>
      </c>
      <c r="CB9" s="13">
        <f t="shared" si="12"/>
        <v>1.0016289826020299</v>
      </c>
      <c r="CC9" s="5">
        <f t="shared" si="53"/>
        <v>-4.7525456207143657E-3</v>
      </c>
      <c r="CD9" s="149">
        <f t="shared" si="54"/>
        <v>-26.14706746882689</v>
      </c>
    </row>
    <row r="10" spans="1:82" x14ac:dyDescent="0.25">
      <c r="A10" s="39">
        <v>44747</v>
      </c>
      <c r="B10" s="11">
        <v>2.5277777777832301E-5</v>
      </c>
      <c r="C10" s="11">
        <v>-1.2436048425907801E-3</v>
      </c>
      <c r="D10" s="11">
        <v>1.0109194354133</v>
      </c>
      <c r="E10" s="11">
        <v>4.6592252471189201E-4</v>
      </c>
      <c r="F10" s="33">
        <v>1.00006107688192</v>
      </c>
      <c r="G10" s="11">
        <f t="shared" si="0"/>
        <v>2.036111111111111</v>
      </c>
      <c r="H10" s="11">
        <f t="shared" si="13"/>
        <v>-8.5162606370191071E-3</v>
      </c>
      <c r="I10" s="11">
        <f t="shared" si="14"/>
        <v>1.0175668241461879</v>
      </c>
      <c r="J10" s="33">
        <f t="shared" si="1"/>
        <v>1.1430647554147342</v>
      </c>
      <c r="K10" s="11" t="s">
        <v>80</v>
      </c>
      <c r="L10" s="41">
        <f t="shared" si="15"/>
        <v>-16.125</v>
      </c>
      <c r="M10" s="95">
        <v>44747</v>
      </c>
      <c r="N10" s="9">
        <f t="shared" si="41"/>
        <v>44655</v>
      </c>
      <c r="O10" s="39">
        <f t="shared" si="42"/>
        <v>44747</v>
      </c>
      <c r="P10" s="87">
        <f t="shared" si="43"/>
        <v>92</v>
      </c>
      <c r="Q10" s="46">
        <v>10000000</v>
      </c>
      <c r="R10" s="106">
        <f t="shared" si="16"/>
        <v>-4.8662798188334874E-3</v>
      </c>
      <c r="S10" s="46">
        <f t="shared" si="44"/>
        <v>-12436.0484259078</v>
      </c>
      <c r="T10" s="46">
        <f t="shared" si="45"/>
        <v>252.77777777832301</v>
      </c>
      <c r="U10" s="50">
        <f>Q10</f>
        <v>10000000</v>
      </c>
      <c r="V10" s="62">
        <f t="shared" si="17"/>
        <v>-11405700</v>
      </c>
      <c r="W10" s="46">
        <f t="shared" si="18"/>
        <v>-11430647.554147342</v>
      </c>
      <c r="X10" s="106">
        <f t="shared" si="19"/>
        <v>1.8231750966987079E-3</v>
      </c>
      <c r="Y10" s="46">
        <f t="shared" si="20"/>
        <v>-5314.1725401064268</v>
      </c>
      <c r="Z10" s="46">
        <f t="shared" si="21"/>
        <v>24947.55414734222</v>
      </c>
      <c r="AA10" s="50">
        <f>W10</f>
        <v>-11430647.554147342</v>
      </c>
      <c r="AC10" s="124">
        <f t="shared" si="46"/>
        <v>2.036111111111111</v>
      </c>
      <c r="AD10" s="125">
        <f>BBG_EUR!V10/100</f>
        <v>-4.8678999999999997E-3</v>
      </c>
      <c r="AE10" s="125">
        <f>BBG_EUR!J10/100</f>
        <v>1.9970999999999999E-3</v>
      </c>
      <c r="AF10" s="118">
        <f>BBG_EUR!X10</f>
        <v>1.017622</v>
      </c>
      <c r="AG10" s="118">
        <f>BBG_EUR!L10</f>
        <v>0.999942</v>
      </c>
      <c r="AH10" s="126">
        <f t="shared" si="47"/>
        <v>-8.5426636013186119E-3</v>
      </c>
      <c r="AI10" s="126">
        <f t="shared" si="48"/>
        <v>2.848690716761304E-5</v>
      </c>
      <c r="AJ10" s="126">
        <f t="shared" si="49"/>
        <v>-8.5162606370190463E-3</v>
      </c>
      <c r="AK10" s="126">
        <f t="shared" si="50"/>
        <v>-2.9995465610221927E-5</v>
      </c>
      <c r="AL10" s="144">
        <f t="shared" si="22"/>
        <v>1.1430647554147342</v>
      </c>
      <c r="AM10" s="144">
        <f>BBG_EUR!AA10</f>
        <v>1.1431217819999999</v>
      </c>
      <c r="AN10" s="152">
        <f t="shared" si="23"/>
        <v>1.0000498891991862</v>
      </c>
      <c r="AO10" s="147"/>
      <c r="AP10" s="56" t="str">
        <f t="shared" si="2"/>
        <v>10Y</v>
      </c>
      <c r="AQ10" s="19" t="str">
        <f t="shared" si="3"/>
        <v>EUBS10</v>
      </c>
      <c r="AR10" s="38">
        <f t="shared" si="4"/>
        <v>47666</v>
      </c>
      <c r="AS10" s="47">
        <f t="shared" si="24"/>
        <v>-232208.00000440914</v>
      </c>
      <c r="AT10" s="47">
        <f t="shared" si="25"/>
        <v>732849.64770084806</v>
      </c>
      <c r="AU10" s="47">
        <f t="shared" si="26"/>
        <v>10426.590362542365</v>
      </c>
      <c r="AV10" s="49">
        <f t="shared" si="27"/>
        <v>500641.64769643894</v>
      </c>
      <c r="AW10" s="61">
        <f t="shared" si="28"/>
        <v>-758812.3859801119</v>
      </c>
      <c r="AX10" s="47">
        <f t="shared" si="29"/>
        <v>1308113.1814434289</v>
      </c>
      <c r="AY10" s="47">
        <f t="shared" si="30"/>
        <v>-823283.29422713071</v>
      </c>
      <c r="AZ10" s="49">
        <f t="shared" si="31"/>
        <v>-273982.49876381375</v>
      </c>
      <c r="BA10" s="47">
        <f t="shared" si="32"/>
        <v>288438.32825836574</v>
      </c>
      <c r="BB10" s="63">
        <f t="shared" si="33"/>
        <v>-24.624999981332518</v>
      </c>
      <c r="BC10" s="64">
        <f t="shared" si="5"/>
        <v>-24.625</v>
      </c>
      <c r="BD10" s="68">
        <f t="shared" si="34"/>
        <v>1.8667481782586037E-8</v>
      </c>
      <c r="BF10" s="3" t="s">
        <v>12</v>
      </c>
      <c r="BG10" s="3" t="s">
        <v>69</v>
      </c>
      <c r="BH10" s="2">
        <v>44167</v>
      </c>
      <c r="BI10" s="5">
        <v>1.127205</v>
      </c>
      <c r="BJ10" s="5">
        <v>1.00204417010701</v>
      </c>
      <c r="BK10" s="5">
        <v>0.99977055265820003</v>
      </c>
      <c r="BM10" s="3" t="str">
        <f t="shared" si="35"/>
        <v>5M</v>
      </c>
      <c r="BN10" s="3" t="str">
        <f t="shared" si="6"/>
        <v>EUR5M</v>
      </c>
      <c r="BO10" s="2">
        <f t="shared" si="7"/>
        <v>44167</v>
      </c>
      <c r="BP10" s="5">
        <f t="shared" si="8"/>
        <v>1.127205</v>
      </c>
      <c r="BQ10" s="73">
        <f t="shared" si="36"/>
        <v>0.99977055265820003</v>
      </c>
      <c r="BR10" s="73">
        <f t="shared" si="37"/>
        <v>1.0031568148558718</v>
      </c>
      <c r="BS10" s="76">
        <f t="shared" si="38"/>
        <v>0.42499999999999999</v>
      </c>
      <c r="BT10" s="80">
        <f t="shared" si="39"/>
        <v>1.00204417010701</v>
      </c>
      <c r="BU10" s="78">
        <f t="shared" si="51"/>
        <v>-4.7933775902654352E-3</v>
      </c>
      <c r="BV10" s="79">
        <f t="shared" si="40"/>
        <v>-25.952911743543083</v>
      </c>
      <c r="BX10" s="2">
        <f t="shared" si="9"/>
        <v>44167</v>
      </c>
      <c r="BY10" s="14">
        <f t="shared" si="10"/>
        <v>0.42499999999999999</v>
      </c>
      <c r="BZ10" s="18">
        <f t="shared" si="11"/>
        <v>1.0031568148558718</v>
      </c>
      <c r="CA10" s="5">
        <f t="shared" si="52"/>
        <v>-7.3886687646197435E-3</v>
      </c>
      <c r="CB10" s="13">
        <f t="shared" si="12"/>
        <v>1.00204417010701</v>
      </c>
      <c r="CC10" s="5">
        <f t="shared" si="53"/>
        <v>-4.7933775902654352E-3</v>
      </c>
      <c r="CD10" s="149">
        <f t="shared" si="54"/>
        <v>-25.952911743543083</v>
      </c>
    </row>
    <row r="11" spans="1:82" x14ac:dyDescent="0.25">
      <c r="A11" s="38">
        <v>44837</v>
      </c>
      <c r="B11" s="22">
        <v>2.44444444443825E-5</v>
      </c>
      <c r="C11" s="22">
        <v>-1.15758338521965E-3</v>
      </c>
      <c r="D11" s="22">
        <v>1.01228372491671</v>
      </c>
      <c r="E11" s="22">
        <v>5.9505801947534699E-4</v>
      </c>
      <c r="F11" s="32">
        <v>1.00004593350556</v>
      </c>
      <c r="G11" s="5">
        <f t="shared" si="0"/>
        <v>2.286111111111111</v>
      </c>
      <c r="H11" s="5">
        <f t="shared" si="13"/>
        <v>-8.5516703899409328E-3</v>
      </c>
      <c r="I11" s="5">
        <f t="shared" si="14"/>
        <v>1.0198281586780569</v>
      </c>
      <c r="J11" s="32">
        <f t="shared" si="1"/>
        <v>1.145622331009218</v>
      </c>
      <c r="K11" s="22" t="s">
        <v>81</v>
      </c>
      <c r="L11" s="40">
        <f t="shared" si="15"/>
        <v>-17.625</v>
      </c>
      <c r="M11" s="96">
        <v>44837</v>
      </c>
      <c r="N11" s="99">
        <f t="shared" si="41"/>
        <v>44747</v>
      </c>
      <c r="O11" s="38">
        <f t="shared" si="42"/>
        <v>44837</v>
      </c>
      <c r="P11" s="88">
        <f t="shared" si="43"/>
        <v>90</v>
      </c>
      <c r="Q11" s="45">
        <v>10000000</v>
      </c>
      <c r="R11" s="105">
        <f t="shared" si="16"/>
        <v>-4.6303335408786001E-3</v>
      </c>
      <c r="S11" s="45">
        <f t="shared" si="44"/>
        <v>-11575.8338521965</v>
      </c>
      <c r="T11" s="45">
        <f t="shared" si="45"/>
        <v>244.44444444382501</v>
      </c>
      <c r="V11" s="61">
        <f t="shared" si="17"/>
        <v>-11430647.554147342</v>
      </c>
      <c r="W11" s="47">
        <f t="shared" si="18"/>
        <v>-11456223.310092179</v>
      </c>
      <c r="X11" s="107">
        <f t="shared" si="19"/>
        <v>2.380232077901388E-3</v>
      </c>
      <c r="Y11" s="47">
        <f t="shared" si="20"/>
        <v>-6801.8984948916368</v>
      </c>
      <c r="Z11" s="47">
        <f t="shared" si="21"/>
        <v>25575.755944836885</v>
      </c>
      <c r="AC11" s="122">
        <f t="shared" si="46"/>
        <v>2.286111111111111</v>
      </c>
      <c r="AD11" s="113">
        <f>BBG_EUR!V11/100</f>
        <v>-4.7951000000000001E-3</v>
      </c>
      <c r="AE11" s="113">
        <f>BBG_EUR!J11/100</f>
        <v>2.3408999999999999E-3</v>
      </c>
      <c r="AF11" s="116">
        <f>BBG_EUR!X11</f>
        <v>1.0199100000000001</v>
      </c>
      <c r="AG11" s="116">
        <f>BBG_EUR!L11</f>
        <v>0.99996799999999997</v>
      </c>
      <c r="AH11" s="112">
        <f t="shared" si="47"/>
        <v>-8.5864715194526875E-3</v>
      </c>
      <c r="AI11" s="112">
        <f t="shared" si="48"/>
        <v>1.3997891801897921E-5</v>
      </c>
      <c r="AJ11" s="112">
        <f t="shared" si="49"/>
        <v>-8.5516703899409796E-3</v>
      </c>
      <c r="AK11" s="112">
        <f t="shared" si="50"/>
        <v>-2.0091757129359067E-5</v>
      </c>
      <c r="AL11" s="143">
        <f t="shared" si="22"/>
        <v>1.145622331009218</v>
      </c>
      <c r="AM11" s="143">
        <f>BBG_EUR!AA11</f>
        <v>1.1456893970000002</v>
      </c>
      <c r="AN11" s="151">
        <f t="shared" si="23"/>
        <v>1.0000585410994243</v>
      </c>
      <c r="AO11" s="147"/>
      <c r="AP11" s="56" t="str">
        <f t="shared" si="2"/>
        <v>12Y</v>
      </c>
      <c r="AQ11" s="19" t="str">
        <f t="shared" si="3"/>
        <v>EUBS12</v>
      </c>
      <c r="AR11" s="38">
        <f t="shared" si="4"/>
        <v>48397</v>
      </c>
      <c r="AS11" s="47">
        <f t="shared" si="24"/>
        <v>-166318.21260689513</v>
      </c>
      <c r="AT11" s="47">
        <f t="shared" si="25"/>
        <v>775188.63183939643</v>
      </c>
      <c r="AU11" s="47">
        <f t="shared" si="26"/>
        <v>12578.524682665879</v>
      </c>
      <c r="AV11" s="49">
        <f t="shared" si="27"/>
        <v>608870.4192325013</v>
      </c>
      <c r="AW11" s="61">
        <f t="shared" si="28"/>
        <v>-1037330.9284185502</v>
      </c>
      <c r="AX11" s="47">
        <f t="shared" si="29"/>
        <v>1575674.3345781709</v>
      </c>
      <c r="AY11" s="47">
        <f t="shared" si="30"/>
        <v>-870846.90900837816</v>
      </c>
      <c r="AZ11" s="49">
        <f t="shared" si="31"/>
        <v>-332503.50284875743</v>
      </c>
      <c r="BA11" s="47">
        <f t="shared" si="32"/>
        <v>351501.52611703449</v>
      </c>
      <c r="BB11" s="63">
        <f t="shared" si="33"/>
        <v>-24.874999981099801</v>
      </c>
      <c r="BC11" s="64">
        <f t="shared" si="5"/>
        <v>-24.875</v>
      </c>
      <c r="BD11" s="68">
        <f t="shared" si="34"/>
        <v>1.8900198739402185E-8</v>
      </c>
      <c r="BF11" s="3" t="s">
        <v>13</v>
      </c>
      <c r="BG11" s="3" t="s">
        <v>70</v>
      </c>
      <c r="BH11" s="2">
        <v>44200</v>
      </c>
      <c r="BI11" s="5">
        <v>1.128484</v>
      </c>
      <c r="BJ11" s="5">
        <v>1.0025017430998999</v>
      </c>
      <c r="BK11" s="5">
        <v>0.99973656941395905</v>
      </c>
      <c r="BM11" s="3" t="str">
        <f t="shared" si="35"/>
        <v>6M</v>
      </c>
      <c r="BN11" s="3" t="str">
        <f t="shared" si="6"/>
        <v>EUR6M</v>
      </c>
      <c r="BO11" s="2">
        <f t="shared" si="7"/>
        <v>44200</v>
      </c>
      <c r="BP11" s="5">
        <f t="shared" si="8"/>
        <v>1.128484</v>
      </c>
      <c r="BQ11" s="73">
        <f t="shared" si="36"/>
        <v>0.99973656941395905</v>
      </c>
      <c r="BR11" s="73">
        <f t="shared" si="37"/>
        <v>1.004260924691599</v>
      </c>
      <c r="BS11" s="76">
        <f t="shared" si="38"/>
        <v>0.51666666666666672</v>
      </c>
      <c r="BT11" s="80">
        <f t="shared" si="39"/>
        <v>1.0025017430998999</v>
      </c>
      <c r="BU11" s="78">
        <f t="shared" si="51"/>
        <v>-4.8243618797246812E-3</v>
      </c>
      <c r="BV11" s="79">
        <f t="shared" si="40"/>
        <v>-33.712999978710023</v>
      </c>
      <c r="BX11" s="2">
        <f t="shared" si="9"/>
        <v>44200</v>
      </c>
      <c r="BY11" s="14">
        <f t="shared" si="10"/>
        <v>0.51666666666666672</v>
      </c>
      <c r="BZ11" s="18">
        <f t="shared" si="11"/>
        <v>1.004260924691599</v>
      </c>
      <c r="CA11" s="5">
        <f t="shared" si="52"/>
        <v>-8.1956618775956835E-3</v>
      </c>
      <c r="CB11" s="13">
        <f t="shared" si="12"/>
        <v>1.0025017430998999</v>
      </c>
      <c r="CC11" s="5">
        <f t="shared" si="53"/>
        <v>-4.8243618797246812E-3</v>
      </c>
      <c r="CD11" s="149">
        <f t="shared" si="54"/>
        <v>-33.712999978710023</v>
      </c>
    </row>
    <row r="12" spans="1:82" x14ac:dyDescent="0.25">
      <c r="A12" s="38">
        <v>44929</v>
      </c>
      <c r="B12" s="22">
        <v>2.4999999999941702E-5</v>
      </c>
      <c r="C12" s="22">
        <v>-1.1832922349561601E-3</v>
      </c>
      <c r="D12" s="22">
        <v>1.0136802349921701</v>
      </c>
      <c r="E12" s="22">
        <v>6.0828555204839297E-4</v>
      </c>
      <c r="F12" s="32">
        <v>1.0000304538467399</v>
      </c>
      <c r="G12" s="5">
        <f t="shared" si="0"/>
        <v>2.5416666666666665</v>
      </c>
      <c r="H12" s="5">
        <f t="shared" si="13"/>
        <v>-8.5878670262610254E-3</v>
      </c>
      <c r="I12" s="5">
        <f t="shared" si="14"/>
        <v>1.0221638085289018</v>
      </c>
      <c r="J12" s="32">
        <f t="shared" si="1"/>
        <v>1.1482638534499583</v>
      </c>
      <c r="K12" s="22" t="s">
        <v>81</v>
      </c>
      <c r="L12" s="40">
        <f t="shared" si="15"/>
        <v>-17.625</v>
      </c>
      <c r="M12" s="96">
        <v>44929</v>
      </c>
      <c r="N12" s="99">
        <f t="shared" si="41"/>
        <v>44837</v>
      </c>
      <c r="O12" s="38">
        <f t="shared" si="42"/>
        <v>44929</v>
      </c>
      <c r="P12" s="88">
        <f t="shared" si="43"/>
        <v>92</v>
      </c>
      <c r="Q12" s="45">
        <v>10000000</v>
      </c>
      <c r="R12" s="105">
        <f t="shared" si="16"/>
        <v>-4.6302739628719305E-3</v>
      </c>
      <c r="S12" s="45">
        <f t="shared" si="44"/>
        <v>-11832.922349561601</v>
      </c>
      <c r="T12" s="45">
        <f t="shared" si="45"/>
        <v>249.99999999941701</v>
      </c>
      <c r="V12" s="61">
        <f t="shared" si="17"/>
        <v>-11456223.310092179</v>
      </c>
      <c r="W12" s="47">
        <f t="shared" si="18"/>
        <v>-11482638.534499584</v>
      </c>
      <c r="X12" s="107">
        <f t="shared" si="19"/>
        <v>2.3802478123632767E-3</v>
      </c>
      <c r="Y12" s="47">
        <f t="shared" si="20"/>
        <v>-6968.6551205690894</v>
      </c>
      <c r="Z12" s="47">
        <f t="shared" si="21"/>
        <v>26415.224407404661</v>
      </c>
      <c r="AC12" s="122">
        <f t="shared" si="46"/>
        <v>2.5416666666666665</v>
      </c>
      <c r="AD12" s="113">
        <f>BBG_EUR!V12/100</f>
        <v>-4.5031999999999997E-3</v>
      </c>
      <c r="AE12" s="113">
        <f>BBG_EUR!J12/100</f>
        <v>2.3674E-3</v>
      </c>
      <c r="AF12" s="116">
        <f>BBG_EUR!X12</f>
        <v>1.0222789999999999</v>
      </c>
      <c r="AG12" s="116">
        <f>BBG_EUR!L12</f>
        <v>1.0000009999999999</v>
      </c>
      <c r="AH12" s="112">
        <f t="shared" si="47"/>
        <v>-8.6318213258050891E-3</v>
      </c>
      <c r="AI12" s="112">
        <f t="shared" si="48"/>
        <v>-3.9344234892269014E-7</v>
      </c>
      <c r="AJ12" s="112">
        <f t="shared" si="49"/>
        <v>-8.5878670262610202E-3</v>
      </c>
      <c r="AK12" s="112">
        <f t="shared" si="50"/>
        <v>-1.1981587117682047E-5</v>
      </c>
      <c r="AL12" s="143">
        <f t="shared" si="22"/>
        <v>1.1482638534499583</v>
      </c>
      <c r="AM12" s="143">
        <f>BBG_EUR!AA12</f>
        <v>1.1482839730000001</v>
      </c>
      <c r="AN12" s="151">
        <f t="shared" si="23"/>
        <v>1.0000175217133078</v>
      </c>
      <c r="AO12" s="147"/>
      <c r="AP12" s="56" t="str">
        <f t="shared" si="2"/>
        <v>15Y</v>
      </c>
      <c r="AQ12" s="19" t="str">
        <f t="shared" si="3"/>
        <v>EUBS15</v>
      </c>
      <c r="AR12" s="38">
        <f t="shared" si="4"/>
        <v>49492</v>
      </c>
      <c r="AS12" s="47">
        <f t="shared" si="24"/>
        <v>-34657.954138491375</v>
      </c>
      <c r="AT12" s="47">
        <f t="shared" si="25"/>
        <v>781458.04423268884</v>
      </c>
      <c r="AU12" s="47">
        <f t="shared" si="26"/>
        <v>15814.030844181507</v>
      </c>
      <c r="AV12" s="49">
        <f t="shared" si="27"/>
        <v>746800.09009419743</v>
      </c>
      <c r="AW12" s="61">
        <f t="shared" si="28"/>
        <v>-1453258.2363756506</v>
      </c>
      <c r="AX12" s="47">
        <f t="shared" si="29"/>
        <v>1914123.1823995842</v>
      </c>
      <c r="AY12" s="47">
        <f t="shared" si="30"/>
        <v>-877889.96689100005</v>
      </c>
      <c r="AZ12" s="49">
        <f t="shared" si="31"/>
        <v>-417025.02086706646</v>
      </c>
      <c r="BA12" s="47">
        <f t="shared" si="32"/>
        <v>421930.20034475485</v>
      </c>
      <c r="BB12" s="63">
        <f t="shared" si="33"/>
        <v>-23.749999825440096</v>
      </c>
      <c r="BC12" s="64">
        <f t="shared" si="5"/>
        <v>-23.75</v>
      </c>
      <c r="BD12" s="68">
        <f t="shared" si="34"/>
        <v>1.7455990430903512E-7</v>
      </c>
      <c r="BF12" s="3" t="s">
        <v>14</v>
      </c>
      <c r="BG12" s="3" t="s">
        <v>71</v>
      </c>
      <c r="BH12" s="2">
        <v>44229</v>
      </c>
      <c r="BI12" s="5">
        <v>1.129219</v>
      </c>
      <c r="BJ12" s="5">
        <v>1.00292296325847</v>
      </c>
      <c r="BK12" s="5">
        <v>0.99972236876717302</v>
      </c>
      <c r="BM12" s="3" t="str">
        <f t="shared" si="35"/>
        <v>7M</v>
      </c>
      <c r="BN12" s="3" t="str">
        <f t="shared" si="6"/>
        <v>EUR7M</v>
      </c>
      <c r="BO12" s="2">
        <f t="shared" si="7"/>
        <v>44229</v>
      </c>
      <c r="BP12" s="5">
        <f t="shared" si="8"/>
        <v>1.129219</v>
      </c>
      <c r="BQ12" s="73">
        <f t="shared" si="36"/>
        <v>0.99972236876717302</v>
      </c>
      <c r="BR12" s="73">
        <f t="shared" si="37"/>
        <v>1.0049007419769436</v>
      </c>
      <c r="BS12" s="76">
        <f t="shared" si="38"/>
        <v>0.59722222222222221</v>
      </c>
      <c r="BT12" s="80">
        <f t="shared" si="39"/>
        <v>1.00292296325847</v>
      </c>
      <c r="BU12" s="78">
        <f t="shared" si="51"/>
        <v>-4.8752025260269116E-3</v>
      </c>
      <c r="BV12" s="79">
        <f t="shared" si="40"/>
        <v>-32.772361376975923</v>
      </c>
      <c r="BX12" s="2">
        <f t="shared" si="9"/>
        <v>44229</v>
      </c>
      <c r="BY12" s="14">
        <f t="shared" si="10"/>
        <v>0.59722222222222221</v>
      </c>
      <c r="BZ12" s="18">
        <f t="shared" si="11"/>
        <v>1.0049007419769436</v>
      </c>
      <c r="CA12" s="5">
        <f t="shared" si="52"/>
        <v>-8.1524386637245039E-3</v>
      </c>
      <c r="CB12" s="13">
        <f t="shared" si="12"/>
        <v>1.00292296325847</v>
      </c>
      <c r="CC12" s="5">
        <f t="shared" si="53"/>
        <v>-4.8752025260269116E-3</v>
      </c>
      <c r="CD12" s="149">
        <f t="shared" si="54"/>
        <v>-32.772361376975923</v>
      </c>
    </row>
    <row r="13" spans="1:82" x14ac:dyDescent="0.25">
      <c r="A13" s="38">
        <v>45019</v>
      </c>
      <c r="B13" s="22">
        <v>2.4999999999941702E-5</v>
      </c>
      <c r="C13" s="22">
        <v>-1.15758338521942E-3</v>
      </c>
      <c r="D13" s="22">
        <v>1.0150482503413301</v>
      </c>
      <c r="E13" s="22">
        <v>5.9505801947512505E-4</v>
      </c>
      <c r="F13" s="32">
        <v>1.0000153109340899</v>
      </c>
      <c r="G13" s="5">
        <f t="shared" si="0"/>
        <v>2.7916666666666665</v>
      </c>
      <c r="H13" s="5">
        <f t="shared" si="13"/>
        <v>-8.6232767791828511E-3</v>
      </c>
      <c r="I13" s="5">
        <f t="shared" si="14"/>
        <v>1.0244723610653268</v>
      </c>
      <c r="J13" s="32">
        <f t="shared" si="1"/>
        <v>1.1508746294551908</v>
      </c>
      <c r="K13" s="22" t="s">
        <v>81</v>
      </c>
      <c r="L13" s="40">
        <f t="shared" si="15"/>
        <v>-17.625</v>
      </c>
      <c r="M13" s="96">
        <v>45019</v>
      </c>
      <c r="N13" s="99">
        <f t="shared" si="41"/>
        <v>44929</v>
      </c>
      <c r="O13" s="38">
        <f t="shared" si="42"/>
        <v>45019</v>
      </c>
      <c r="P13" s="88">
        <f t="shared" si="43"/>
        <v>90</v>
      </c>
      <c r="Q13" s="45">
        <v>10000000</v>
      </c>
      <c r="R13" s="105">
        <f t="shared" si="16"/>
        <v>-4.6303335408776798E-3</v>
      </c>
      <c r="S13" s="45">
        <f t="shared" si="44"/>
        <v>-11575.833852194199</v>
      </c>
      <c r="T13" s="45">
        <f t="shared" si="45"/>
        <v>249.99999999941701</v>
      </c>
      <c r="V13" s="61">
        <f t="shared" si="17"/>
        <v>-11482638.534499584</v>
      </c>
      <c r="W13" s="47">
        <f t="shared" si="18"/>
        <v>-11508746.294551909</v>
      </c>
      <c r="X13" s="107">
        <f t="shared" si="19"/>
        <v>2.3802320779005002E-3</v>
      </c>
      <c r="Y13" s="47">
        <f t="shared" si="20"/>
        <v>-6832.8361446880745</v>
      </c>
      <c r="Z13" s="47">
        <f t="shared" si="21"/>
        <v>26107.760052325204</v>
      </c>
      <c r="AC13" s="122">
        <f t="shared" si="46"/>
        <v>2.7916666666666665</v>
      </c>
      <c r="AD13" s="113">
        <f>BBG_EUR!V13/100</f>
        <v>-4.4524000000000005E-3</v>
      </c>
      <c r="AE13" s="113">
        <f>BBG_EUR!J13/100</f>
        <v>2.3938000000000002E-3</v>
      </c>
      <c r="AF13" s="116">
        <f>BBG_EUR!X13</f>
        <v>1.024627</v>
      </c>
      <c r="AG13" s="116">
        <f>BBG_EUR!L13</f>
        <v>1.00004</v>
      </c>
      <c r="AH13" s="112">
        <f t="shared" si="47"/>
        <v>-8.6768748606301793E-3</v>
      </c>
      <c r="AI13" s="112">
        <f t="shared" si="48"/>
        <v>-1.4327969003136154E-5</v>
      </c>
      <c r="AJ13" s="112">
        <f t="shared" si="49"/>
        <v>-8.6232767791828424E-3</v>
      </c>
      <c r="AK13" s="112">
        <f t="shared" si="50"/>
        <v>-5.4844566780287707E-6</v>
      </c>
      <c r="AL13" s="143">
        <f t="shared" si="22"/>
        <v>1.1508746294551908</v>
      </c>
      <c r="AM13" s="143">
        <f>BBG_EUR!AA13</f>
        <v>1.1509041470000001</v>
      </c>
      <c r="AN13" s="151">
        <f t="shared" si="23"/>
        <v>1.0000256479238083</v>
      </c>
      <c r="AO13" s="147"/>
      <c r="AP13" s="56" t="str">
        <f t="shared" si="2"/>
        <v>20Y</v>
      </c>
      <c r="AQ13" s="19" t="str">
        <f t="shared" si="3"/>
        <v>EUBS20</v>
      </c>
      <c r="AR13" s="38">
        <f t="shared" si="4"/>
        <v>51319</v>
      </c>
      <c r="AS13" s="47">
        <f t="shared" si="24"/>
        <v>132109.26153903469</v>
      </c>
      <c r="AT13" s="47">
        <f t="shared" si="25"/>
        <v>785262.49279970303</v>
      </c>
      <c r="AU13" s="47">
        <f t="shared" si="26"/>
        <v>21211.301139392737</v>
      </c>
      <c r="AV13" s="49">
        <f t="shared" si="27"/>
        <v>917371.75433873769</v>
      </c>
      <c r="AW13" s="61">
        <f t="shared" si="28"/>
        <v>-2145908.9591331966</v>
      </c>
      <c r="AX13" s="47">
        <f t="shared" si="29"/>
        <v>2483008.7185693453</v>
      </c>
      <c r="AY13" s="47">
        <f t="shared" si="30"/>
        <v>-882163.88441118598</v>
      </c>
      <c r="AZ13" s="49">
        <f t="shared" si="31"/>
        <v>-545064.1249750373</v>
      </c>
      <c r="BA13" s="47">
        <f t="shared" si="32"/>
        <v>485511.3038491006</v>
      </c>
      <c r="BB13" s="63">
        <f t="shared" si="33"/>
        <v>-20.374999956427764</v>
      </c>
      <c r="BC13" s="64">
        <f t="shared" si="5"/>
        <v>-20.374999999999996</v>
      </c>
      <c r="BD13" s="68">
        <f t="shared" si="34"/>
        <v>4.3572232044652992E-8</v>
      </c>
      <c r="BF13" s="3" t="s">
        <v>15</v>
      </c>
      <c r="BG13" s="3" t="s">
        <v>72</v>
      </c>
      <c r="BH13" s="2">
        <v>44257</v>
      </c>
      <c r="BI13" s="5">
        <v>1.12992</v>
      </c>
      <c r="BJ13" s="5">
        <v>1.00332527077867</v>
      </c>
      <c r="BK13" s="5">
        <v>0.99970983422061699</v>
      </c>
      <c r="BM13" s="3" t="str">
        <f t="shared" si="35"/>
        <v>8M</v>
      </c>
      <c r="BN13" s="3" t="str">
        <f t="shared" si="6"/>
        <v>EUR8M</v>
      </c>
      <c r="BO13" s="2">
        <f t="shared" si="7"/>
        <v>44257</v>
      </c>
      <c r="BP13" s="5">
        <f t="shared" si="8"/>
        <v>1.12992</v>
      </c>
      <c r="BQ13" s="73">
        <f t="shared" si="36"/>
        <v>0.99970983422061699</v>
      </c>
      <c r="BR13" s="73">
        <f t="shared" si="37"/>
        <v>1.005511960016521</v>
      </c>
      <c r="BS13" s="76">
        <f t="shared" si="38"/>
        <v>0.67500000000000004</v>
      </c>
      <c r="BT13" s="80">
        <f t="shared" si="39"/>
        <v>1.00332527077867</v>
      </c>
      <c r="BU13" s="78">
        <f t="shared" si="51"/>
        <v>-4.9060801867970572E-3</v>
      </c>
      <c r="BV13" s="79">
        <f t="shared" si="40"/>
        <v>-32.042958789026969</v>
      </c>
      <c r="BX13" s="2">
        <f t="shared" si="9"/>
        <v>44257</v>
      </c>
      <c r="BY13" s="14">
        <f t="shared" si="10"/>
        <v>0.67500000000000004</v>
      </c>
      <c r="BZ13" s="18">
        <f t="shared" si="11"/>
        <v>1.005511960016521</v>
      </c>
      <c r="CA13" s="5">
        <f t="shared" si="52"/>
        <v>-8.1103760656997537E-3</v>
      </c>
      <c r="CB13" s="13">
        <f t="shared" si="12"/>
        <v>1.00332527077867</v>
      </c>
      <c r="CC13" s="5">
        <f t="shared" si="53"/>
        <v>-4.9060801867970572E-3</v>
      </c>
      <c r="CD13" s="149">
        <f t="shared" si="54"/>
        <v>-32.042958789026969</v>
      </c>
    </row>
    <row r="14" spans="1:82" x14ac:dyDescent="0.25">
      <c r="A14" s="39">
        <v>45110</v>
      </c>
      <c r="B14" s="11">
        <v>2.4999999999941702E-5</v>
      </c>
      <c r="C14" s="11">
        <v>-1.1704378928028001E-3</v>
      </c>
      <c r="D14" s="11">
        <v>1.01643334296396</v>
      </c>
      <c r="E14" s="11">
        <v>6.0167176390413203E-4</v>
      </c>
      <c r="F14" s="33">
        <v>0.999999999999999</v>
      </c>
      <c r="G14" s="11">
        <f t="shared" si="0"/>
        <v>3.0444444444444443</v>
      </c>
      <c r="H14" s="11">
        <f t="shared" si="13"/>
        <v>-8.6590799738038085E-3</v>
      </c>
      <c r="I14" s="11">
        <f t="shared" si="14"/>
        <v>1.026830513665151</v>
      </c>
      <c r="J14" s="33">
        <f t="shared" si="1"/>
        <v>1.1535413990514316</v>
      </c>
      <c r="K14" s="11" t="s">
        <v>81</v>
      </c>
      <c r="L14" s="41">
        <f t="shared" si="15"/>
        <v>-17.625</v>
      </c>
      <c r="M14" s="95">
        <v>45110</v>
      </c>
      <c r="N14" s="9">
        <f t="shared" si="41"/>
        <v>45019</v>
      </c>
      <c r="O14" s="39">
        <f t="shared" si="42"/>
        <v>45110</v>
      </c>
      <c r="P14" s="87">
        <f t="shared" si="43"/>
        <v>91</v>
      </c>
      <c r="Q14" s="46">
        <v>10000000</v>
      </c>
      <c r="R14" s="106">
        <f t="shared" si="16"/>
        <v>-4.6303037517473411E-3</v>
      </c>
      <c r="S14" s="46">
        <f t="shared" si="44"/>
        <v>-11704.378928028002</v>
      </c>
      <c r="T14" s="46">
        <f t="shared" si="45"/>
        <v>249.99999999941701</v>
      </c>
      <c r="U14" s="50">
        <f>Q14</f>
        <v>10000000</v>
      </c>
      <c r="V14" s="62">
        <f t="shared" si="17"/>
        <v>-11508746.294551909</v>
      </c>
      <c r="W14" s="46">
        <f t="shared" si="18"/>
        <v>-11535413.990514316</v>
      </c>
      <c r="X14" s="106">
        <f t="shared" si="19"/>
        <v>2.3802399451152475E-3</v>
      </c>
      <c r="Y14" s="46">
        <f t="shared" si="20"/>
        <v>-6924.4876833681901</v>
      </c>
      <c r="Z14" s="46">
        <f t="shared" si="21"/>
        <v>26667.695962406695</v>
      </c>
      <c r="AA14" s="50">
        <f>W14</f>
        <v>-11535413.990514316</v>
      </c>
      <c r="AC14" s="122">
        <f t="shared" si="46"/>
        <v>3.0444444444444443</v>
      </c>
      <c r="AD14" s="113">
        <f>BBG_EUR!V14/100</f>
        <v>-4.4016999999999997E-3</v>
      </c>
      <c r="AE14" s="113">
        <f>BBG_EUR!J14/100</f>
        <v>2.4201000000000001E-3</v>
      </c>
      <c r="AF14" s="116">
        <f>BBG_EUR!X14</f>
        <v>1.0270300000000001</v>
      </c>
      <c r="AG14" s="116">
        <f>BBG_EUR!L14</f>
        <v>1.000086</v>
      </c>
      <c r="AH14" s="112">
        <f t="shared" si="47"/>
        <v>-8.7223318376044023E-3</v>
      </c>
      <c r="AI14" s="112">
        <f t="shared" si="48"/>
        <v>-2.8246561638911594E-5</v>
      </c>
      <c r="AJ14" s="112">
        <f t="shared" si="49"/>
        <v>-8.6590799738037738E-3</v>
      </c>
      <c r="AK14" s="112">
        <f t="shared" si="50"/>
        <v>0</v>
      </c>
      <c r="AL14" s="143">
        <f t="shared" si="22"/>
        <v>1.1535413990514316</v>
      </c>
      <c r="AM14" s="143">
        <f>BBG_EUR!AA14</f>
        <v>1.153550165</v>
      </c>
      <c r="AN14" s="151">
        <f t="shared" si="23"/>
        <v>1.000007599162523</v>
      </c>
      <c r="AO14" s="147"/>
      <c r="AP14" s="56" t="str">
        <f t="shared" si="2"/>
        <v>30Y</v>
      </c>
      <c r="AQ14" s="19" t="str">
        <f t="shared" si="3"/>
        <v>EUBS30</v>
      </c>
      <c r="AR14" s="38">
        <f t="shared" si="4"/>
        <v>54974</v>
      </c>
      <c r="AS14" s="47">
        <f t="shared" si="24"/>
        <v>100909.23079539374</v>
      </c>
      <c r="AT14" s="47">
        <f t="shared" si="25"/>
        <v>1026446.844165517</v>
      </c>
      <c r="AU14" s="47">
        <f t="shared" si="26"/>
        <v>32138.371029531558</v>
      </c>
      <c r="AV14" s="49">
        <f t="shared" si="27"/>
        <v>1127356.0749609107</v>
      </c>
      <c r="AW14" s="61">
        <f t="shared" si="28"/>
        <v>-3371918.0930508338</v>
      </c>
      <c r="AX14" s="47">
        <f t="shared" si="29"/>
        <v>3682781.5514820069</v>
      </c>
      <c r="AY14" s="47">
        <f t="shared" si="30"/>
        <v>-1153110.3847355396</v>
      </c>
      <c r="AZ14" s="49">
        <f t="shared" si="31"/>
        <v>-842246.92630436644</v>
      </c>
      <c r="BA14" s="47">
        <f t="shared" si="32"/>
        <v>424224.88830672065</v>
      </c>
      <c r="BB14" s="63">
        <f t="shared" si="33"/>
        <v>-11.749999934507859</v>
      </c>
      <c r="BC14" s="64">
        <f t="shared" si="5"/>
        <v>-11.75</v>
      </c>
      <c r="BD14" s="68">
        <f t="shared" si="34"/>
        <v>6.5492141487766276E-8</v>
      </c>
      <c r="BF14" s="3" t="s">
        <v>16</v>
      </c>
      <c r="BG14" s="3" t="s">
        <v>73</v>
      </c>
      <c r="BH14" s="2">
        <v>44292</v>
      </c>
      <c r="BI14" s="5">
        <v>1.130825</v>
      </c>
      <c r="BJ14" s="5">
        <v>1.0038449492322099</v>
      </c>
      <c r="BK14" s="5">
        <v>0.99970438670061001</v>
      </c>
      <c r="BM14" s="3" t="str">
        <f t="shared" si="35"/>
        <v>9M</v>
      </c>
      <c r="BN14" s="3" t="str">
        <f t="shared" si="6"/>
        <v>EUR9M</v>
      </c>
      <c r="BO14" s="2">
        <f t="shared" si="7"/>
        <v>44292</v>
      </c>
      <c r="BP14" s="5">
        <f t="shared" si="8"/>
        <v>1.130825</v>
      </c>
      <c r="BQ14" s="73">
        <f t="shared" si="36"/>
        <v>0.99970438670061001</v>
      </c>
      <c r="BR14" s="73">
        <f t="shared" si="37"/>
        <v>1.0063118329096647</v>
      </c>
      <c r="BS14" s="76">
        <f t="shared" si="38"/>
        <v>0.77222222222222225</v>
      </c>
      <c r="BT14" s="80">
        <f t="shared" si="39"/>
        <v>1.0038449492322099</v>
      </c>
      <c r="BU14" s="78">
        <f t="shared" si="51"/>
        <v>-4.9571956248996019E-3</v>
      </c>
      <c r="BV14" s="79">
        <f t="shared" si="40"/>
        <v>-31.576095500720491</v>
      </c>
      <c r="BX14" s="2">
        <f t="shared" si="9"/>
        <v>44292</v>
      </c>
      <c r="BY14" s="14">
        <f t="shared" si="10"/>
        <v>0.77222222222222225</v>
      </c>
      <c r="BZ14" s="18">
        <f t="shared" si="11"/>
        <v>1.0063118329096647</v>
      </c>
      <c r="CA14" s="5">
        <f t="shared" si="52"/>
        <v>-8.114805174971651E-3</v>
      </c>
      <c r="CB14" s="13">
        <f t="shared" si="12"/>
        <v>1.0038449492322099</v>
      </c>
      <c r="CC14" s="5">
        <f t="shared" si="53"/>
        <v>-4.9571956248996019E-3</v>
      </c>
      <c r="CD14" s="149">
        <f t="shared" si="54"/>
        <v>-31.576095500720491</v>
      </c>
    </row>
    <row r="15" spans="1:82" x14ac:dyDescent="0.25">
      <c r="A15" s="38">
        <v>45201</v>
      </c>
      <c r="B15" s="22">
        <v>2.4722222222273099E-5</v>
      </c>
      <c r="C15" s="22">
        <v>-9.8623398188157907E-4</v>
      </c>
      <c r="D15" s="22">
        <v>1.0176970455168499</v>
      </c>
      <c r="E15" s="22">
        <v>9.3679635753351998E-4</v>
      </c>
      <c r="F15" s="32">
        <v>0.99966606631668298</v>
      </c>
      <c r="G15" s="22">
        <f t="shared" si="0"/>
        <v>3.2972222222222221</v>
      </c>
      <c r="H15" s="22">
        <f t="shared" si="13"/>
        <v>-8.6625567948259118E-3</v>
      </c>
      <c r="I15" s="22">
        <f t="shared" si="14"/>
        <v>1.0291022348116916</v>
      </c>
      <c r="J15" s="32">
        <f t="shared" si="1"/>
        <v>1.1564796380926836</v>
      </c>
      <c r="K15" s="22" t="s">
        <v>82</v>
      </c>
      <c r="L15" s="40">
        <f t="shared" si="15"/>
        <v>-19.5</v>
      </c>
      <c r="M15" s="96">
        <v>45201</v>
      </c>
      <c r="N15" s="99">
        <f t="shared" si="41"/>
        <v>45110</v>
      </c>
      <c r="O15" s="38">
        <f t="shared" si="42"/>
        <v>45201</v>
      </c>
      <c r="P15" s="88">
        <f t="shared" si="43"/>
        <v>91</v>
      </c>
      <c r="Q15" s="47">
        <v>10000000</v>
      </c>
      <c r="R15" s="107">
        <f t="shared" si="16"/>
        <v>-3.9015849832677854E-3</v>
      </c>
      <c r="S15" s="47">
        <f t="shared" si="44"/>
        <v>-9862.3398188157898</v>
      </c>
      <c r="T15" s="47">
        <f t="shared" si="45"/>
        <v>247.22222222273101</v>
      </c>
      <c r="V15" s="61">
        <f t="shared" si="17"/>
        <v>-11535413.990514316</v>
      </c>
      <c r="W15" s="47">
        <f t="shared" si="18"/>
        <v>-11564796.380926836</v>
      </c>
      <c r="X15" s="107">
        <f t="shared" si="19"/>
        <v>3.7060075682644749E-3</v>
      </c>
      <c r="Y15" s="47">
        <f t="shared" si="20"/>
        <v>-10806.333808955018</v>
      </c>
      <c r="Z15" s="47">
        <f t="shared" si="21"/>
        <v>29382.390412520617</v>
      </c>
      <c r="AC15" s="122">
        <f t="shared" si="46"/>
        <v>3.2972222222222221</v>
      </c>
      <c r="AD15" s="113">
        <f>BBG_EUR!V15/100</f>
        <v>-4.0490999999999999E-3</v>
      </c>
      <c r="AE15" s="113">
        <f>BBG_EUR!J15/100</f>
        <v>3.4394999999999998E-3</v>
      </c>
      <c r="AF15" s="116">
        <f>BBG_EUR!X15</f>
        <v>1.02938</v>
      </c>
      <c r="AG15" s="116">
        <f>BBG_EUR!L15</f>
        <v>0.99988699999999997</v>
      </c>
      <c r="AH15" s="112">
        <f t="shared" si="47"/>
        <v>-8.7436932835760484E-3</v>
      </c>
      <c r="AI15" s="112">
        <f t="shared" si="48"/>
        <v>3.4273795920469752E-5</v>
      </c>
      <c r="AJ15" s="112">
        <f t="shared" si="49"/>
        <v>-8.6625567948259707E-3</v>
      </c>
      <c r="AK15" s="112">
        <f t="shared" si="50"/>
        <v>1.0129931962143957E-4</v>
      </c>
      <c r="AL15" s="143">
        <f t="shared" si="22"/>
        <v>1.1564796380926836</v>
      </c>
      <c r="AM15" s="143">
        <f>BBG_EUR!AA15</f>
        <v>1.1564085500000001</v>
      </c>
      <c r="AN15" s="151">
        <f t="shared" si="23"/>
        <v>0.99993853061451154</v>
      </c>
      <c r="AO15" s="147"/>
      <c r="AP15" s="56" t="str">
        <f t="shared" si="2"/>
        <v>40Y</v>
      </c>
      <c r="AQ15" s="19" t="str">
        <f t="shared" si="3"/>
        <v>EUBS40</v>
      </c>
      <c r="AR15" s="38">
        <f t="shared" si="4"/>
        <v>58624</v>
      </c>
      <c r="AS15" s="47">
        <f t="shared" si="24"/>
        <v>-98597.583795023849</v>
      </c>
      <c r="AT15" s="47">
        <f t="shared" si="25"/>
        <v>1347903.2231418714</v>
      </c>
      <c r="AU15" s="47">
        <f t="shared" si="26"/>
        <v>43321.279281736577</v>
      </c>
      <c r="AV15" s="49">
        <f t="shared" si="27"/>
        <v>1249305.6393468475</v>
      </c>
      <c r="AW15" s="61">
        <f t="shared" si="28"/>
        <v>-4311513.0527198091</v>
      </c>
      <c r="AX15" s="47">
        <f t="shared" si="29"/>
        <v>4726447.1017516311</v>
      </c>
      <c r="AY15" s="47">
        <f t="shared" si="30"/>
        <v>-1514234.4808775783</v>
      </c>
      <c r="AZ15" s="49">
        <f t="shared" si="31"/>
        <v>-1099300.4318457562</v>
      </c>
      <c r="BA15" s="47">
        <f t="shared" si="32"/>
        <v>304169.52339649224</v>
      </c>
      <c r="BB15" s="63">
        <f t="shared" si="33"/>
        <v>-6.2499998199934632</v>
      </c>
      <c r="BC15" s="64">
        <f t="shared" si="5"/>
        <v>-6.25</v>
      </c>
      <c r="BD15" s="68">
        <f t="shared" si="34"/>
        <v>1.8000653678740264E-7</v>
      </c>
      <c r="BF15" s="3" t="s">
        <v>17</v>
      </c>
      <c r="BG15" s="3" t="s">
        <v>74</v>
      </c>
      <c r="BH15" s="2">
        <v>44320</v>
      </c>
      <c r="BI15" s="5">
        <v>1.131494</v>
      </c>
      <c r="BJ15" s="5">
        <v>1.00425256207865</v>
      </c>
      <c r="BK15" s="5">
        <v>0.99971201351566497</v>
      </c>
      <c r="BM15" s="3" t="str">
        <f t="shared" si="35"/>
        <v>10M</v>
      </c>
      <c r="BN15" s="3" t="str">
        <f t="shared" si="6"/>
        <v>EUR10M</v>
      </c>
      <c r="BO15" s="2">
        <f t="shared" si="7"/>
        <v>44320</v>
      </c>
      <c r="BP15" s="5">
        <f t="shared" si="8"/>
        <v>1.131494</v>
      </c>
      <c r="BQ15" s="73">
        <f t="shared" si="36"/>
        <v>0.99971201351566497</v>
      </c>
      <c r="BR15" s="73">
        <f t="shared" si="37"/>
        <v>1.0069148522528877</v>
      </c>
      <c r="BS15" s="76">
        <f t="shared" si="38"/>
        <v>0.85</v>
      </c>
      <c r="BT15" s="80">
        <f t="shared" si="39"/>
        <v>1.00425256207865</v>
      </c>
      <c r="BU15" s="78">
        <f t="shared" si="51"/>
        <v>-4.9799651102787612E-3</v>
      </c>
      <c r="BV15" s="79">
        <f t="shared" si="40"/>
        <v>-30.943835101194807</v>
      </c>
      <c r="BX15" s="2">
        <f t="shared" si="9"/>
        <v>44320</v>
      </c>
      <c r="BY15" s="14">
        <f t="shared" ref="BY15:BY20" si="55">YEARFRAC($BX$2,$BX15,2)</f>
        <v>0.85</v>
      </c>
      <c r="BZ15" s="18">
        <f t="shared" ref="BZ15:BZ18" si="56">BR15</f>
        <v>1.0069148522528877</v>
      </c>
      <c r="CA15" s="5">
        <f t="shared" ref="CA15:CA20" si="57">BZ15^(-1/BY15)-1</f>
        <v>-8.0743486203982417E-3</v>
      </c>
      <c r="CB15" s="13">
        <f t="shared" si="12"/>
        <v>1.00425256207865</v>
      </c>
      <c r="CC15" s="5">
        <f t="shared" ref="CC15:CC20" si="58">CB15^(-1/BY15)-1</f>
        <v>-4.9799651102787612E-3</v>
      </c>
      <c r="CD15" s="149">
        <f t="shared" si="54"/>
        <v>-30.943835101194807</v>
      </c>
    </row>
    <row r="16" spans="1:82" x14ac:dyDescent="0.25">
      <c r="A16" s="38">
        <v>45293</v>
      </c>
      <c r="B16" s="22">
        <v>2.4999999999941702E-5</v>
      </c>
      <c r="C16" s="22">
        <v>-9.9706631318874296E-4</v>
      </c>
      <c r="D16" s="22">
        <v>1.01897623203609</v>
      </c>
      <c r="E16" s="22">
        <v>9.4709569639306302E-4</v>
      </c>
      <c r="F16" s="32">
        <v>0.99932857638885397</v>
      </c>
      <c r="G16" s="22">
        <f t="shared" si="0"/>
        <v>3.5527777777777776</v>
      </c>
      <c r="H16" s="22">
        <f t="shared" si="13"/>
        <v>-8.6660718226724311E-3</v>
      </c>
      <c r="I16" s="22">
        <f t="shared" si="14"/>
        <v>1.0314058880528629</v>
      </c>
      <c r="J16" s="32">
        <f t="shared" si="1"/>
        <v>1.159459863367027</v>
      </c>
      <c r="K16" s="22" t="s">
        <v>82</v>
      </c>
      <c r="L16" s="40">
        <f t="shared" si="15"/>
        <v>-19.5</v>
      </c>
      <c r="M16" s="96">
        <v>45293</v>
      </c>
      <c r="N16" s="99">
        <f t="shared" si="41"/>
        <v>45201</v>
      </c>
      <c r="O16" s="38">
        <f t="shared" si="42"/>
        <v>45293</v>
      </c>
      <c r="P16" s="88">
        <f t="shared" si="43"/>
        <v>92</v>
      </c>
      <c r="Q16" s="47">
        <v>10000000</v>
      </c>
      <c r="R16" s="107">
        <f t="shared" si="16"/>
        <v>-3.9015638342168204E-3</v>
      </c>
      <c r="S16" s="47">
        <f t="shared" si="44"/>
        <v>-9970.6631318874297</v>
      </c>
      <c r="T16" s="47">
        <f t="shared" si="45"/>
        <v>249.99999999941701</v>
      </c>
      <c r="V16" s="61">
        <f t="shared" si="17"/>
        <v>-11564796.380926836</v>
      </c>
      <c r="W16" s="47">
        <f t="shared" si="18"/>
        <v>-11594598.63367027</v>
      </c>
      <c r="X16" s="107">
        <f t="shared" si="19"/>
        <v>3.7060266380598119E-3</v>
      </c>
      <c r="Y16" s="47">
        <f t="shared" si="20"/>
        <v>-10952.968882037876</v>
      </c>
      <c r="Z16" s="47">
        <f t="shared" si="21"/>
        <v>29802.252743434161</v>
      </c>
      <c r="AC16" s="122">
        <f t="shared" si="46"/>
        <v>3.5527777777777776</v>
      </c>
      <c r="AD16" s="113">
        <f>BBG_EUR!V16/100</f>
        <v>-3.9503000000000003E-3</v>
      </c>
      <c r="AE16" s="113">
        <f>BBG_EUR!J16/100</f>
        <v>3.6175000000000001E-3</v>
      </c>
      <c r="AF16" s="116">
        <f>BBG_EUR!X16</f>
        <v>1.0317719999999999</v>
      </c>
      <c r="AG16" s="116">
        <f>BBG_EUR!L16</f>
        <v>0.99964399999999998</v>
      </c>
      <c r="AH16" s="112">
        <f t="shared" si="47"/>
        <v>-8.765095137794332E-3</v>
      </c>
      <c r="AI16" s="112">
        <f t="shared" si="48"/>
        <v>1.0022614653903972E-4</v>
      </c>
      <c r="AJ16" s="112">
        <f t="shared" si="49"/>
        <v>-8.6660718226724276E-3</v>
      </c>
      <c r="AK16" s="112">
        <f t="shared" si="50"/>
        <v>1.8906687956299351E-4</v>
      </c>
      <c r="AL16" s="143">
        <f t="shared" si="22"/>
        <v>1.159459863367027</v>
      </c>
      <c r="AM16" s="143">
        <f>BBG_EUR!AA16</f>
        <v>1.1593423060000001</v>
      </c>
      <c r="AN16" s="151">
        <f t="shared" si="23"/>
        <v>0.99989861023159055</v>
      </c>
      <c r="AO16" s="147"/>
      <c r="AP16" s="57" t="str">
        <f t="shared" si="2"/>
        <v>50Y</v>
      </c>
      <c r="AQ16" s="6" t="str">
        <f t="shared" si="3"/>
        <v>EUBS50</v>
      </c>
      <c r="AR16" s="39">
        <f t="shared" si="4"/>
        <v>62276</v>
      </c>
      <c r="AS16" s="46">
        <f t="shared" si="24"/>
        <v>-394037.27885257686</v>
      </c>
      <c r="AT16" s="46">
        <f t="shared" si="25"/>
        <v>1274545.5549467728</v>
      </c>
      <c r="AU16" s="46">
        <f t="shared" si="26"/>
        <v>54645.874483832726</v>
      </c>
      <c r="AV16" s="50">
        <f t="shared" si="27"/>
        <v>880508.2760941959</v>
      </c>
      <c r="AW16" s="62">
        <f t="shared" si="28"/>
        <v>-4922796.5201338828</v>
      </c>
      <c r="AX16" s="46">
        <f t="shared" si="29"/>
        <v>5480562.6683414169</v>
      </c>
      <c r="AY16" s="46">
        <f t="shared" si="30"/>
        <v>-1431824.4764272068</v>
      </c>
      <c r="AZ16" s="50">
        <f t="shared" si="31"/>
        <v>-874058.32821967266</v>
      </c>
      <c r="BA16" s="46">
        <f t="shared" si="32"/>
        <v>115104.66914454696</v>
      </c>
      <c r="BB16" s="65">
        <f t="shared" si="33"/>
        <v>-1.8749994344062131</v>
      </c>
      <c r="BC16" s="66">
        <f t="shared" si="5"/>
        <v>-1.875</v>
      </c>
      <c r="BD16" s="69">
        <f t="shared" si="34"/>
        <v>5.6559378691645179E-7</v>
      </c>
      <c r="BF16" s="3" t="s">
        <v>18</v>
      </c>
      <c r="BG16" s="3" t="s">
        <v>75</v>
      </c>
      <c r="BH16" s="2">
        <v>44349</v>
      </c>
      <c r="BI16" s="5">
        <v>1.132252</v>
      </c>
      <c r="BJ16" s="5">
        <v>1.0047027063760501</v>
      </c>
      <c r="BK16" s="5">
        <v>0.99971161097000205</v>
      </c>
      <c r="BM16" s="3" t="str">
        <f t="shared" si="35"/>
        <v>11M</v>
      </c>
      <c r="BN16" s="3" t="str">
        <f t="shared" si="6"/>
        <v>EUR11M</v>
      </c>
      <c r="BO16" s="2">
        <f t="shared" si="7"/>
        <v>44349</v>
      </c>
      <c r="BP16" s="5">
        <f t="shared" si="8"/>
        <v>1.132252</v>
      </c>
      <c r="BQ16" s="73">
        <f t="shared" si="36"/>
        <v>0.99971161097000205</v>
      </c>
      <c r="BR16" s="73">
        <f t="shared" si="37"/>
        <v>1.0075889896243606</v>
      </c>
      <c r="BS16" s="76">
        <f t="shared" si="38"/>
        <v>0.93055555555555558</v>
      </c>
      <c r="BT16" s="80">
        <f t="shared" si="39"/>
        <v>1.0047027063760501</v>
      </c>
      <c r="BU16" s="78">
        <f t="shared" si="51"/>
        <v>-5.0291202252793488E-3</v>
      </c>
      <c r="BV16" s="79">
        <f t="shared" si="40"/>
        <v>-30.625073246907107</v>
      </c>
      <c r="BX16" s="2">
        <f t="shared" si="9"/>
        <v>44349</v>
      </c>
      <c r="BY16" s="14">
        <f t="shared" si="55"/>
        <v>0.93055555555555558</v>
      </c>
      <c r="BZ16" s="18">
        <f t="shared" si="56"/>
        <v>1.0075889896243606</v>
      </c>
      <c r="CA16" s="5">
        <f t="shared" si="57"/>
        <v>-8.0916275499700596E-3</v>
      </c>
      <c r="CB16" s="13">
        <f t="shared" si="12"/>
        <v>1.0047027063760501</v>
      </c>
      <c r="CC16" s="5">
        <f t="shared" si="58"/>
        <v>-5.0291202252793488E-3</v>
      </c>
      <c r="CD16" s="149">
        <f t="shared" si="54"/>
        <v>-30.625073246907107</v>
      </c>
    </row>
    <row r="17" spans="1:84" x14ac:dyDescent="0.25">
      <c r="A17" s="38">
        <v>45384</v>
      </c>
      <c r="B17" s="22">
        <v>2.4999999999941702E-5</v>
      </c>
      <c r="C17" s="22">
        <v>-9.8623398188169009E-4</v>
      </c>
      <c r="D17" s="22">
        <v>1.0202430960903499</v>
      </c>
      <c r="E17" s="22">
        <v>9.3679635753351998E-4</v>
      </c>
      <c r="F17" s="32">
        <v>0.99899486691649697</v>
      </c>
      <c r="G17" s="22">
        <f t="shared" si="0"/>
        <v>3.8055555555555554</v>
      </c>
      <c r="H17" s="22">
        <f t="shared" si="13"/>
        <v>-8.6695486436945343E-3</v>
      </c>
      <c r="I17" s="22">
        <f t="shared" si="14"/>
        <v>1.0336914174606087</v>
      </c>
      <c r="J17" s="32">
        <f t="shared" si="1"/>
        <v>1.1624173224829124</v>
      </c>
      <c r="K17" s="22" t="s">
        <v>82</v>
      </c>
      <c r="L17" s="40">
        <f t="shared" si="15"/>
        <v>-19.5</v>
      </c>
      <c r="M17" s="96">
        <v>45384</v>
      </c>
      <c r="N17" s="99">
        <f t="shared" si="41"/>
        <v>45293</v>
      </c>
      <c r="O17" s="38">
        <f t="shared" si="42"/>
        <v>45384</v>
      </c>
      <c r="P17" s="88">
        <f t="shared" si="43"/>
        <v>91</v>
      </c>
      <c r="Q17" s="47">
        <v>10000000</v>
      </c>
      <c r="R17" s="107">
        <f t="shared" si="16"/>
        <v>-3.9015849832682247E-3</v>
      </c>
      <c r="S17" s="47">
        <f t="shared" si="44"/>
        <v>-9862.3398188169012</v>
      </c>
      <c r="T17" s="47">
        <f t="shared" si="45"/>
        <v>249.99999999941701</v>
      </c>
      <c r="V17" s="61">
        <f t="shared" si="17"/>
        <v>-11594598.63367027</v>
      </c>
      <c r="W17" s="47">
        <f t="shared" si="18"/>
        <v>-11624173.224829124</v>
      </c>
      <c r="X17" s="107">
        <f t="shared" si="19"/>
        <v>3.7060075682644749E-3</v>
      </c>
      <c r="Y17" s="47">
        <f t="shared" si="20"/>
        <v>-10861.777767085438</v>
      </c>
      <c r="Z17" s="47">
        <f t="shared" si="21"/>
        <v>29574.591158853844</v>
      </c>
      <c r="AC17" s="122">
        <f t="shared" si="46"/>
        <v>3.8055555555555554</v>
      </c>
      <c r="AD17" s="113">
        <f>BBG_EUR!V17/100</f>
        <v>-3.8512000000000004E-3</v>
      </c>
      <c r="AE17" s="113">
        <f>BBG_EUR!J17/100</f>
        <v>3.7948999999999999E-3</v>
      </c>
      <c r="AF17" s="116">
        <f>BBG_EUR!X17</f>
        <v>1.0341549999999999</v>
      </c>
      <c r="AG17" s="116">
        <f>BBG_EUR!L17</f>
        <v>0.99937100000000001</v>
      </c>
      <c r="AH17" s="112">
        <f t="shared" si="47"/>
        <v>-8.786340776554824E-3</v>
      </c>
      <c r="AI17" s="112">
        <f t="shared" si="48"/>
        <v>1.6535034423159622E-4</v>
      </c>
      <c r="AJ17" s="112">
        <f t="shared" si="49"/>
        <v>-8.6695486436945135E-3</v>
      </c>
      <c r="AK17" s="112">
        <f t="shared" si="50"/>
        <v>2.6429030879637772E-4</v>
      </c>
      <c r="AL17" s="143">
        <f t="shared" si="22"/>
        <v>1.1624173224829124</v>
      </c>
      <c r="AM17" s="143">
        <f>BBG_EUR!AA17</f>
        <v>1.1623016500000001</v>
      </c>
      <c r="AN17" s="151">
        <f t="shared" si="23"/>
        <v>0.99990048971167667</v>
      </c>
      <c r="AO17" s="147"/>
      <c r="AR17" s="2"/>
      <c r="AS17" s="45"/>
      <c r="AT17" s="45"/>
      <c r="AU17" s="18"/>
      <c r="AW17" s="45"/>
      <c r="AX17" s="45"/>
      <c r="AY17" s="45"/>
      <c r="BB17" s="12"/>
      <c r="BC17" s="12"/>
      <c r="BD17" s="12"/>
      <c r="BF17" s="3" t="s">
        <v>19</v>
      </c>
      <c r="BG17" s="3" t="s">
        <v>76</v>
      </c>
      <c r="BH17" s="2">
        <v>44379</v>
      </c>
      <c r="BI17" s="5">
        <v>1.133043</v>
      </c>
      <c r="BJ17" s="5">
        <v>1.0051567332517799</v>
      </c>
      <c r="BK17" s="5">
        <v>0.99972632491855296</v>
      </c>
      <c r="BM17" s="3" t="str">
        <f t="shared" ref="BM17:BM19" si="59">BF17</f>
        <v>12M</v>
      </c>
      <c r="BN17" s="3" t="str">
        <f t="shared" ref="BN17:BN19" si="60">BG17</f>
        <v>EUR12M</v>
      </c>
      <c r="BO17" s="2">
        <f t="shared" ref="BO17:BO19" si="61">BH17</f>
        <v>44379</v>
      </c>
      <c r="BP17" s="5">
        <f t="shared" ref="BP17:BP19" si="62">BI17</f>
        <v>1.133043</v>
      </c>
      <c r="BQ17" s="73">
        <f t="shared" ref="BQ17:BQ19" si="63">BK17/BK$2</f>
        <v>0.99972632491855296</v>
      </c>
      <c r="BR17" s="73">
        <f t="shared" si="37"/>
        <v>1.0083077393312196</v>
      </c>
      <c r="BS17" s="76">
        <f t="shared" si="38"/>
        <v>1.0138888888888888</v>
      </c>
      <c r="BT17" s="80">
        <f t="shared" ref="BT17:BT19" si="64">BJ17/$BJ$2</f>
        <v>1.0051567332517799</v>
      </c>
      <c r="BU17" s="78">
        <f t="shared" si="51"/>
        <v>-5.060178111795266E-3</v>
      </c>
      <c r="BV17" s="79">
        <f t="shared" ref="BV17:BV19" si="65">(BR17^(-1/$BS17)-BT17^(-1/BS17))*10000</f>
        <v>-30.667042558388815</v>
      </c>
      <c r="BX17" s="2">
        <f t="shared" si="9"/>
        <v>44379</v>
      </c>
      <c r="BY17" s="14">
        <f t="shared" si="55"/>
        <v>1.0138888888888888</v>
      </c>
      <c r="BZ17" s="18">
        <f t="shared" si="56"/>
        <v>1.0083077393312196</v>
      </c>
      <c r="CA17" s="5">
        <f t="shared" si="57"/>
        <v>-8.1268823676341473E-3</v>
      </c>
      <c r="CB17" s="13">
        <f t="shared" si="12"/>
        <v>1.0051567332517799</v>
      </c>
      <c r="CC17" s="5">
        <f t="shared" si="58"/>
        <v>-5.060178111795266E-3</v>
      </c>
      <c r="CD17" s="149">
        <f t="shared" si="54"/>
        <v>-30.667042558388815</v>
      </c>
    </row>
    <row r="18" spans="1:84" x14ac:dyDescent="0.25">
      <c r="A18" s="39">
        <v>45475</v>
      </c>
      <c r="B18" s="11">
        <v>2.4999999999941702E-5</v>
      </c>
      <c r="C18" s="11">
        <v>-9.8623398188157907E-4</v>
      </c>
      <c r="D18" s="11">
        <v>1.02151153520052</v>
      </c>
      <c r="E18" s="11">
        <v>9.3679635753351998E-4</v>
      </c>
      <c r="F18" s="33">
        <v>0.99866126888097295</v>
      </c>
      <c r="G18" s="11">
        <f t="shared" si="0"/>
        <v>4.0583333333333336</v>
      </c>
      <c r="H18" s="11">
        <f t="shared" si="13"/>
        <v>-8.6730254647166376E-3</v>
      </c>
      <c r="I18" s="11">
        <f t="shared" si="14"/>
        <v>1.0359838484030863</v>
      </c>
      <c r="J18" s="33">
        <f t="shared" si="1"/>
        <v>1.165384391646753</v>
      </c>
      <c r="K18" s="11" t="s">
        <v>82</v>
      </c>
      <c r="L18" s="41">
        <f t="shared" si="15"/>
        <v>-19.5</v>
      </c>
      <c r="M18" s="95">
        <v>45475</v>
      </c>
      <c r="N18" s="9">
        <f t="shared" si="41"/>
        <v>45384</v>
      </c>
      <c r="O18" s="39">
        <f t="shared" si="42"/>
        <v>45475</v>
      </c>
      <c r="P18" s="87">
        <f t="shared" si="43"/>
        <v>91</v>
      </c>
      <c r="Q18" s="46">
        <v>10000000</v>
      </c>
      <c r="R18" s="106">
        <f t="shared" si="16"/>
        <v>-3.9015849832677854E-3</v>
      </c>
      <c r="S18" s="46">
        <f t="shared" si="44"/>
        <v>-9862.3398188157898</v>
      </c>
      <c r="T18" s="46">
        <f t="shared" si="45"/>
        <v>249.99999999941701</v>
      </c>
      <c r="U18" s="50">
        <f>Q18</f>
        <v>10000000</v>
      </c>
      <c r="V18" s="62">
        <f t="shared" si="17"/>
        <v>-11624173.224829124</v>
      </c>
      <c r="W18" s="46">
        <f t="shared" si="18"/>
        <v>-11653843.916467531</v>
      </c>
      <c r="X18" s="106">
        <f t="shared" si="19"/>
        <v>3.7060075682644749E-3</v>
      </c>
      <c r="Y18" s="46">
        <f t="shared" si="20"/>
        <v>-10889.483136358594</v>
      </c>
      <c r="Z18" s="46">
        <f t="shared" si="21"/>
        <v>29670.691638406366</v>
      </c>
      <c r="AA18" s="50">
        <f>W18</f>
        <v>-11653843.916467531</v>
      </c>
      <c r="AC18" s="122">
        <f t="shared" si="46"/>
        <v>4.0583333333333336</v>
      </c>
      <c r="AD18" s="113">
        <f>BBG_EUR!V18/100</f>
        <v>-3.7524000000000004E-3</v>
      </c>
      <c r="AE18" s="113">
        <f>BBG_EUR!J18/100</f>
        <v>3.9709000000000003E-3</v>
      </c>
      <c r="AF18" s="116">
        <f>BBG_EUR!X18</f>
        <v>1.036556</v>
      </c>
      <c r="AG18" s="116">
        <f>BBG_EUR!L18</f>
        <v>0.99906499999999998</v>
      </c>
      <c r="AH18" s="112">
        <f t="shared" si="47"/>
        <v>-8.8078838322627195E-3</v>
      </c>
      <c r="AI18" s="112">
        <f t="shared" si="48"/>
        <v>2.3052448500049394E-4</v>
      </c>
      <c r="AJ18" s="112">
        <f t="shared" si="49"/>
        <v>-8.6730254647165994E-3</v>
      </c>
      <c r="AK18" s="112">
        <f t="shared" si="50"/>
        <v>3.3014763337280151E-4</v>
      </c>
      <c r="AL18" s="143">
        <f t="shared" si="22"/>
        <v>1.165384391646753</v>
      </c>
      <c r="AM18" s="143">
        <f>BBG_EUR!AA18</f>
        <v>1.165420449</v>
      </c>
      <c r="AN18" s="151">
        <f t="shared" si="23"/>
        <v>1.0000309403090564</v>
      </c>
      <c r="AO18" s="147"/>
      <c r="AR18" s="2"/>
      <c r="AS18" s="45"/>
      <c r="AT18" s="45"/>
      <c r="AU18" s="18"/>
      <c r="BB18" s="3"/>
      <c r="BC18" s="3"/>
      <c r="BD18" s="3"/>
      <c r="BF18" s="3" t="s">
        <v>20</v>
      </c>
      <c r="BG18" s="3" t="s">
        <v>77</v>
      </c>
      <c r="BH18" s="2">
        <v>44473</v>
      </c>
      <c r="BI18" s="5">
        <v>1.1355249999999999</v>
      </c>
      <c r="BJ18" s="5">
        <v>1.0066257382556301</v>
      </c>
      <c r="BK18" s="5">
        <v>0.99981182155658299</v>
      </c>
      <c r="BM18" s="3" t="str">
        <f t="shared" si="59"/>
        <v>15M</v>
      </c>
      <c r="BN18" s="3" t="str">
        <f t="shared" si="60"/>
        <v>EUR15M</v>
      </c>
      <c r="BO18" s="2">
        <f t="shared" si="61"/>
        <v>44473</v>
      </c>
      <c r="BP18" s="5">
        <f t="shared" si="62"/>
        <v>1.1355249999999999</v>
      </c>
      <c r="BQ18" s="73">
        <f t="shared" si="63"/>
        <v>0.99981182155658299</v>
      </c>
      <c r="BR18" s="73">
        <f t="shared" si="37"/>
        <v>1.0106029185268282</v>
      </c>
      <c r="BS18" s="76">
        <f t="shared" si="38"/>
        <v>1.2749999999999999</v>
      </c>
      <c r="BT18" s="80">
        <f t="shared" si="64"/>
        <v>1.0066257382556301</v>
      </c>
      <c r="BU18" s="78">
        <f t="shared" si="51"/>
        <v>-5.1661267078247919E-3</v>
      </c>
      <c r="BV18" s="79">
        <f t="shared" si="65"/>
        <v>-30.719891873777215</v>
      </c>
      <c r="BX18" s="2">
        <f t="shared" si="9"/>
        <v>44473</v>
      </c>
      <c r="BY18" s="14">
        <f t="shared" si="55"/>
        <v>1.2749999999999999</v>
      </c>
      <c r="BZ18" s="18">
        <f t="shared" si="56"/>
        <v>1.0106029185268282</v>
      </c>
      <c r="CA18" s="5">
        <f t="shared" si="57"/>
        <v>-8.2381158952025135E-3</v>
      </c>
      <c r="CB18" s="13">
        <f t="shared" si="12"/>
        <v>1.0066257382556301</v>
      </c>
      <c r="CC18" s="5">
        <f t="shared" si="58"/>
        <v>-5.1661267078247919E-3</v>
      </c>
      <c r="CD18" s="149">
        <f t="shared" si="54"/>
        <v>-30.719891873777215</v>
      </c>
    </row>
    <row r="19" spans="1:84" x14ac:dyDescent="0.25">
      <c r="A19" s="38">
        <v>45567</v>
      </c>
      <c r="B19" s="22">
        <v>2.4999999999941702E-5</v>
      </c>
      <c r="C19" s="22">
        <v>-7.9619995856183802E-4</v>
      </c>
      <c r="D19" s="22">
        <v>1.0226081506601401</v>
      </c>
      <c r="E19" s="22">
        <v>1.4206622116919E-3</v>
      </c>
      <c r="F19" s="32">
        <v>0.99786128505089799</v>
      </c>
      <c r="G19" s="22">
        <f t="shared" si="0"/>
        <v>4.3138888888888891</v>
      </c>
      <c r="H19" s="22">
        <f t="shared" si="13"/>
        <v>-8.6500101486360476E-3</v>
      </c>
      <c r="I19" s="22">
        <f t="shared" si="14"/>
        <v>1.038188645648829</v>
      </c>
      <c r="J19" s="32">
        <f t="shared" si="1"/>
        <v>1.1688008563859702</v>
      </c>
      <c r="K19" s="22" t="s">
        <v>83</v>
      </c>
      <c r="L19" s="40">
        <f t="shared" si="15"/>
        <v>-21.124999999999996</v>
      </c>
      <c r="M19" s="96">
        <v>45567</v>
      </c>
      <c r="N19" s="99">
        <f t="shared" si="41"/>
        <v>45475</v>
      </c>
      <c r="O19" s="38">
        <f t="shared" si="42"/>
        <v>45567</v>
      </c>
      <c r="P19" s="88">
        <f t="shared" si="43"/>
        <v>92</v>
      </c>
      <c r="Q19" s="47">
        <v>10000000</v>
      </c>
      <c r="R19" s="107">
        <f t="shared" si="16"/>
        <v>-3.1155650552419749E-3</v>
      </c>
      <c r="S19" s="47">
        <f t="shared" si="44"/>
        <v>-7961.9995856183805</v>
      </c>
      <c r="T19" s="47">
        <f t="shared" si="45"/>
        <v>249.99999999941701</v>
      </c>
      <c r="V19" s="61">
        <f t="shared" si="17"/>
        <v>-11653843.916467531</v>
      </c>
      <c r="W19" s="47">
        <f t="shared" si="18"/>
        <v>-11688008.563859701</v>
      </c>
      <c r="X19" s="107">
        <f t="shared" si="19"/>
        <v>5.5591130022726518E-3</v>
      </c>
      <c r="Y19" s="47">
        <f t="shared" si="20"/>
        <v>-16556.175673080954</v>
      </c>
      <c r="Z19" s="47">
        <f t="shared" si="21"/>
        <v>34164.647392170504</v>
      </c>
      <c r="AC19" s="122">
        <f t="shared" si="46"/>
        <v>4.3138888888888891</v>
      </c>
      <c r="AD19" s="113">
        <f>BBG_EUR!V19/100</f>
        <v>-3.3237000000000002E-3</v>
      </c>
      <c r="AE19" s="113">
        <f>BBG_EUR!J19/100</f>
        <v>5.1314000000000004E-3</v>
      </c>
      <c r="AF19" s="116">
        <f>BBG_EUR!X19</f>
        <v>1.03878</v>
      </c>
      <c r="AG19" s="116">
        <f>BBG_EUR!L19</f>
        <v>0.99837200000000004</v>
      </c>
      <c r="AH19" s="112">
        <f t="shared" si="47"/>
        <v>-8.7808612106375916E-3</v>
      </c>
      <c r="AI19" s="112">
        <f t="shared" si="48"/>
        <v>3.7776456593308083E-4</v>
      </c>
      <c r="AJ19" s="112">
        <f t="shared" si="49"/>
        <v>-8.6500101486360892E-3</v>
      </c>
      <c r="AK19" s="112">
        <f t="shared" si="50"/>
        <v>4.9642832838103779E-4</v>
      </c>
      <c r="AL19" s="143">
        <f t="shared" si="22"/>
        <v>1.1688008563859702</v>
      </c>
      <c r="AM19" s="143">
        <f>BBG_EUR!AA19</f>
        <v>1.168795523</v>
      </c>
      <c r="AN19" s="151">
        <f t="shared" si="23"/>
        <v>0.99999543687366321</v>
      </c>
      <c r="AO19" s="147"/>
      <c r="AR19" s="2"/>
      <c r="AS19" s="45"/>
      <c r="AT19" s="45"/>
      <c r="AU19" s="18"/>
      <c r="AV19" s="1"/>
      <c r="BF19" s="3" t="s">
        <v>21</v>
      </c>
      <c r="BG19" s="3" t="s">
        <v>78</v>
      </c>
      <c r="BH19" s="2">
        <v>44565</v>
      </c>
      <c r="BI19" s="5">
        <v>1.1380490000000001</v>
      </c>
      <c r="BJ19" s="5">
        <v>1.00806556668473</v>
      </c>
      <c r="BK19" s="5">
        <v>0.99989550619718304</v>
      </c>
      <c r="BM19" s="3" t="str">
        <f t="shared" si="59"/>
        <v>18M</v>
      </c>
      <c r="BN19" s="3" t="str">
        <f t="shared" si="60"/>
        <v>EUR18M</v>
      </c>
      <c r="BO19" s="2">
        <f t="shared" si="61"/>
        <v>44565</v>
      </c>
      <c r="BP19" s="5">
        <f t="shared" si="62"/>
        <v>1.1380490000000001</v>
      </c>
      <c r="BQ19" s="73">
        <f t="shared" si="63"/>
        <v>0.99989550619718304</v>
      </c>
      <c r="BR19" s="73">
        <f t="shared" si="37"/>
        <v>1.0129340225495798</v>
      </c>
      <c r="BS19" s="76">
        <f t="shared" si="38"/>
        <v>1.5305555555555554</v>
      </c>
      <c r="BT19" s="80">
        <f t="shared" si="64"/>
        <v>1.00806556668473</v>
      </c>
      <c r="BU19" s="78">
        <f t="shared" si="51"/>
        <v>-5.2348111425004618E-3</v>
      </c>
      <c r="BV19" s="79">
        <f t="shared" si="65"/>
        <v>-31.263958999133699</v>
      </c>
      <c r="BX19" s="2">
        <f t="shared" si="9"/>
        <v>44565</v>
      </c>
      <c r="BY19" s="14">
        <f t="shared" si="55"/>
        <v>1.5305555555555554</v>
      </c>
      <c r="BZ19" s="18">
        <f t="shared" ref="BZ19" si="66">BR19</f>
        <v>1.0129340225495798</v>
      </c>
      <c r="CA19" s="5">
        <f t="shared" ref="CA19" si="67">BZ19^(-1/BY19)-1</f>
        <v>-8.3612070424138318E-3</v>
      </c>
      <c r="CB19" s="13">
        <f t="shared" si="12"/>
        <v>1.00806556668473</v>
      </c>
      <c r="CC19" s="5">
        <f t="shared" ref="CC19" si="68">CB19^(-1/BY19)-1</f>
        <v>-5.2348111425004618E-3</v>
      </c>
      <c r="CD19" s="149">
        <f t="shared" si="54"/>
        <v>-31.263958999133699</v>
      </c>
    </row>
    <row r="20" spans="1:84" x14ac:dyDescent="0.25">
      <c r="A20" s="38">
        <v>45659</v>
      </c>
      <c r="B20" s="22">
        <v>2.4999999999941702E-5</v>
      </c>
      <c r="C20" s="22">
        <v>-7.9619995856205995E-4</v>
      </c>
      <c r="D20" s="22">
        <v>1.0237059433609501</v>
      </c>
      <c r="E20" s="22">
        <v>1.4206622116919E-3</v>
      </c>
      <c r="F20" s="32">
        <v>0.99706194205285303</v>
      </c>
      <c r="G20" s="22">
        <f t="shared" si="0"/>
        <v>4.5694444444444446</v>
      </c>
      <c r="H20" s="22">
        <f t="shared" si="13"/>
        <v>-8.6269948325554575E-3</v>
      </c>
      <c r="I20" s="22">
        <f t="shared" si="14"/>
        <v>1.0403857922810043</v>
      </c>
      <c r="J20" s="32">
        <f t="shared" si="1"/>
        <v>1.172213430032339</v>
      </c>
      <c r="K20" s="22" t="s">
        <v>83</v>
      </c>
      <c r="L20" s="40">
        <f t="shared" si="15"/>
        <v>-21.124999999999996</v>
      </c>
      <c r="M20" s="96">
        <v>45659</v>
      </c>
      <c r="N20" s="99">
        <f t="shared" si="41"/>
        <v>45567</v>
      </c>
      <c r="O20" s="38">
        <f t="shared" si="42"/>
        <v>45659</v>
      </c>
      <c r="P20" s="88">
        <f t="shared" si="43"/>
        <v>92</v>
      </c>
      <c r="Q20" s="47">
        <v>10000000</v>
      </c>
      <c r="R20" s="107">
        <f t="shared" si="16"/>
        <v>-3.1155650552428431E-3</v>
      </c>
      <c r="S20" s="47">
        <f t="shared" si="44"/>
        <v>-7961.9995856205996</v>
      </c>
      <c r="T20" s="47">
        <f t="shared" si="45"/>
        <v>249.99999999941701</v>
      </c>
      <c r="V20" s="61">
        <f t="shared" si="17"/>
        <v>-11688008.563859701</v>
      </c>
      <c r="W20" s="47">
        <f t="shared" si="18"/>
        <v>-11722134.300323389</v>
      </c>
      <c r="X20" s="107">
        <f t="shared" si="19"/>
        <v>5.5591130022726518E-3</v>
      </c>
      <c r="Y20" s="47">
        <f t="shared" si="20"/>
        <v>-16604.712096606789</v>
      </c>
      <c r="Z20" s="47">
        <f t="shared" si="21"/>
        <v>34125.736463688314</v>
      </c>
      <c r="AC20" s="122">
        <f t="shared" si="46"/>
        <v>4.5694444444444446</v>
      </c>
      <c r="AD20" s="113">
        <f>BBG_EUR!V20/100</f>
        <v>-3.1836E-3</v>
      </c>
      <c r="AE20" s="113">
        <f>BBG_EUR!J20/100</f>
        <v>5.4222999999999997E-3</v>
      </c>
      <c r="AF20" s="116">
        <f>BBG_EUR!X20</f>
        <v>1.0409919999999999</v>
      </c>
      <c r="AG20" s="116">
        <f>BBG_EUR!L20</f>
        <v>0.99759200000000003</v>
      </c>
      <c r="AH20" s="112">
        <f t="shared" si="47"/>
        <v>-8.7533655815960065E-3</v>
      </c>
      <c r="AI20" s="112">
        <f t="shared" si="48"/>
        <v>5.2775343905442362E-4</v>
      </c>
      <c r="AJ20" s="112">
        <f t="shared" si="49"/>
        <v>-8.6269948325553569E-3</v>
      </c>
      <c r="AK20" s="112">
        <f t="shared" si="50"/>
        <v>6.4413302075849721E-4</v>
      </c>
      <c r="AL20" s="143">
        <f t="shared" si="22"/>
        <v>1.172213430032339</v>
      </c>
      <c r="AM20" s="143">
        <f>BBG_EUR!AA20</f>
        <v>1.172160578</v>
      </c>
      <c r="AN20" s="151">
        <f t="shared" si="23"/>
        <v>0.99995491262001868</v>
      </c>
      <c r="AO20" s="147"/>
      <c r="AR20" s="2"/>
      <c r="AS20" s="45"/>
      <c r="AT20" s="45"/>
      <c r="AU20" s="18"/>
      <c r="AV20" s="5"/>
      <c r="AW20" s="5"/>
      <c r="AX20" s="84"/>
      <c r="BF20" s="6" t="s">
        <v>22</v>
      </c>
      <c r="BG20" s="6" t="s">
        <v>79</v>
      </c>
      <c r="BH20" s="9">
        <v>44655</v>
      </c>
      <c r="BI20" s="11">
        <v>1.1405700000000001</v>
      </c>
      <c r="BJ20" s="11">
        <v>1.0094760872659301</v>
      </c>
      <c r="BK20" s="11">
        <v>0.99997737838414902</v>
      </c>
      <c r="BL20" s="70"/>
      <c r="BM20" s="6" t="str">
        <f t="shared" si="35"/>
        <v>21M</v>
      </c>
      <c r="BN20" s="6" t="str">
        <f t="shared" si="6"/>
        <v>EUR21M</v>
      </c>
      <c r="BO20" s="9">
        <f t="shared" si="7"/>
        <v>44655</v>
      </c>
      <c r="BP20" s="11">
        <f t="shared" si="8"/>
        <v>1.1405700000000001</v>
      </c>
      <c r="BQ20" s="71">
        <f t="shared" si="36"/>
        <v>0.99997737838414902</v>
      </c>
      <c r="BR20" s="71">
        <f t="shared" si="37"/>
        <v>1.0152609920452278</v>
      </c>
      <c r="BS20" s="81">
        <f t="shared" si="38"/>
        <v>1.7805555555555554</v>
      </c>
      <c r="BT20" s="71">
        <f t="shared" si="39"/>
        <v>1.0094760872659301</v>
      </c>
      <c r="BU20" s="82">
        <f t="shared" si="51"/>
        <v>-5.2829218973656777E-3</v>
      </c>
      <c r="BV20" s="83">
        <f t="shared" ref="BV20" si="69">(BR20^(-1/$BS20)-BT20^(-1/BS20))*10000</f>
        <v>-31.871764562658722</v>
      </c>
      <c r="BW20" s="70"/>
      <c r="BX20" s="9">
        <f t="shared" si="9"/>
        <v>44655</v>
      </c>
      <c r="BY20" s="16">
        <f t="shared" si="55"/>
        <v>1.7805555555555554</v>
      </c>
      <c r="BZ20" s="24">
        <f>BR20</f>
        <v>1.0152609920452278</v>
      </c>
      <c r="CA20" s="11">
        <f t="shared" si="57"/>
        <v>-8.4700983536315499E-3</v>
      </c>
      <c r="CB20" s="20">
        <f t="shared" si="12"/>
        <v>1.0094760872659301</v>
      </c>
      <c r="CC20" s="11">
        <f t="shared" si="58"/>
        <v>-5.2829218973656777E-3</v>
      </c>
      <c r="CD20" s="150">
        <f t="shared" si="54"/>
        <v>-31.871764562658722</v>
      </c>
    </row>
    <row r="21" spans="1:84" x14ac:dyDescent="0.25">
      <c r="A21" s="38">
        <v>45749</v>
      </c>
      <c r="B21" s="22">
        <v>2.4999999999941702E-5</v>
      </c>
      <c r="C21" s="22">
        <v>-7.7889800643471396E-4</v>
      </c>
      <c r="D21" s="22">
        <v>1.0247810113481399</v>
      </c>
      <c r="E21" s="22">
        <v>1.38975680001585E-3</v>
      </c>
      <c r="F21" s="32">
        <v>0.99628059567013705</v>
      </c>
      <c r="G21" s="22">
        <f t="shared" si="0"/>
        <v>4.8194444444444446</v>
      </c>
      <c r="H21" s="22">
        <f t="shared" si="13"/>
        <v>-8.6044798494331401E-3</v>
      </c>
      <c r="I21" s="22">
        <f t="shared" si="14"/>
        <v>1.0425277066385576</v>
      </c>
      <c r="J21" s="32">
        <f t="shared" si="1"/>
        <v>1.1755479638243655</v>
      </c>
      <c r="K21" s="22" t="s">
        <v>83</v>
      </c>
      <c r="L21" s="40">
        <f t="shared" si="15"/>
        <v>-21.124999999999996</v>
      </c>
      <c r="M21" s="96">
        <v>45749</v>
      </c>
      <c r="N21" s="99">
        <f t="shared" si="41"/>
        <v>45659</v>
      </c>
      <c r="O21" s="38">
        <f t="shared" si="42"/>
        <v>45749</v>
      </c>
      <c r="P21" s="88">
        <f t="shared" si="43"/>
        <v>90</v>
      </c>
      <c r="Q21" s="47">
        <v>10000000</v>
      </c>
      <c r="R21" s="107">
        <f t="shared" si="16"/>
        <v>-3.1155920257388559E-3</v>
      </c>
      <c r="S21" s="47">
        <f t="shared" si="44"/>
        <v>-7788.9800643471399</v>
      </c>
      <c r="T21" s="47">
        <f t="shared" si="45"/>
        <v>249.99999999941701</v>
      </c>
      <c r="V21" s="61">
        <f t="shared" si="17"/>
        <v>-11722134.300323389</v>
      </c>
      <c r="W21" s="47">
        <f t="shared" si="18"/>
        <v>-11755479.638243655</v>
      </c>
      <c r="X21" s="107">
        <f t="shared" si="19"/>
        <v>5.5590272000633992E-3</v>
      </c>
      <c r="Y21" s="47">
        <f t="shared" si="20"/>
        <v>-16290.915854573468</v>
      </c>
      <c r="Z21" s="47">
        <f t="shared" si="21"/>
        <v>33345.337920265272</v>
      </c>
      <c r="AC21" s="122">
        <f t="shared" si="46"/>
        <v>4.8194444444444446</v>
      </c>
      <c r="AD21" s="113">
        <f>BBG_EUR!V21/100</f>
        <v>-3.0447E-3</v>
      </c>
      <c r="AE21" s="113">
        <f>BBG_EUR!J21/100</f>
        <v>5.7088000000000009E-3</v>
      </c>
      <c r="AF21" s="116">
        <f>BBG_EUR!X21</f>
        <v>1.0431459999999999</v>
      </c>
      <c r="AG21" s="116">
        <f>BBG_EUR!L21</f>
        <v>0.996757</v>
      </c>
      <c r="AH21" s="112">
        <f t="shared" si="47"/>
        <v>-8.7264353760837521E-3</v>
      </c>
      <c r="AI21" s="112">
        <f t="shared" si="48"/>
        <v>6.7421979017212585E-4</v>
      </c>
      <c r="AJ21" s="112">
        <f t="shared" si="49"/>
        <v>-8.6044798494331332E-3</v>
      </c>
      <c r="AK21" s="112">
        <f t="shared" si="50"/>
        <v>7.7348738193361299E-4</v>
      </c>
      <c r="AL21" s="143">
        <f t="shared" si="22"/>
        <v>1.1755479638243655</v>
      </c>
      <c r="AM21" s="143">
        <f>BBG_EUR!AA21</f>
        <v>1.175606047</v>
      </c>
      <c r="AN21" s="151">
        <f t="shared" si="23"/>
        <v>1.0000494094476975</v>
      </c>
      <c r="AO21" s="147"/>
      <c r="AR21" s="2"/>
      <c r="AS21" s="45"/>
      <c r="AT21" s="45"/>
      <c r="AU21" s="18"/>
      <c r="AV21" s="5"/>
      <c r="AW21" s="5"/>
      <c r="AX21" s="84"/>
      <c r="BF21" s="3" t="s">
        <v>23</v>
      </c>
      <c r="BG21" s="3" t="s">
        <v>80</v>
      </c>
      <c r="BH21" s="2">
        <v>44747</v>
      </c>
      <c r="BI21" s="5">
        <v>-1.6125E-3</v>
      </c>
      <c r="BJ21" s="5">
        <v>1.0109194354133</v>
      </c>
      <c r="BK21" s="5">
        <v>1.00006107688192</v>
      </c>
      <c r="BS21" s="14"/>
      <c r="BX21" s="2">
        <f t="shared" si="9"/>
        <v>44747</v>
      </c>
      <c r="BY21" s="14">
        <f t="shared" ref="BY21:BY35" si="70">YEARFRAC($BX$2,$BX21,2)</f>
        <v>2.036111111111111</v>
      </c>
      <c r="BZ21" s="18"/>
      <c r="CA21" s="5">
        <v>-8.5162606370191071E-3</v>
      </c>
      <c r="CB21" s="13">
        <f t="shared" si="12"/>
        <v>1.0109194354133</v>
      </c>
      <c r="CC21" s="5">
        <f t="shared" si="53"/>
        <v>-5.3196197934223255E-3</v>
      </c>
      <c r="CD21" s="149">
        <f t="shared" si="54"/>
        <v>-31.966408435967814</v>
      </c>
      <c r="CF21" s="29"/>
    </row>
    <row r="22" spans="1:84" x14ac:dyDescent="0.25">
      <c r="A22" s="39">
        <v>45840</v>
      </c>
      <c r="B22" s="11">
        <v>2.4999999999941702E-5</v>
      </c>
      <c r="C22" s="11">
        <v>-7.8754901994748596E-4</v>
      </c>
      <c r="D22" s="11">
        <v>1.0258691724331299</v>
      </c>
      <c r="E22" s="11">
        <v>1.4052093866283499E-3</v>
      </c>
      <c r="F22" s="33">
        <v>0.99549119020310095</v>
      </c>
      <c r="G22" s="11">
        <f t="shared" si="0"/>
        <v>5.072222222222222</v>
      </c>
      <c r="H22" s="11">
        <f t="shared" si="13"/>
        <v>-8.5817146998316864E-3</v>
      </c>
      <c r="I22" s="11">
        <f t="shared" si="14"/>
        <v>1.0446858450695424</v>
      </c>
      <c r="J22" s="33">
        <f t="shared" si="1"/>
        <v>1.1789155844881813</v>
      </c>
      <c r="K22" s="11" t="s">
        <v>83</v>
      </c>
      <c r="L22" s="41">
        <f t="shared" si="15"/>
        <v>-21.124999999999996</v>
      </c>
      <c r="M22" s="95">
        <v>45840</v>
      </c>
      <c r="N22" s="9">
        <f t="shared" si="41"/>
        <v>45749</v>
      </c>
      <c r="O22" s="39">
        <f t="shared" si="42"/>
        <v>45840</v>
      </c>
      <c r="P22" s="87">
        <f t="shared" si="43"/>
        <v>91</v>
      </c>
      <c r="Q22" s="46">
        <v>10000000</v>
      </c>
      <c r="R22" s="106">
        <f t="shared" si="16"/>
        <v>-3.1155785404515931E-3</v>
      </c>
      <c r="S22" s="46">
        <f t="shared" si="44"/>
        <v>-7875.4901994748598</v>
      </c>
      <c r="T22" s="46">
        <f t="shared" si="45"/>
        <v>249.99999999941701</v>
      </c>
      <c r="U22" s="50">
        <f>Q22</f>
        <v>10000000</v>
      </c>
      <c r="V22" s="62">
        <f t="shared" si="17"/>
        <v>-11755479.638243655</v>
      </c>
      <c r="W22" s="46">
        <f t="shared" si="18"/>
        <v>-11789155.844881814</v>
      </c>
      <c r="X22" s="106">
        <f t="shared" si="19"/>
        <v>5.5590701009473184E-3</v>
      </c>
      <c r="Y22" s="46">
        <f t="shared" si="20"/>
        <v>-16518.910331978423</v>
      </c>
      <c r="Z22" s="46">
        <f t="shared" si="21"/>
        <v>33676.20663815923</v>
      </c>
      <c r="AA22" s="50">
        <f>W22</f>
        <v>-11789155.844881814</v>
      </c>
      <c r="AC22" s="122">
        <f t="shared" si="46"/>
        <v>5.072222222222222</v>
      </c>
      <c r="AD22" s="113">
        <f>BBG_EUR!V22/100</f>
        <v>-2.9061999999999998E-3</v>
      </c>
      <c r="AE22" s="113">
        <f>BBG_EUR!J22/100</f>
        <v>5.9925999999999998E-3</v>
      </c>
      <c r="AF22" s="116">
        <f>BBG_EUR!X22</f>
        <v>1.0453129999999999</v>
      </c>
      <c r="AG22" s="116">
        <f>BBG_EUR!L22</f>
        <v>0.99583999999999995</v>
      </c>
      <c r="AH22" s="112">
        <f t="shared" si="47"/>
        <v>-8.6990130119640741E-3</v>
      </c>
      <c r="AI22" s="112">
        <f t="shared" si="48"/>
        <v>8.222018282395549E-4</v>
      </c>
      <c r="AJ22" s="112">
        <f t="shared" si="49"/>
        <v>-8.5817146998315996E-3</v>
      </c>
      <c r="AK22" s="112">
        <f t="shared" si="50"/>
        <v>8.9132900734467668E-4</v>
      </c>
      <c r="AL22" s="143">
        <f t="shared" si="22"/>
        <v>1.1789155844881813</v>
      </c>
      <c r="AM22" s="143">
        <f>BBG_EUR!AA22</f>
        <v>1.1791322720000001</v>
      </c>
      <c r="AN22" s="151">
        <f t="shared" si="23"/>
        <v>1.0001838023982972</v>
      </c>
      <c r="AO22" s="147"/>
      <c r="AR22" s="2"/>
      <c r="AS22" s="45"/>
      <c r="AT22" s="45"/>
      <c r="AU22" s="18"/>
      <c r="AV22" s="5"/>
      <c r="AW22" s="5"/>
      <c r="AX22" s="84"/>
      <c r="BF22" s="3" t="s">
        <v>24</v>
      </c>
      <c r="BG22" s="3" t="s">
        <v>81</v>
      </c>
      <c r="BH22" s="2">
        <v>45110</v>
      </c>
      <c r="BI22" s="5">
        <v>-1.7625E-3</v>
      </c>
      <c r="BJ22" s="5">
        <v>1.01643334296396</v>
      </c>
      <c r="BK22" s="5">
        <v>0.999999999999999</v>
      </c>
      <c r="BS22" s="14"/>
      <c r="BX22" s="2">
        <f t="shared" si="9"/>
        <v>45110</v>
      </c>
      <c r="BY22" s="14">
        <f t="shared" si="70"/>
        <v>3.0444444444444443</v>
      </c>
      <c r="BZ22" s="18"/>
      <c r="CA22" s="5">
        <v>-8.6590799738038085E-3</v>
      </c>
      <c r="CB22" s="13">
        <f t="shared" si="12"/>
        <v>1.01643334296396</v>
      </c>
      <c r="CC22" s="5">
        <f t="shared" si="53"/>
        <v>-5.3396345138808643E-3</v>
      </c>
      <c r="CD22" s="149">
        <f t="shared" si="54"/>
        <v>-33.194454599229445</v>
      </c>
      <c r="CF22" s="29"/>
    </row>
    <row r="23" spans="1:84" x14ac:dyDescent="0.25">
      <c r="A23" s="38">
        <v>45932</v>
      </c>
      <c r="B23" s="22">
        <v>2.4999999999941702E-5</v>
      </c>
      <c r="C23" s="22">
        <v>-5.8074755449211103E-4</v>
      </c>
      <c r="D23" s="22">
        <v>1.02668864705898</v>
      </c>
      <c r="E23" s="22">
        <v>1.9152928592265301E-3</v>
      </c>
      <c r="F23" s="32">
        <v>0.99416174569617399</v>
      </c>
      <c r="G23" s="22">
        <f t="shared" si="0"/>
        <v>5.3277777777777775</v>
      </c>
      <c r="H23" s="22">
        <f t="shared" si="13"/>
        <v>-8.5285632350621601E-3</v>
      </c>
      <c r="I23" s="22">
        <f t="shared" si="14"/>
        <v>1.0466903727409644</v>
      </c>
      <c r="J23" s="32">
        <f t="shared" si="1"/>
        <v>1.1827572020625221</v>
      </c>
      <c r="K23" s="22" t="s">
        <v>84</v>
      </c>
      <c r="L23" s="40">
        <f t="shared" si="15"/>
        <v>-22.375</v>
      </c>
      <c r="M23" s="96">
        <v>45932</v>
      </c>
      <c r="N23" s="99">
        <f t="shared" si="41"/>
        <v>45840</v>
      </c>
      <c r="O23" s="38">
        <f t="shared" si="42"/>
        <v>45932</v>
      </c>
      <c r="P23" s="88">
        <f t="shared" si="43"/>
        <v>92</v>
      </c>
      <c r="Q23" s="47">
        <v>10000000</v>
      </c>
      <c r="R23" s="107">
        <f t="shared" si="16"/>
        <v>-2.2724904306213041E-3</v>
      </c>
      <c r="S23" s="47">
        <f t="shared" si="44"/>
        <v>-5807.4755449211107</v>
      </c>
      <c r="T23" s="47">
        <f t="shared" si="45"/>
        <v>249.99999999941701</v>
      </c>
      <c r="V23" s="61">
        <f t="shared" si="17"/>
        <v>-11789155.844881814</v>
      </c>
      <c r="W23" s="47">
        <f t="shared" si="18"/>
        <v>-11827572.020625221</v>
      </c>
      <c r="X23" s="107">
        <f t="shared" si="19"/>
        <v>7.4946242317559869E-3</v>
      </c>
      <c r="Y23" s="47">
        <f t="shared" si="20"/>
        <v>-22579.686006010848</v>
      </c>
      <c r="Z23" s="47">
        <f t="shared" si="21"/>
        <v>38416.175743406639</v>
      </c>
      <c r="AC23" s="122">
        <f t="shared" si="46"/>
        <v>5.3277777777777775</v>
      </c>
      <c r="AD23" s="113">
        <f>BBG_EUR!V23/100</f>
        <v>-2.5180000000000003E-3</v>
      </c>
      <c r="AE23" s="113">
        <f>BBG_EUR!J23/100</f>
        <v>6.9771000000000008E-3</v>
      </c>
      <c r="AF23" s="116">
        <f>BBG_EUR!X23</f>
        <v>1.047466</v>
      </c>
      <c r="AG23" s="116">
        <f>BBG_EUR!L23</f>
        <v>0.99479099999999998</v>
      </c>
      <c r="AH23" s="112">
        <f t="shared" si="47"/>
        <v>-8.6664040669979236E-3</v>
      </c>
      <c r="AI23" s="112">
        <f t="shared" si="48"/>
        <v>9.8074186952845643E-4</v>
      </c>
      <c r="AJ23" s="112">
        <f t="shared" si="49"/>
        <v>-8.5285632350620144E-3</v>
      </c>
      <c r="AK23" s="112">
        <f t="shared" si="50"/>
        <v>1.0996296308332099E-3</v>
      </c>
      <c r="AL23" s="143">
        <f t="shared" si="22"/>
        <v>1.1827572020625221</v>
      </c>
      <c r="AM23" s="143">
        <f>BBG_EUR!AA23</f>
        <v>1.182803869</v>
      </c>
      <c r="AN23" s="151">
        <f t="shared" si="23"/>
        <v>1.0000394560586032</v>
      </c>
      <c r="AO23" s="147"/>
      <c r="AR23" s="2"/>
      <c r="AS23" s="45"/>
      <c r="AT23" s="45"/>
      <c r="AU23" s="18"/>
      <c r="AV23" s="5"/>
      <c r="AW23" s="5"/>
      <c r="AX23" s="84"/>
      <c r="BF23" s="3" t="s">
        <v>25</v>
      </c>
      <c r="BG23" s="3" t="s">
        <v>82</v>
      </c>
      <c r="BH23" s="2">
        <v>45475</v>
      </c>
      <c r="BI23" s="5">
        <v>-1.9499999999999999E-3</v>
      </c>
      <c r="BJ23" s="5">
        <v>1.02151153520052</v>
      </c>
      <c r="BK23" s="5">
        <v>0.99866126888097295</v>
      </c>
      <c r="BS23" s="14"/>
      <c r="BX23" s="2">
        <f t="shared" si="9"/>
        <v>45475</v>
      </c>
      <c r="BY23" s="14">
        <f t="shared" si="70"/>
        <v>4.0583333333333336</v>
      </c>
      <c r="BZ23" s="18"/>
      <c r="CA23" s="5">
        <v>-8.6730254647166376E-3</v>
      </c>
      <c r="CB23" s="13">
        <f t="shared" si="12"/>
        <v>1.02151153520052</v>
      </c>
      <c r="CC23" s="5">
        <f t="shared" si="53"/>
        <v>-5.2306486832220944E-3</v>
      </c>
      <c r="CD23" s="149">
        <f t="shared" si="54"/>
        <v>-34.423767814945428</v>
      </c>
      <c r="CF23" s="29"/>
    </row>
    <row r="24" spans="1:84" x14ac:dyDescent="0.25">
      <c r="A24" s="38">
        <v>46024</v>
      </c>
      <c r="B24" s="22">
        <v>2.4999999999941702E-5</v>
      </c>
      <c r="C24" s="22">
        <v>-5.8074755449211103E-4</v>
      </c>
      <c r="D24" s="22">
        <v>1.0275087762894</v>
      </c>
      <c r="E24" s="22">
        <v>1.9152928592265301E-3</v>
      </c>
      <c r="F24" s="32">
        <v>0.99283407661701095</v>
      </c>
      <c r="G24" s="22">
        <f t="shared" si="0"/>
        <v>5.583333333333333</v>
      </c>
      <c r="H24" s="22">
        <f t="shared" si="13"/>
        <v>-8.4754117702926356E-3</v>
      </c>
      <c r="I24" s="22">
        <f t="shared" si="14"/>
        <v>1.048670028788822</v>
      </c>
      <c r="J24" s="32">
        <f t="shared" si="1"/>
        <v>1.1865788434211946</v>
      </c>
      <c r="K24" s="22" t="s">
        <v>84</v>
      </c>
      <c r="L24" s="40">
        <f t="shared" si="15"/>
        <v>-22.375</v>
      </c>
      <c r="M24" s="96">
        <v>46024</v>
      </c>
      <c r="N24" s="99">
        <f t="shared" si="41"/>
        <v>45932</v>
      </c>
      <c r="O24" s="38">
        <f t="shared" si="42"/>
        <v>46024</v>
      </c>
      <c r="P24" s="88">
        <f t="shared" si="43"/>
        <v>92</v>
      </c>
      <c r="Q24" s="47">
        <v>10000000</v>
      </c>
      <c r="R24" s="107">
        <f t="shared" si="16"/>
        <v>-2.2724904306213041E-3</v>
      </c>
      <c r="S24" s="47">
        <f t="shared" si="44"/>
        <v>-5807.4755449211107</v>
      </c>
      <c r="T24" s="47">
        <f t="shared" si="45"/>
        <v>249.99999999941701</v>
      </c>
      <c r="V24" s="61">
        <f t="shared" si="17"/>
        <v>-11827572.020625221</v>
      </c>
      <c r="W24" s="47">
        <f t="shared" si="18"/>
        <v>-11865788.434211945</v>
      </c>
      <c r="X24" s="107">
        <f t="shared" si="19"/>
        <v>7.4946242317559869E-3</v>
      </c>
      <c r="Y24" s="47">
        <f t="shared" si="20"/>
        <v>-22653.264233090988</v>
      </c>
      <c r="Z24" s="47">
        <f t="shared" si="21"/>
        <v>38216.41358672455</v>
      </c>
      <c r="AC24" s="122">
        <f t="shared" si="46"/>
        <v>5.583333333333333</v>
      </c>
      <c r="AD24" s="113">
        <f>BBG_EUR!V24/100</f>
        <v>-2.3525E-3</v>
      </c>
      <c r="AE24" s="113">
        <f>BBG_EUR!J24/100</f>
        <v>7.3273999999999995E-3</v>
      </c>
      <c r="AF24" s="116">
        <f>BBG_EUR!X24</f>
        <v>1.0496080000000001</v>
      </c>
      <c r="AG24" s="116">
        <f>BBG_EUR!L24</f>
        <v>0.99366200000000005</v>
      </c>
      <c r="AH24" s="112">
        <f t="shared" si="47"/>
        <v>-8.634168323645941E-3</v>
      </c>
      <c r="AI24" s="112">
        <f t="shared" si="48"/>
        <v>1.1394254394352377E-3</v>
      </c>
      <c r="AJ24" s="112">
        <f t="shared" si="49"/>
        <v>-8.4754117702926512E-3</v>
      </c>
      <c r="AK24" s="112">
        <f t="shared" si="50"/>
        <v>1.2888995178421681E-3</v>
      </c>
      <c r="AL24" s="143">
        <f t="shared" si="22"/>
        <v>1.1865788434211946</v>
      </c>
      <c r="AM24" s="143">
        <f>BBG_EUR!AA24</f>
        <v>1.18652603</v>
      </c>
      <c r="AN24" s="151">
        <f t="shared" si="23"/>
        <v>0.99995549101394532</v>
      </c>
      <c r="AO24" s="147"/>
      <c r="AR24" s="2"/>
      <c r="AS24" s="45"/>
      <c r="AT24" s="45"/>
      <c r="AU24" s="18"/>
      <c r="AV24" s="5"/>
      <c r="AW24" s="5"/>
      <c r="AX24" s="84"/>
      <c r="BF24" s="3" t="s">
        <v>26</v>
      </c>
      <c r="BG24" s="3" t="s">
        <v>83</v>
      </c>
      <c r="BH24" s="2">
        <v>45840</v>
      </c>
      <c r="BI24" s="5">
        <v>-2.1124999999999998E-3</v>
      </c>
      <c r="BJ24" s="5">
        <v>1.0258691724331299</v>
      </c>
      <c r="BK24" s="5">
        <v>0.99549119020310095</v>
      </c>
      <c r="BS24" s="14"/>
      <c r="BX24" s="2">
        <f t="shared" si="9"/>
        <v>45840</v>
      </c>
      <c r="BY24" s="14">
        <f t="shared" si="70"/>
        <v>5.072222222222222</v>
      </c>
      <c r="BZ24" s="18"/>
      <c r="CA24" s="5">
        <v>-8.5817146998316864E-3</v>
      </c>
      <c r="CB24" s="13">
        <f t="shared" si="12"/>
        <v>1.0258691724331299</v>
      </c>
      <c r="CC24" s="5">
        <f t="shared" si="53"/>
        <v>-5.0226570381556312E-3</v>
      </c>
      <c r="CD24" s="149">
        <f t="shared" si="54"/>
        <v>-35.590576616760551</v>
      </c>
      <c r="CF24" s="29"/>
    </row>
    <row r="25" spans="1:84" x14ac:dyDescent="0.25">
      <c r="A25" s="38">
        <v>46114</v>
      </c>
      <c r="B25" s="22">
        <v>2.4999999999941702E-5</v>
      </c>
      <c r="C25" s="22">
        <v>-5.6812619462376303E-4</v>
      </c>
      <c r="D25" s="22">
        <v>1.02831171053929</v>
      </c>
      <c r="E25" s="22">
        <v>1.8736170768363001E-3</v>
      </c>
      <c r="F25" s="32">
        <v>0.99153698558437897</v>
      </c>
      <c r="G25" s="22">
        <f t="shared" si="0"/>
        <v>5.833333333333333</v>
      </c>
      <c r="H25" s="22">
        <f t="shared" si="13"/>
        <v>-8.4234157721485344E-3</v>
      </c>
      <c r="I25" s="22">
        <f t="shared" si="14"/>
        <v>1.0505824351392583</v>
      </c>
      <c r="J25" s="32">
        <f t="shared" si="1"/>
        <v>1.1902978152043999</v>
      </c>
      <c r="K25" s="22" t="s">
        <v>84</v>
      </c>
      <c r="L25" s="40">
        <f t="shared" si="15"/>
        <v>-22.375</v>
      </c>
      <c r="M25" s="96">
        <v>46114</v>
      </c>
      <c r="N25" s="99">
        <f t="shared" si="41"/>
        <v>46024</v>
      </c>
      <c r="O25" s="38">
        <f t="shared" si="42"/>
        <v>46114</v>
      </c>
      <c r="P25" s="88">
        <f t="shared" si="43"/>
        <v>90</v>
      </c>
      <c r="Q25" s="47">
        <v>10000000</v>
      </c>
      <c r="R25" s="107">
        <f t="shared" si="16"/>
        <v>-2.2725047784950521E-3</v>
      </c>
      <c r="S25" s="47">
        <f t="shared" si="44"/>
        <v>-5681.2619462376306</v>
      </c>
      <c r="T25" s="47">
        <f t="shared" si="45"/>
        <v>249.99999999941701</v>
      </c>
      <c r="V25" s="61">
        <f t="shared" si="17"/>
        <v>-11865788.434211945</v>
      </c>
      <c r="W25" s="47">
        <f t="shared" si="18"/>
        <v>-11902978.152044</v>
      </c>
      <c r="X25" s="107">
        <f t="shared" si="19"/>
        <v>7.4944683073451994E-3</v>
      </c>
      <c r="Y25" s="47">
        <f t="shared" si="20"/>
        <v>-22231.943840466163</v>
      </c>
      <c r="Z25" s="47">
        <f t="shared" si="21"/>
        <v>37189.717832054943</v>
      </c>
      <c r="AC25" s="122">
        <f t="shared" si="46"/>
        <v>5.833333333333333</v>
      </c>
      <c r="AD25" s="113">
        <f>BBG_EUR!V25/100</f>
        <v>-2.1884999999999999E-3</v>
      </c>
      <c r="AE25" s="113">
        <f>BBG_EUR!J25/100</f>
        <v>7.6717999999999995E-3</v>
      </c>
      <c r="AF25" s="116">
        <f>BBG_EUR!X25</f>
        <v>1.05169</v>
      </c>
      <c r="AG25" s="116">
        <f>BBG_EUR!L25</f>
        <v>0.992483</v>
      </c>
      <c r="AH25" s="112">
        <f t="shared" si="47"/>
        <v>-8.6025095320042544E-3</v>
      </c>
      <c r="AI25" s="112">
        <f t="shared" si="48"/>
        <v>1.2943332181645228E-3</v>
      </c>
      <c r="AJ25" s="112">
        <f t="shared" si="49"/>
        <v>-8.423415772148557E-3</v>
      </c>
      <c r="AK25" s="112">
        <f t="shared" si="50"/>
        <v>1.4580383162574595E-3</v>
      </c>
      <c r="AL25" s="143">
        <f t="shared" si="22"/>
        <v>1.1902978152043999</v>
      </c>
      <c r="AM25" s="143">
        <f>BBG_EUR!AA25</f>
        <v>1.1903323910000001</v>
      </c>
      <c r="AN25" s="151">
        <f t="shared" si="23"/>
        <v>1.000029048020721</v>
      </c>
      <c r="AO25" s="147"/>
      <c r="AR25" s="2"/>
      <c r="AS25" s="45"/>
      <c r="AT25" s="45"/>
      <c r="AU25" s="18"/>
      <c r="AV25" s="5"/>
      <c r="AW25" s="5"/>
      <c r="AX25" s="84"/>
      <c r="BF25" s="3" t="s">
        <v>27</v>
      </c>
      <c r="BG25" s="3" t="s">
        <v>84</v>
      </c>
      <c r="BH25" s="2">
        <v>46205</v>
      </c>
      <c r="BI25" s="5">
        <v>-2.2374999999999999E-3</v>
      </c>
      <c r="BJ25" s="5">
        <v>1.0291242042220099</v>
      </c>
      <c r="BK25" s="5">
        <v>0.99022720535700504</v>
      </c>
      <c r="BS25" s="14"/>
      <c r="BX25" s="2">
        <f t="shared" si="9"/>
        <v>46205</v>
      </c>
      <c r="BY25" s="14">
        <f t="shared" si="70"/>
        <v>6.0861111111111112</v>
      </c>
      <c r="BZ25" s="18"/>
      <c r="CA25" s="5">
        <v>-8.3708420406917224E-3</v>
      </c>
      <c r="CB25" s="13">
        <f t="shared" si="12"/>
        <v>1.0291242042220099</v>
      </c>
      <c r="CC25" s="5">
        <f t="shared" si="53"/>
        <v>-4.7058870743581505E-3</v>
      </c>
      <c r="CD25" s="149">
        <f t="shared" si="54"/>
        <v>-36.649549663335719</v>
      </c>
      <c r="CF25" s="29"/>
    </row>
    <row r="26" spans="1:84" x14ac:dyDescent="0.25">
      <c r="A26" s="39">
        <v>46205</v>
      </c>
      <c r="B26" s="11">
        <v>2.4999999999941702E-5</v>
      </c>
      <c r="C26" s="11">
        <v>-5.7443689448155501E-4</v>
      </c>
      <c r="D26" s="11">
        <v>1.0291242042220099</v>
      </c>
      <c r="E26" s="11">
        <v>1.89445475133309E-3</v>
      </c>
      <c r="F26" s="33">
        <v>0.99022720535700504</v>
      </c>
      <c r="G26" s="11">
        <f t="shared" si="0"/>
        <v>6.0861111111111112</v>
      </c>
      <c r="H26" s="11">
        <f t="shared" si="13"/>
        <v>-8.3708420406917224E-3</v>
      </c>
      <c r="I26" s="11">
        <f t="shared" si="14"/>
        <v>1.0524915964290107</v>
      </c>
      <c r="J26" s="33">
        <f t="shared" si="1"/>
        <v>1.1940381490549665</v>
      </c>
      <c r="K26" s="11" t="s">
        <v>84</v>
      </c>
      <c r="L26" s="41">
        <f t="shared" si="15"/>
        <v>-22.375</v>
      </c>
      <c r="M26" s="95">
        <v>46205</v>
      </c>
      <c r="N26" s="9">
        <f t="shared" si="41"/>
        <v>46114</v>
      </c>
      <c r="O26" s="39">
        <f t="shared" si="42"/>
        <v>46205</v>
      </c>
      <c r="P26" s="87">
        <f t="shared" si="43"/>
        <v>91</v>
      </c>
      <c r="Q26" s="46">
        <v>10000000</v>
      </c>
      <c r="R26" s="106">
        <f t="shared" si="16"/>
        <v>-2.2724976045424153E-3</v>
      </c>
      <c r="S26" s="46">
        <f t="shared" si="44"/>
        <v>-5744.3689448155501</v>
      </c>
      <c r="T26" s="46">
        <f t="shared" si="45"/>
        <v>249.99999999941701</v>
      </c>
      <c r="U26" s="50">
        <f>Q26</f>
        <v>10000000</v>
      </c>
      <c r="V26" s="62">
        <f t="shared" si="17"/>
        <v>-11902978.152044</v>
      </c>
      <c r="W26" s="46">
        <f t="shared" si="18"/>
        <v>-11940381.490549665</v>
      </c>
      <c r="X26" s="106">
        <f t="shared" si="19"/>
        <v>7.4945462690100264E-3</v>
      </c>
      <c r="Y26" s="46">
        <f t="shared" si="20"/>
        <v>-22549.653515153721</v>
      </c>
      <c r="Z26" s="46">
        <f t="shared" si="21"/>
        <v>37403.33850566484</v>
      </c>
      <c r="AA26" s="50">
        <f>W26</f>
        <v>-11940381.490549665</v>
      </c>
      <c r="AC26" s="122">
        <f t="shared" si="46"/>
        <v>6.0861111111111112</v>
      </c>
      <c r="AD26" s="113">
        <f>BBG_EUR!V26/100</f>
        <v>-2.0251000000000002E-3</v>
      </c>
      <c r="AE26" s="113">
        <f>BBG_EUR!J26/100</f>
        <v>8.0125999999999999E-3</v>
      </c>
      <c r="AF26" s="116">
        <f>BBG_EUR!X26</f>
        <v>1.0537799999999999</v>
      </c>
      <c r="AG26" s="116">
        <f>BBG_EUR!L26</f>
        <v>0.99121400000000004</v>
      </c>
      <c r="AH26" s="112">
        <f t="shared" si="47"/>
        <v>-8.5701540011474675E-3</v>
      </c>
      <c r="AI26" s="112">
        <f t="shared" si="48"/>
        <v>1.4510457296261769E-3</v>
      </c>
      <c r="AJ26" s="112">
        <f t="shared" si="49"/>
        <v>-8.3708420406917172E-3</v>
      </c>
      <c r="AK26" s="112">
        <f t="shared" si="50"/>
        <v>1.614954053942963E-3</v>
      </c>
      <c r="AL26" s="143">
        <f t="shared" si="22"/>
        <v>1.1940381490549665</v>
      </c>
      <c r="AM26" s="143">
        <f>BBG_EUR!AA26</f>
        <v>1.1942231990000001</v>
      </c>
      <c r="AN26" s="151">
        <f t="shared" si="23"/>
        <v>1.0001549782518926</v>
      </c>
      <c r="AO26" s="147"/>
      <c r="AR26" s="2"/>
      <c r="AS26" s="45"/>
      <c r="AT26" s="45"/>
      <c r="AU26" s="18"/>
      <c r="AV26" s="5"/>
      <c r="AW26" s="5"/>
      <c r="AX26" s="84"/>
      <c r="BF26" s="3" t="s">
        <v>28</v>
      </c>
      <c r="BG26" s="3" t="s">
        <v>85</v>
      </c>
      <c r="BH26" s="2">
        <v>46570</v>
      </c>
      <c r="BI26" s="5">
        <v>-2.3249999999999998E-3</v>
      </c>
      <c r="BJ26" s="5">
        <v>1.0315047462278599</v>
      </c>
      <c r="BK26" s="5">
        <v>0.98381533746739303</v>
      </c>
      <c r="BS26" s="14"/>
      <c r="BX26" s="2">
        <f t="shared" si="9"/>
        <v>46570</v>
      </c>
      <c r="BY26" s="14">
        <f t="shared" si="70"/>
        <v>7.1</v>
      </c>
      <c r="BZ26" s="18"/>
      <c r="CA26" s="5">
        <v>-8.1049442040824621E-3</v>
      </c>
      <c r="CB26" s="13">
        <f t="shared" si="12"/>
        <v>1.0315047462278599</v>
      </c>
      <c r="CC26" s="5">
        <f t="shared" si="53"/>
        <v>-4.3592951887887477E-3</v>
      </c>
      <c r="CD26" s="149">
        <f t="shared" si="54"/>
        <v>-37.456490152937143</v>
      </c>
      <c r="CF26" s="29"/>
    </row>
    <row r="27" spans="1:84" x14ac:dyDescent="0.25">
      <c r="A27" s="38">
        <v>46297</v>
      </c>
      <c r="B27" s="22">
        <v>2.4999999999941702E-5</v>
      </c>
      <c r="C27" s="22">
        <v>-3.5931049056325798E-4</v>
      </c>
      <c r="D27" s="22">
        <v>1.0297237128853001</v>
      </c>
      <c r="E27" s="22">
        <v>2.2336498231729702E-3</v>
      </c>
      <c r="F27" s="32">
        <v>0.98860713494963304</v>
      </c>
      <c r="G27" s="22">
        <f t="shared" si="0"/>
        <v>6.3416666666666668</v>
      </c>
      <c r="H27" s="22">
        <f t="shared" si="13"/>
        <v>-8.3038212161217172E-3</v>
      </c>
      <c r="I27" s="22">
        <f t="shared" si="14"/>
        <v>1.0543030410818854</v>
      </c>
      <c r="J27" s="32">
        <f t="shared" si="1"/>
        <v>1.198053295874435</v>
      </c>
      <c r="K27" s="22" t="s">
        <v>85</v>
      </c>
      <c r="L27" s="40">
        <f t="shared" si="15"/>
        <v>-23.249999999999996</v>
      </c>
      <c r="M27" s="96">
        <v>46297</v>
      </c>
      <c r="N27" s="99">
        <f t="shared" si="41"/>
        <v>46205</v>
      </c>
      <c r="O27" s="38">
        <f t="shared" si="42"/>
        <v>46297</v>
      </c>
      <c r="P27" s="88">
        <f t="shared" si="43"/>
        <v>92</v>
      </c>
      <c r="Q27" s="47">
        <v>10000000</v>
      </c>
      <c r="R27" s="107">
        <f t="shared" si="16"/>
        <v>-1.4059975717692701E-3</v>
      </c>
      <c r="S27" s="47">
        <f t="shared" si="44"/>
        <v>-3593.1049056325796</v>
      </c>
      <c r="T27" s="47">
        <f t="shared" si="45"/>
        <v>249.99999999941701</v>
      </c>
      <c r="V27" s="61">
        <f t="shared" si="17"/>
        <v>-11940381.490549665</v>
      </c>
      <c r="W27" s="47">
        <f t="shared" si="18"/>
        <v>-11980532.958744349</v>
      </c>
      <c r="X27" s="107">
        <f t="shared" si="19"/>
        <v>8.740368873285536E-3</v>
      </c>
      <c r="Y27" s="47">
        <f t="shared" si="20"/>
        <v>-26670.631004984065</v>
      </c>
      <c r="Z27" s="47">
        <f t="shared" si="21"/>
        <v>40151.468194684014</v>
      </c>
      <c r="AC27" s="122">
        <f t="shared" si="46"/>
        <v>6.3416666666666668</v>
      </c>
      <c r="AD27" s="113">
        <f>BBG_EUR!V27/100</f>
        <v>-1.6725000000000002E-3</v>
      </c>
      <c r="AE27" s="113">
        <f>BBG_EUR!J27/100</f>
        <v>8.2462000000000004E-3</v>
      </c>
      <c r="AF27" s="116">
        <f>BBG_EUR!X27</f>
        <v>1.055709</v>
      </c>
      <c r="AG27" s="116">
        <f>BBG_EUR!L27</f>
        <v>0.98981699999999995</v>
      </c>
      <c r="AH27" s="112">
        <f t="shared" si="47"/>
        <v>-8.5121970520636303E-3</v>
      </c>
      <c r="AI27" s="112">
        <f t="shared" si="48"/>
        <v>1.6152639385933476E-3</v>
      </c>
      <c r="AJ27" s="112">
        <f t="shared" si="49"/>
        <v>-8.3038212161217206E-3</v>
      </c>
      <c r="AK27" s="112">
        <f t="shared" si="50"/>
        <v>1.8084549798325078E-3</v>
      </c>
      <c r="AL27" s="143">
        <f t="shared" si="22"/>
        <v>1.198053295874435</v>
      </c>
      <c r="AM27" s="143">
        <f>BBG_EUR!AA27</f>
        <v>1.198100164</v>
      </c>
      <c r="AN27" s="151">
        <f t="shared" si="23"/>
        <v>1.0000391202342387</v>
      </c>
      <c r="AO27" s="147"/>
      <c r="AR27" s="2"/>
      <c r="AS27" s="45"/>
      <c r="AT27" s="45"/>
      <c r="AU27" s="18"/>
      <c r="BF27" s="3" t="s">
        <v>29</v>
      </c>
      <c r="BG27" s="3" t="s">
        <v>86</v>
      </c>
      <c r="BH27" s="2">
        <v>46937</v>
      </c>
      <c r="BI27" s="5">
        <v>-2.3999999999999998E-3</v>
      </c>
      <c r="BJ27" s="5">
        <v>1.033099675908</v>
      </c>
      <c r="BK27" s="5">
        <v>0.97653648690217199</v>
      </c>
      <c r="BS27" s="14"/>
      <c r="BX27" s="2">
        <f t="shared" si="9"/>
        <v>46937</v>
      </c>
      <c r="BY27" s="14">
        <f t="shared" si="70"/>
        <v>8.1194444444444436</v>
      </c>
      <c r="BZ27" s="18"/>
      <c r="CA27" s="5">
        <v>-7.769393287065959E-3</v>
      </c>
      <c r="CB27" s="13">
        <f t="shared" si="12"/>
        <v>1.033099675908</v>
      </c>
      <c r="CC27" s="5">
        <f t="shared" si="53"/>
        <v>-4.0025478330193431E-3</v>
      </c>
      <c r="CD27" s="149">
        <f t="shared" si="54"/>
        <v>-37.668454540466158</v>
      </c>
      <c r="CF27" s="29"/>
    </row>
    <row r="28" spans="1:84" x14ac:dyDescent="0.25">
      <c r="A28" s="38">
        <v>46391</v>
      </c>
      <c r="B28" s="22">
        <v>2.55555555555009E-5</v>
      </c>
      <c r="C28" s="22">
        <v>-3.67120154204925E-4</v>
      </c>
      <c r="D28" s="22">
        <v>1.03033661505722</v>
      </c>
      <c r="E28" s="22">
        <v>2.2822627969740698E-3</v>
      </c>
      <c r="F28" s="32">
        <v>0.98695458317578899</v>
      </c>
      <c r="G28" s="22">
        <f t="shared" si="0"/>
        <v>6.6027777777777779</v>
      </c>
      <c r="H28" s="22">
        <f t="shared" si="13"/>
        <v>-8.2353434171045375E-3</v>
      </c>
      <c r="I28" s="22">
        <f t="shared" si="14"/>
        <v>1.0561194374485217</v>
      </c>
      <c r="J28" s="32">
        <f t="shared" si="1"/>
        <v>1.2021268214915908</v>
      </c>
      <c r="K28" s="22" t="s">
        <v>85</v>
      </c>
      <c r="L28" s="40">
        <f t="shared" si="15"/>
        <v>-23.249999999999996</v>
      </c>
      <c r="M28" s="96">
        <v>46391</v>
      </c>
      <c r="N28" s="99">
        <f t="shared" si="41"/>
        <v>46297</v>
      </c>
      <c r="O28" s="38">
        <f t="shared" si="42"/>
        <v>46391</v>
      </c>
      <c r="P28" s="88">
        <f t="shared" si="43"/>
        <v>94</v>
      </c>
      <c r="Q28" s="47">
        <v>10000000</v>
      </c>
      <c r="R28" s="107">
        <f t="shared" si="16"/>
        <v>-1.4059920799337554E-3</v>
      </c>
      <c r="S28" s="47">
        <f t="shared" si="44"/>
        <v>-3671.2015420492498</v>
      </c>
      <c r="T28" s="47">
        <f t="shared" si="45"/>
        <v>255.55555555500899</v>
      </c>
      <c r="V28" s="61">
        <f t="shared" si="17"/>
        <v>-11980532.958744349</v>
      </c>
      <c r="W28" s="47">
        <f t="shared" si="18"/>
        <v>-12021268.214915907</v>
      </c>
      <c r="X28" s="107">
        <f t="shared" si="19"/>
        <v>8.7405809245815445E-3</v>
      </c>
      <c r="Y28" s="47">
        <f t="shared" si="20"/>
        <v>-27342.724659663905</v>
      </c>
      <c r="Z28" s="47">
        <f t="shared" si="21"/>
        <v>40735.256171558052</v>
      </c>
      <c r="AC28" s="122">
        <f t="shared" si="46"/>
        <v>6.6027777777777779</v>
      </c>
      <c r="AD28" s="113">
        <f>BBG_EUR!V28/100</f>
        <v>-1.4886999999999999E-3</v>
      </c>
      <c r="AE28" s="113">
        <f>BBG_EUR!J28/100</f>
        <v>8.5838000000000008E-3</v>
      </c>
      <c r="AF28" s="116">
        <f>BBG_EUR!X28</f>
        <v>1.0576479999999999</v>
      </c>
      <c r="AG28" s="116">
        <f>BBG_EUR!L28</f>
        <v>0.98830600000000002</v>
      </c>
      <c r="AH28" s="112">
        <f t="shared" si="47"/>
        <v>-8.4525587440179573E-3</v>
      </c>
      <c r="AI28" s="112">
        <f t="shared" si="48"/>
        <v>1.7830975204524702E-3</v>
      </c>
      <c r="AJ28" s="112">
        <f t="shared" si="49"/>
        <v>-8.2353434171045237E-3</v>
      </c>
      <c r="AK28" s="112">
        <f t="shared" si="50"/>
        <v>1.9907260403440041E-3</v>
      </c>
      <c r="AL28" s="143">
        <f t="shared" si="22"/>
        <v>1.2021268214915908</v>
      </c>
      <c r="AM28" s="143">
        <f>BBG_EUR!AA28</f>
        <v>1.202004238</v>
      </c>
      <c r="AN28" s="151">
        <f t="shared" si="23"/>
        <v>0.99989802782085946</v>
      </c>
      <c r="AO28" s="147"/>
      <c r="AR28" s="2"/>
      <c r="AS28" s="45"/>
      <c r="AT28" s="45"/>
      <c r="AU28" s="18"/>
      <c r="BF28" s="3" t="s">
        <v>30</v>
      </c>
      <c r="BG28" s="3" t="s">
        <v>87</v>
      </c>
      <c r="BH28" s="2">
        <v>47301</v>
      </c>
      <c r="BI28" s="5">
        <v>-2.4375E-3</v>
      </c>
      <c r="BJ28" s="5">
        <v>1.0335330226946899</v>
      </c>
      <c r="BK28" s="5">
        <v>0.96844249206339905</v>
      </c>
      <c r="BS28" s="14"/>
      <c r="BX28" s="2">
        <f t="shared" si="9"/>
        <v>47301</v>
      </c>
      <c r="BY28" s="14">
        <f t="shared" si="70"/>
        <v>9.1305555555555564</v>
      </c>
      <c r="BZ28" s="18"/>
      <c r="CA28" s="5">
        <v>-7.3725592740608459E-3</v>
      </c>
      <c r="CB28" s="13">
        <f t="shared" si="12"/>
        <v>1.0335330226946899</v>
      </c>
      <c r="CC28" s="5">
        <f t="shared" si="53"/>
        <v>-3.605864912001211E-3</v>
      </c>
      <c r="CD28" s="149">
        <f t="shared" si="54"/>
        <v>-37.666943620596349</v>
      </c>
      <c r="CF28" s="29"/>
    </row>
    <row r="29" spans="1:84" x14ac:dyDescent="0.25">
      <c r="A29" s="38">
        <v>46479</v>
      </c>
      <c r="B29" s="22">
        <v>2.44444444443825E-5</v>
      </c>
      <c r="C29" s="22">
        <v>-3.43690980239674E-4</v>
      </c>
      <c r="D29" s="22">
        <v>1.0309107264303701</v>
      </c>
      <c r="E29" s="22">
        <v>2.1364309489759702E-3</v>
      </c>
      <c r="F29" s="32">
        <v>0.98541001706047604</v>
      </c>
      <c r="G29" s="22">
        <f t="shared" si="0"/>
        <v>6.8472222222222223</v>
      </c>
      <c r="H29" s="22">
        <f t="shared" si="13"/>
        <v>-8.171236541428881E-3</v>
      </c>
      <c r="I29" s="22">
        <f t="shared" si="14"/>
        <v>1.0577881920207426</v>
      </c>
      <c r="J29" s="32">
        <f t="shared" si="1"/>
        <v>1.2059135124898708</v>
      </c>
      <c r="K29" s="22" t="s">
        <v>85</v>
      </c>
      <c r="L29" s="40">
        <f t="shared" si="15"/>
        <v>-23.249999999999996</v>
      </c>
      <c r="M29" s="96">
        <v>46479</v>
      </c>
      <c r="N29" s="99">
        <f t="shared" si="41"/>
        <v>46391</v>
      </c>
      <c r="O29" s="38">
        <f t="shared" si="42"/>
        <v>46479</v>
      </c>
      <c r="P29" s="88">
        <f t="shared" si="43"/>
        <v>88</v>
      </c>
      <c r="Q29" s="47">
        <v>10000000</v>
      </c>
      <c r="R29" s="107">
        <f t="shared" si="16"/>
        <v>-1.4060085555259391E-3</v>
      </c>
      <c r="S29" s="47">
        <f t="shared" si="44"/>
        <v>-3436.9098023967399</v>
      </c>
      <c r="T29" s="47">
        <f t="shared" si="45"/>
        <v>244.44444444382501</v>
      </c>
      <c r="V29" s="61">
        <f t="shared" si="17"/>
        <v>-12021268.214915907</v>
      </c>
      <c r="W29" s="47">
        <f t="shared" si="18"/>
        <v>-12059135.124898707</v>
      </c>
      <c r="X29" s="107">
        <f t="shared" si="19"/>
        <v>8.7399447912653323E-3</v>
      </c>
      <c r="Y29" s="47">
        <f t="shared" si="20"/>
        <v>-25682.609460287458</v>
      </c>
      <c r="Z29" s="47">
        <f t="shared" si="21"/>
        <v>37866.909982800484</v>
      </c>
      <c r="AC29" s="122">
        <f t="shared" si="46"/>
        <v>6.8472222222222223</v>
      </c>
      <c r="AD29" s="113">
        <f>BBG_EUR!V29/100</f>
        <v>-1.3086E-3</v>
      </c>
      <c r="AE29" s="113">
        <f>BBG_EUR!J29/100</f>
        <v>8.9110999999999999E-3</v>
      </c>
      <c r="AF29" s="116">
        <f>BBG_EUR!X29</f>
        <v>1.059434</v>
      </c>
      <c r="AG29" s="116">
        <f>BBG_EUR!L29</f>
        <v>0.98681700000000006</v>
      </c>
      <c r="AH29" s="112">
        <f t="shared" si="47"/>
        <v>-8.3964092656518829E-3</v>
      </c>
      <c r="AI29" s="112">
        <f t="shared" si="48"/>
        <v>1.9399889412310412E-3</v>
      </c>
      <c r="AJ29" s="112">
        <f t="shared" si="49"/>
        <v>-8.1712365414289279E-3</v>
      </c>
      <c r="AK29" s="112">
        <f t="shared" si="50"/>
        <v>2.1487908831612224E-3</v>
      </c>
      <c r="AL29" s="143">
        <f t="shared" si="22"/>
        <v>1.2059135124898708</v>
      </c>
      <c r="AM29" s="143">
        <f>BBG_EUR!AA29</f>
        <v>1.205980176</v>
      </c>
      <c r="AN29" s="151">
        <f t="shared" si="23"/>
        <v>1.0000552805068015</v>
      </c>
      <c r="AO29" s="147"/>
      <c r="AR29" s="2"/>
      <c r="AS29" s="45"/>
      <c r="AT29" s="45"/>
      <c r="AU29" s="18"/>
      <c r="BF29" s="3" t="s">
        <v>31</v>
      </c>
      <c r="BG29" s="3" t="s">
        <v>88</v>
      </c>
      <c r="BH29" s="2">
        <v>47666</v>
      </c>
      <c r="BI29" s="5">
        <v>-2.4624999999999998E-3</v>
      </c>
      <c r="BJ29" s="5">
        <v>1.0328255909462001</v>
      </c>
      <c r="BK29" s="5">
        <v>0.96003760698525897</v>
      </c>
      <c r="BS29" s="14"/>
      <c r="BX29" s="2">
        <f t="shared" si="9"/>
        <v>47666</v>
      </c>
      <c r="BY29" s="14">
        <f t="shared" si="70"/>
        <v>10.144444444444444</v>
      </c>
      <c r="BZ29" s="18"/>
      <c r="CA29" s="5">
        <v>-6.9474523800047809E-3</v>
      </c>
      <c r="CB29" s="13">
        <f t="shared" si="12"/>
        <v>1.0328255909462001</v>
      </c>
      <c r="CC29" s="5">
        <f t="shared" si="53"/>
        <v>-3.1787819148809682E-3</v>
      </c>
      <c r="CD29" s="149">
        <f t="shared" si="54"/>
        <v>-37.686704651238131</v>
      </c>
      <c r="CF29" s="29"/>
    </row>
    <row r="30" spans="1:84" x14ac:dyDescent="0.25">
      <c r="A30" s="39">
        <v>46570</v>
      </c>
      <c r="B30" s="11">
        <v>2.4999999999941702E-5</v>
      </c>
      <c r="C30" s="11">
        <v>-3.55405635862449E-4</v>
      </c>
      <c r="D30" s="11">
        <v>1.0315047462278599</v>
      </c>
      <c r="E30" s="11">
        <v>2.20934422046936E-3</v>
      </c>
      <c r="F30" s="33">
        <v>0.98381533746739303</v>
      </c>
      <c r="G30" s="11">
        <f t="shared" si="0"/>
        <v>7.1</v>
      </c>
      <c r="H30" s="11">
        <f t="shared" si="13"/>
        <v>-8.1049442040824621E-3</v>
      </c>
      <c r="I30" s="11">
        <f t="shared" si="14"/>
        <v>1.0594814301033058</v>
      </c>
      <c r="J30" s="33">
        <f t="shared" si="1"/>
        <v>1.2098016703439547</v>
      </c>
      <c r="K30" s="11" t="s">
        <v>85</v>
      </c>
      <c r="L30" s="41">
        <f t="shared" si="15"/>
        <v>-23.249999999999996</v>
      </c>
      <c r="M30" s="95">
        <v>46570</v>
      </c>
      <c r="N30" s="9">
        <f t="shared" si="41"/>
        <v>46479</v>
      </c>
      <c r="O30" s="39">
        <f t="shared" si="42"/>
        <v>46570</v>
      </c>
      <c r="P30" s="87">
        <f t="shared" si="43"/>
        <v>91</v>
      </c>
      <c r="Q30" s="46">
        <v>10000000</v>
      </c>
      <c r="R30" s="106">
        <f t="shared" si="16"/>
        <v>-1.4060003176976006E-3</v>
      </c>
      <c r="S30" s="46">
        <f t="shared" si="44"/>
        <v>-3554.0563586244898</v>
      </c>
      <c r="T30" s="46">
        <f t="shared" si="45"/>
        <v>249.99999999941701</v>
      </c>
      <c r="U30" s="50">
        <f>Q30</f>
        <v>10000000</v>
      </c>
      <c r="V30" s="62">
        <f t="shared" si="17"/>
        <v>-12059135.124898707</v>
      </c>
      <c r="W30" s="46">
        <f t="shared" si="18"/>
        <v>-12098016.703439547</v>
      </c>
      <c r="X30" s="106">
        <f t="shared" si="19"/>
        <v>8.7402628502084578E-3</v>
      </c>
      <c r="Y30" s="46">
        <f t="shared" si="20"/>
        <v>-26642.780492054015</v>
      </c>
      <c r="Z30" s="46">
        <f t="shared" si="21"/>
        <v>38881.578540839255</v>
      </c>
      <c r="AA30" s="50">
        <f>W30</f>
        <v>-12098016.703439547</v>
      </c>
      <c r="AC30" s="122">
        <f t="shared" si="46"/>
        <v>7.1</v>
      </c>
      <c r="AD30" s="113">
        <f>BBG_EUR!V30/100</f>
        <v>-1.1313E-3</v>
      </c>
      <c r="AE30" s="113">
        <f>BBG_EUR!J30/100</f>
        <v>9.2318000000000001E-3</v>
      </c>
      <c r="AF30" s="116">
        <f>BBG_EUR!X30</f>
        <v>1.0612520000000001</v>
      </c>
      <c r="AG30" s="116">
        <f>BBG_EUR!L30</f>
        <v>0.98520200000000002</v>
      </c>
      <c r="AH30" s="112">
        <f t="shared" si="47"/>
        <v>-8.3381897716483522E-3</v>
      </c>
      <c r="AI30" s="112">
        <f t="shared" si="48"/>
        <v>2.1020065040040503E-3</v>
      </c>
      <c r="AJ30" s="112">
        <f t="shared" si="49"/>
        <v>-8.104944204082587E-3</v>
      </c>
      <c r="AK30" s="112">
        <f t="shared" si="50"/>
        <v>2.3008209646375732E-3</v>
      </c>
      <c r="AL30" s="143">
        <f t="shared" si="22"/>
        <v>1.2098016703439547</v>
      </c>
      <c r="AM30" s="143">
        <f>BBG_EUR!AA30</f>
        <v>1.210027977</v>
      </c>
      <c r="AN30" s="151">
        <f t="shared" si="23"/>
        <v>1.0001870609551902</v>
      </c>
      <c r="AO30" s="147"/>
      <c r="AR30" s="2"/>
      <c r="AS30" s="45"/>
      <c r="AT30" s="45"/>
      <c r="AU30" s="18"/>
      <c r="BF30" s="3" t="s">
        <v>32</v>
      </c>
      <c r="BG30" s="3" t="s">
        <v>89</v>
      </c>
      <c r="BH30" s="2">
        <v>48397</v>
      </c>
      <c r="BI30" s="5">
        <v>-2.4875000000000001E-3</v>
      </c>
      <c r="BJ30" s="5">
        <v>1.0292028904382899</v>
      </c>
      <c r="BK30" s="5">
        <v>0.94269440641014302</v>
      </c>
      <c r="BS30" s="14"/>
      <c r="BX30" s="2">
        <f t="shared" si="9"/>
        <v>48397</v>
      </c>
      <c r="BY30" s="14">
        <f t="shared" si="70"/>
        <v>12.175000000000001</v>
      </c>
      <c r="BZ30" s="18"/>
      <c r="CA30" s="5">
        <v>-6.1135600507717042E-3</v>
      </c>
      <c r="CB30" s="13">
        <f t="shared" si="12"/>
        <v>1.0292028904382899</v>
      </c>
      <c r="CC30" s="5">
        <f t="shared" si="53"/>
        <v>-2.3614463905514693E-3</v>
      </c>
      <c r="CD30" s="149">
        <f t="shared" si="54"/>
        <v>-37.521136602202347</v>
      </c>
      <c r="CF30" s="29"/>
    </row>
    <row r="31" spans="1:84" x14ac:dyDescent="0.25">
      <c r="A31" s="38">
        <v>46664</v>
      </c>
      <c r="B31" s="22">
        <v>2.55555555555009E-5</v>
      </c>
      <c r="C31" s="22">
        <v>-5.9006550031992497E-5</v>
      </c>
      <c r="D31" s="22">
        <v>1.03191302210712</v>
      </c>
      <c r="E31" s="22">
        <v>2.5204012262429699E-3</v>
      </c>
      <c r="F31" s="32">
        <v>0.98194584727190504</v>
      </c>
      <c r="G31" s="22">
        <f t="shared" si="0"/>
        <v>7.3611111111111107</v>
      </c>
      <c r="H31" s="22">
        <f t="shared" si="13"/>
        <v>-8.0189992825577972E-3</v>
      </c>
      <c r="I31" s="22">
        <f t="shared" si="14"/>
        <v>1.0610581801984287</v>
      </c>
      <c r="J31" s="32">
        <f t="shared" si="1"/>
        <v>1.2139088555102844</v>
      </c>
      <c r="K31" s="22" t="s">
        <v>86</v>
      </c>
      <c r="L31" s="40">
        <f t="shared" si="15"/>
        <v>-23.999999999999996</v>
      </c>
      <c r="M31" s="96">
        <v>46664</v>
      </c>
      <c r="N31" s="99">
        <f t="shared" si="41"/>
        <v>46570</v>
      </c>
      <c r="O31" s="38">
        <f t="shared" si="42"/>
        <v>46664</v>
      </c>
      <c r="P31" s="88">
        <f t="shared" si="43"/>
        <v>94</v>
      </c>
      <c r="Q31" s="47">
        <v>10000000</v>
      </c>
      <c r="R31" s="107">
        <f t="shared" si="16"/>
        <v>-2.2598253203741809E-4</v>
      </c>
      <c r="S31" s="47">
        <f t="shared" si="44"/>
        <v>-590.06550031992492</v>
      </c>
      <c r="T31" s="47">
        <f t="shared" si="45"/>
        <v>255.55555555500899</v>
      </c>
      <c r="V31" s="61">
        <f t="shared" si="17"/>
        <v>-12098016.703439547</v>
      </c>
      <c r="W31" s="47">
        <f t="shared" si="18"/>
        <v>-12139088.555102844</v>
      </c>
      <c r="X31" s="107">
        <f t="shared" si="19"/>
        <v>9.6526004409305238E-3</v>
      </c>
      <c r="Y31" s="47">
        <f t="shared" si="20"/>
        <v>-30491.856134456964</v>
      </c>
      <c r="Z31" s="47">
        <f t="shared" si="21"/>
        <v>41071.851663297042</v>
      </c>
      <c r="AC31" s="122">
        <f t="shared" si="46"/>
        <v>7.3611111111111107</v>
      </c>
      <c r="AD31" s="113">
        <f>BBG_EUR!V31/100</f>
        <v>-5.4230000000000001E-4</v>
      </c>
      <c r="AE31" s="113">
        <f>BBG_EUR!J31/100</f>
        <v>9.1912999999999995E-3</v>
      </c>
      <c r="AF31" s="116">
        <f>BBG_EUR!X31</f>
        <v>1.0627219999999999</v>
      </c>
      <c r="AG31" s="116">
        <f>BBG_EUR!L31</f>
        <v>0.98337799999999997</v>
      </c>
      <c r="AH31" s="112">
        <f t="shared" si="47"/>
        <v>-8.2301247240368358E-3</v>
      </c>
      <c r="AI31" s="112">
        <f t="shared" si="48"/>
        <v>2.279655008173842E-3</v>
      </c>
      <c r="AJ31" s="112">
        <f t="shared" si="49"/>
        <v>-8.0189992825578926E-3</v>
      </c>
      <c r="AK31" s="112">
        <f t="shared" si="50"/>
        <v>2.4781153881121565E-3</v>
      </c>
      <c r="AL31" s="143">
        <f t="shared" si="22"/>
        <v>1.2139088555102844</v>
      </c>
      <c r="AM31" s="143">
        <f>BBG_EUR!AA31</f>
        <v>1.2138743570000001</v>
      </c>
      <c r="AN31" s="151">
        <f t="shared" si="23"/>
        <v>0.99997158064204927</v>
      </c>
      <c r="AO31" s="147"/>
      <c r="AR31" s="2"/>
      <c r="AS31" s="45"/>
      <c r="AT31" s="45"/>
      <c r="AU31" s="18"/>
      <c r="BF31" s="3" t="s">
        <v>33</v>
      </c>
      <c r="BG31" s="3" t="s">
        <v>90</v>
      </c>
      <c r="BH31" s="2">
        <v>49492</v>
      </c>
      <c r="BI31" s="5">
        <v>-2.3749999999999999E-3</v>
      </c>
      <c r="BJ31" s="5">
        <v>1.01972297517704</v>
      </c>
      <c r="BK31" s="5">
        <v>0.917228473853274</v>
      </c>
      <c r="BS31" s="14"/>
      <c r="BX31" s="2">
        <f t="shared" si="9"/>
        <v>49492</v>
      </c>
      <c r="BY31" s="14">
        <f t="shared" si="70"/>
        <v>15.216666666666667</v>
      </c>
      <c r="BZ31" s="18"/>
      <c r="CA31" s="5">
        <v>-4.9325517421033279E-3</v>
      </c>
      <c r="CB31" s="13">
        <f t="shared" si="12"/>
        <v>1.01972297517704</v>
      </c>
      <c r="CC31" s="5">
        <f t="shared" si="53"/>
        <v>-1.2827032986238995E-3</v>
      </c>
      <c r="CD31" s="149">
        <f t="shared" si="54"/>
        <v>-36.498484434794285</v>
      </c>
      <c r="CF31" s="29"/>
    </row>
    <row r="32" spans="1:84" x14ac:dyDescent="0.25">
      <c r="A32" s="38">
        <v>46756</v>
      </c>
      <c r="B32" s="22">
        <v>2.4999999999941702E-5</v>
      </c>
      <c r="C32" s="22">
        <v>-5.7751127773397701E-5</v>
      </c>
      <c r="D32" s="22">
        <v>1.03231276774238</v>
      </c>
      <c r="E32" s="22">
        <v>2.4667095838044602E-3</v>
      </c>
      <c r="F32" s="32">
        <v>0.98011957342614298</v>
      </c>
      <c r="G32" s="22">
        <f t="shared" si="0"/>
        <v>7.6166666666666663</v>
      </c>
      <c r="H32" s="22">
        <f t="shared" si="13"/>
        <v>-7.9348829763847255E-3</v>
      </c>
      <c r="I32" s="22">
        <f t="shared" si="14"/>
        <v>1.0625571582586317</v>
      </c>
      <c r="J32" s="32">
        <f t="shared" si="1"/>
        <v>1.2178888616774437</v>
      </c>
      <c r="K32" s="22" t="s">
        <v>86</v>
      </c>
      <c r="L32" s="40">
        <f t="shared" si="15"/>
        <v>-23.999999999999996</v>
      </c>
      <c r="M32" s="96">
        <v>46756</v>
      </c>
      <c r="N32" s="99">
        <f t="shared" si="41"/>
        <v>46664</v>
      </c>
      <c r="O32" s="38">
        <f t="shared" si="42"/>
        <v>46756</v>
      </c>
      <c r="P32" s="88">
        <f t="shared" si="43"/>
        <v>92</v>
      </c>
      <c r="Q32" s="47">
        <v>10000000</v>
      </c>
      <c r="R32" s="107">
        <f t="shared" si="16"/>
        <v>-2.2598267389590404E-4</v>
      </c>
      <c r="S32" s="47">
        <f t="shared" si="44"/>
        <v>-577.51127773397695</v>
      </c>
      <c r="T32" s="47">
        <f t="shared" si="45"/>
        <v>249.99999999941701</v>
      </c>
      <c r="V32" s="61">
        <f t="shared" si="17"/>
        <v>-12139088.555102844</v>
      </c>
      <c r="W32" s="47">
        <f t="shared" si="18"/>
        <v>-12178888.616774436</v>
      </c>
      <c r="X32" s="107">
        <f t="shared" si="19"/>
        <v>9.6523418496696264E-3</v>
      </c>
      <c r="Y32" s="47">
        <f t="shared" si="20"/>
        <v>-29943.606077523222</v>
      </c>
      <c r="Z32" s="47">
        <f t="shared" si="21"/>
        <v>39800.061671592295</v>
      </c>
      <c r="AC32" s="122">
        <f t="shared" si="46"/>
        <v>7.6166666666666663</v>
      </c>
      <c r="AD32" s="113">
        <f>BBG_EUR!V32/100</f>
        <v>-3.2910000000000003E-4</v>
      </c>
      <c r="AE32" s="113">
        <f>BBG_EUR!J32/100</f>
        <v>9.4950999999999994E-3</v>
      </c>
      <c r="AF32" s="116">
        <f>BBG_EUR!X32</f>
        <v>1.0640970000000001</v>
      </c>
      <c r="AG32" s="116">
        <f>BBG_EUR!L32</f>
        <v>0.98150599999999999</v>
      </c>
      <c r="AH32" s="112">
        <f t="shared" si="47"/>
        <v>-8.1234836478866201E-3</v>
      </c>
      <c r="AI32" s="112">
        <f t="shared" si="48"/>
        <v>2.4538353473690933E-3</v>
      </c>
      <c r="AJ32" s="112">
        <f t="shared" si="49"/>
        <v>-7.9348829763846718E-3</v>
      </c>
      <c r="AK32" s="112">
        <f t="shared" si="50"/>
        <v>2.6398942946981308E-3</v>
      </c>
      <c r="AL32" s="143">
        <f t="shared" si="22"/>
        <v>1.2178888616774437</v>
      </c>
      <c r="AM32" s="143">
        <f>BBG_EUR!AA32</f>
        <v>1.217718858</v>
      </c>
      <c r="AN32" s="151">
        <f t="shared" si="23"/>
        <v>0.99986041117314306</v>
      </c>
      <c r="AO32" s="147"/>
      <c r="AR32" s="2"/>
      <c r="AS32" s="45"/>
      <c r="AT32" s="45"/>
      <c r="AU32" s="18"/>
      <c r="BF32" s="3" t="s">
        <v>34</v>
      </c>
      <c r="BG32" s="3" t="s">
        <v>91</v>
      </c>
      <c r="BH32" s="2">
        <v>51319</v>
      </c>
      <c r="BI32" s="5">
        <v>-2.0374999999999998E-3</v>
      </c>
      <c r="BJ32" s="5">
        <v>1.00756435044536</v>
      </c>
      <c r="BK32" s="5">
        <v>0.87545313441693096</v>
      </c>
      <c r="BS32" s="14"/>
      <c r="BX32" s="2">
        <f t="shared" si="9"/>
        <v>51319</v>
      </c>
      <c r="BY32" s="14">
        <f t="shared" si="70"/>
        <v>20.291666666666668</v>
      </c>
      <c r="BZ32" s="18"/>
      <c r="CA32" s="5">
        <v>-3.7185159617401805E-3</v>
      </c>
      <c r="CB32" s="13">
        <f t="shared" si="12"/>
        <v>1.00756435044536</v>
      </c>
      <c r="CC32" s="5">
        <f t="shared" si="53"/>
        <v>-3.7130932485385237E-4</v>
      </c>
      <c r="CD32" s="149">
        <f t="shared" si="54"/>
        <v>-33.472066368863281</v>
      </c>
      <c r="CF32" s="29"/>
    </row>
    <row r="33" spans="1:84" x14ac:dyDescent="0.25">
      <c r="A33" s="38">
        <v>46846</v>
      </c>
      <c r="B33" s="22">
        <v>2.4722222222273099E-5</v>
      </c>
      <c r="C33" s="22">
        <v>-5.6495703938730298E-5</v>
      </c>
      <c r="D33" s="22">
        <v>1.0327039730963901</v>
      </c>
      <c r="E33" s="22">
        <v>2.4130208169108598E-3</v>
      </c>
      <c r="F33" s="32">
        <v>0.97833628787285398</v>
      </c>
      <c r="G33" s="22">
        <f t="shared" si="0"/>
        <v>7.8666666666666663</v>
      </c>
      <c r="H33" s="22">
        <f t="shared" si="13"/>
        <v>-7.8525952855632384E-3</v>
      </c>
      <c r="I33" s="22">
        <f t="shared" si="14"/>
        <v>1.0639810375996732</v>
      </c>
      <c r="J33" s="32">
        <f t="shared" si="1"/>
        <v>1.2217438036958645</v>
      </c>
      <c r="K33" s="22" t="s">
        <v>86</v>
      </c>
      <c r="L33" s="40">
        <f t="shared" si="15"/>
        <v>-23.999999999999996</v>
      </c>
      <c r="M33" s="96">
        <v>46846</v>
      </c>
      <c r="N33" s="99">
        <f t="shared" si="41"/>
        <v>46756</v>
      </c>
      <c r="O33" s="38">
        <f t="shared" si="42"/>
        <v>46846</v>
      </c>
      <c r="P33" s="88">
        <f t="shared" si="43"/>
        <v>90</v>
      </c>
      <c r="Q33" s="47">
        <v>10000000</v>
      </c>
      <c r="R33" s="107">
        <f t="shared" si="16"/>
        <v>-2.2598281575492122E-4</v>
      </c>
      <c r="S33" s="47">
        <f t="shared" si="44"/>
        <v>-564.95703938730298</v>
      </c>
      <c r="T33" s="47">
        <f t="shared" si="45"/>
        <v>247.22222222273101</v>
      </c>
      <c r="V33" s="61">
        <f t="shared" si="17"/>
        <v>-12178888.616774436</v>
      </c>
      <c r="W33" s="47">
        <f t="shared" si="18"/>
        <v>-12217438.036958646</v>
      </c>
      <c r="X33" s="107">
        <f t="shared" si="19"/>
        <v>9.6520832676434392E-3</v>
      </c>
      <c r="Y33" s="47">
        <f t="shared" si="20"/>
        <v>-29387.911759115421</v>
      </c>
      <c r="Z33" s="47">
        <f t="shared" si="21"/>
        <v>38549.420184209943</v>
      </c>
      <c r="AC33" s="122">
        <f t="shared" si="46"/>
        <v>7.8666666666666663</v>
      </c>
      <c r="AD33" s="113">
        <f>BBG_EUR!V33/100</f>
        <v>-1.205E-4</v>
      </c>
      <c r="AE33" s="113">
        <f>BBG_EUR!J33/100</f>
        <v>9.7902000000000006E-3</v>
      </c>
      <c r="AF33" s="116">
        <f>BBG_EUR!X33</f>
        <v>1.065385</v>
      </c>
      <c r="AG33" s="116">
        <f>BBG_EUR!L33</f>
        <v>0.97959799999999997</v>
      </c>
      <c r="AH33" s="112">
        <f t="shared" si="47"/>
        <v>-8.01889222858998E-3</v>
      </c>
      <c r="AI33" s="112">
        <f t="shared" si="48"/>
        <v>2.6237320213551296E-3</v>
      </c>
      <c r="AJ33" s="112">
        <f t="shared" si="49"/>
        <v>-7.8525952855631465E-3</v>
      </c>
      <c r="AK33" s="112">
        <f t="shared" si="50"/>
        <v>2.7880083655322796E-3</v>
      </c>
      <c r="AL33" s="143">
        <f t="shared" si="22"/>
        <v>1.2217438036958645</v>
      </c>
      <c r="AM33" s="143">
        <f>BBG_EUR!AA33</f>
        <v>1.221609379</v>
      </c>
      <c r="AN33" s="151">
        <f t="shared" si="23"/>
        <v>0.99988997308972805</v>
      </c>
      <c r="AO33" s="147"/>
      <c r="AR33" s="2"/>
      <c r="AS33" s="45"/>
      <c r="AT33" s="45"/>
      <c r="AU33" s="18"/>
      <c r="BF33" s="3" t="s">
        <v>35</v>
      </c>
      <c r="BG33" s="3" t="s">
        <v>92</v>
      </c>
      <c r="BH33" s="2">
        <v>54974</v>
      </c>
      <c r="BI33" s="5">
        <v>-1.175E-3</v>
      </c>
      <c r="BJ33" s="5">
        <v>1.0221722542796201</v>
      </c>
      <c r="BK33" s="5">
        <v>0.81150505185601496</v>
      </c>
      <c r="BS33" s="14"/>
      <c r="BX33" s="2">
        <f t="shared" si="9"/>
        <v>54974</v>
      </c>
      <c r="BY33" s="14">
        <f t="shared" si="70"/>
        <v>30.444444444444443</v>
      </c>
      <c r="BZ33" s="18"/>
      <c r="CA33" s="5">
        <v>-3.2043586069662533E-3</v>
      </c>
      <c r="CB33" s="13">
        <f t="shared" si="12"/>
        <v>1.0221722542796201</v>
      </c>
      <c r="CC33" s="5">
        <f t="shared" si="53"/>
        <v>-7.2006987542116985E-4</v>
      </c>
      <c r="CD33" s="149">
        <f t="shared" si="54"/>
        <v>-24.842887315450835</v>
      </c>
      <c r="CF33" s="29"/>
    </row>
    <row r="34" spans="1:84" x14ac:dyDescent="0.25">
      <c r="A34" s="39">
        <v>46937</v>
      </c>
      <c r="B34" s="11">
        <v>2.4999999999941702E-5</v>
      </c>
      <c r="C34" s="11">
        <v>-5.7123416053017601E-5</v>
      </c>
      <c r="D34" s="11">
        <v>1.033099675908</v>
      </c>
      <c r="E34" s="11">
        <v>2.4398648409242798E-3</v>
      </c>
      <c r="F34" s="33">
        <v>0.97653648690217199</v>
      </c>
      <c r="G34" s="11">
        <f t="shared" si="0"/>
        <v>8.1194444444444436</v>
      </c>
      <c r="H34" s="11">
        <f t="shared" si="13"/>
        <v>-7.769393287065959E-3</v>
      </c>
      <c r="I34" s="11">
        <f t="shared" si="14"/>
        <v>1.0653778157670915</v>
      </c>
      <c r="J34" s="33">
        <f t="shared" si="1"/>
        <v>1.2256023756259797</v>
      </c>
      <c r="K34" s="11" t="s">
        <v>86</v>
      </c>
      <c r="L34" s="41">
        <f t="shared" si="15"/>
        <v>-23.999999999999996</v>
      </c>
      <c r="M34" s="95">
        <v>46937</v>
      </c>
      <c r="N34" s="9">
        <f t="shared" si="41"/>
        <v>46846</v>
      </c>
      <c r="O34" s="39">
        <f t="shared" si="42"/>
        <v>46937</v>
      </c>
      <c r="P34" s="87">
        <f t="shared" si="43"/>
        <v>91</v>
      </c>
      <c r="Q34" s="46">
        <v>10000000</v>
      </c>
      <c r="R34" s="106">
        <f t="shared" si="16"/>
        <v>-2.2598274482512457E-4</v>
      </c>
      <c r="S34" s="46">
        <f t="shared" si="44"/>
        <v>-571.23416053017604</v>
      </c>
      <c r="T34" s="46">
        <f t="shared" si="45"/>
        <v>249.99999999941701</v>
      </c>
      <c r="U34" s="50">
        <f>Q34</f>
        <v>10000000</v>
      </c>
      <c r="V34" s="62">
        <f t="shared" si="17"/>
        <v>-12217438.036958646</v>
      </c>
      <c r="W34" s="46">
        <f t="shared" si="18"/>
        <v>-12256023.756259797</v>
      </c>
      <c r="X34" s="106">
        <f t="shared" si="19"/>
        <v>9.652212557502645E-3</v>
      </c>
      <c r="Y34" s="46">
        <f t="shared" si="20"/>
        <v>-29808.897512546351</v>
      </c>
      <c r="Z34" s="46">
        <f t="shared" si="21"/>
        <v>38585.719301151112</v>
      </c>
      <c r="AA34" s="50">
        <f>W34</f>
        <v>-12256023.756259797</v>
      </c>
      <c r="AC34" s="122">
        <f t="shared" si="46"/>
        <v>8.1194444444444436</v>
      </c>
      <c r="AD34" s="113">
        <f>BBG_EUR!V34/100</f>
        <v>8.7100000000000003E-5</v>
      </c>
      <c r="AE34" s="113">
        <f>BBG_EUR!J34/100</f>
        <v>1.00818E-2</v>
      </c>
      <c r="AF34" s="116">
        <f>BBG_EUR!X34</f>
        <v>1.06663</v>
      </c>
      <c r="AG34" s="116">
        <f>BBG_EUR!L34</f>
        <v>0.97759099999999999</v>
      </c>
      <c r="AH34" s="112">
        <f t="shared" si="47"/>
        <v>-7.9129304553646751E-3</v>
      </c>
      <c r="AI34" s="112">
        <f t="shared" si="48"/>
        <v>2.79521061180521E-3</v>
      </c>
      <c r="AJ34" s="112">
        <f t="shared" si="49"/>
        <v>-7.7693932870658289E-3</v>
      </c>
      <c r="AK34" s="112">
        <f t="shared" si="50"/>
        <v>2.9285148395985505E-3</v>
      </c>
      <c r="AL34" s="143">
        <f t="shared" si="22"/>
        <v>1.2256023756259797</v>
      </c>
      <c r="AM34" s="143">
        <f>BBG_EUR!AA34</f>
        <v>1.225545517</v>
      </c>
      <c r="AN34" s="151">
        <f t="shared" si="23"/>
        <v>0.99995360760789109</v>
      </c>
      <c r="AO34" s="147"/>
      <c r="AR34" s="2"/>
      <c r="AS34" s="45"/>
      <c r="AT34" s="45"/>
      <c r="AU34" s="18"/>
      <c r="BF34" s="3" t="s">
        <v>36</v>
      </c>
      <c r="BG34" s="3" t="s">
        <v>93</v>
      </c>
      <c r="BH34" s="2">
        <v>58624</v>
      </c>
      <c r="BI34" s="5">
        <v>-6.2500000000000001E-4</v>
      </c>
      <c r="BJ34" s="5">
        <v>1.0506563723938001</v>
      </c>
      <c r="BK34" s="5">
        <v>0.76856853269770697</v>
      </c>
      <c r="BS34" s="14"/>
      <c r="BX34" s="2">
        <f t="shared" si="9"/>
        <v>58624</v>
      </c>
      <c r="BY34" s="14">
        <f t="shared" si="70"/>
        <v>40.583333333333336</v>
      </c>
      <c r="BZ34" s="18"/>
      <c r="CA34" s="5">
        <v>-3.1109102993995999E-3</v>
      </c>
      <c r="CB34" s="13">
        <f t="shared" si="12"/>
        <v>1.0506563723938001</v>
      </c>
      <c r="CC34" s="5">
        <f t="shared" si="53"/>
        <v>-1.2168791762277031E-3</v>
      </c>
      <c r="CD34" s="149">
        <f t="shared" si="54"/>
        <v>-18.940311231718969</v>
      </c>
      <c r="CF34" s="29"/>
    </row>
    <row r="35" spans="1:84" x14ac:dyDescent="0.25">
      <c r="A35" s="38">
        <v>47028</v>
      </c>
      <c r="B35" s="22">
        <v>2.4722222222273099E-5</v>
      </c>
      <c r="C35" s="22">
        <v>1.8473703068377901E-4</v>
      </c>
      <c r="D35" s="22">
        <v>1.0332079955676401</v>
      </c>
      <c r="E35" s="22">
        <v>2.6472264500389999E-3</v>
      </c>
      <c r="F35" s="32">
        <v>0.97450666821750398</v>
      </c>
      <c r="G35" s="22">
        <f t="shared" si="0"/>
        <v>8.3722222222222218</v>
      </c>
      <c r="H35" s="22">
        <f t="shared" ref="H35:H66" si="71">RE_MATH_LinearInterpolation($BY$3:$BY$35,$CA$3:$CA$35,$G35)</f>
        <v>-7.6701847838146807E-3</v>
      </c>
      <c r="I35" s="22">
        <f t="shared" ref="I35:I66" si="72">(1+H35)^-$G35</f>
        <v>1.0665872169832256</v>
      </c>
      <c r="J35" s="32">
        <f t="shared" si="1"/>
        <v>1.2295493901038383</v>
      </c>
      <c r="K35" s="22" t="s">
        <v>87</v>
      </c>
      <c r="L35" s="40">
        <f t="shared" ref="L35:L66" si="73">VLOOKUP($K35,$BG$21:$BI$35,3,FALSE)*10000</f>
        <v>-24.375</v>
      </c>
      <c r="M35" s="96">
        <v>47028</v>
      </c>
      <c r="N35" s="99">
        <f t="shared" si="41"/>
        <v>46937</v>
      </c>
      <c r="O35" s="38">
        <f t="shared" si="42"/>
        <v>47028</v>
      </c>
      <c r="P35" s="88">
        <f t="shared" si="43"/>
        <v>91</v>
      </c>
      <c r="Q35" s="47">
        <v>10000000</v>
      </c>
      <c r="R35" s="107">
        <f t="shared" ref="R35:R66" si="74">C35*360/P35</f>
        <v>7.3082781369407076E-4</v>
      </c>
      <c r="S35" s="47">
        <f t="shared" si="44"/>
        <v>1847.3703068377902</v>
      </c>
      <c r="T35" s="47">
        <f t="shared" si="45"/>
        <v>247.22222222273101</v>
      </c>
      <c r="V35" s="61">
        <f t="shared" ref="V35:V66" si="75">W34</f>
        <v>-12256023.756259797</v>
      </c>
      <c r="W35" s="47">
        <f t="shared" si="18"/>
        <v>-12295493.901038384</v>
      </c>
      <c r="X35" s="107">
        <f t="shared" ref="X35:X66" si="76">E35*360/P35</f>
        <v>1.0472544197956483E-2</v>
      </c>
      <c r="Y35" s="47">
        <f t="shared" ref="Y35:Y66" si="77">V35*E35</f>
        <v>-32444.470259877271</v>
      </c>
      <c r="Z35" s="47">
        <f t="shared" ref="Z35:Z66" si="78">V35-W35</f>
        <v>39470.144778586924</v>
      </c>
      <c r="AC35" s="122">
        <f t="shared" si="46"/>
        <v>8.3722222222222218</v>
      </c>
      <c r="AD35" s="113">
        <f>BBG_EUR!V35/100</f>
        <v>4.0860000000000001E-4</v>
      </c>
      <c r="AE35" s="113">
        <f>BBG_EUR!J35/100</f>
        <v>1.0072600000000001E-2</v>
      </c>
      <c r="AF35" s="116">
        <f>BBG_EUR!X35</f>
        <v>1.068058</v>
      </c>
      <c r="AG35" s="116">
        <f>BBG_EUR!L35</f>
        <v>0.97582800000000003</v>
      </c>
      <c r="AH35" s="112">
        <f t="shared" si="47"/>
        <v>-7.8335022068766191E-3</v>
      </c>
      <c r="AI35" s="112">
        <f t="shared" si="48"/>
        <v>2.9269086135486067E-3</v>
      </c>
      <c r="AJ35" s="112">
        <f t="shared" si="49"/>
        <v>-7.6701847838146486E-3</v>
      </c>
      <c r="AK35" s="112">
        <f t="shared" si="50"/>
        <v>3.0892377518725311E-3</v>
      </c>
      <c r="AL35" s="143">
        <f t="shared" si="22"/>
        <v>1.2295493901038383</v>
      </c>
      <c r="AM35" s="143">
        <f>BBG_EUR!AA35</f>
        <v>1.229407884</v>
      </c>
      <c r="AN35" s="151">
        <f t="shared" si="23"/>
        <v>0.99988491222477338</v>
      </c>
      <c r="AO35" s="147"/>
      <c r="AR35" s="2"/>
      <c r="AS35" s="45"/>
      <c r="AT35" s="45"/>
      <c r="AU35" s="18"/>
      <c r="BF35" s="3" t="s">
        <v>37</v>
      </c>
      <c r="BG35" s="3" t="s">
        <v>94</v>
      </c>
      <c r="BH35" s="2">
        <v>62276</v>
      </c>
      <c r="BI35" s="5">
        <v>-1.875E-4</v>
      </c>
      <c r="BJ35" s="5">
        <v>1.08061145874858</v>
      </c>
      <c r="BK35" s="5">
        <v>0.71962652268976302</v>
      </c>
      <c r="BS35" s="14"/>
      <c r="BX35" s="2">
        <f t="shared" si="9"/>
        <v>62276</v>
      </c>
      <c r="BY35" s="14">
        <f t="shared" si="70"/>
        <v>50.727777777777774</v>
      </c>
      <c r="BZ35" s="18"/>
      <c r="CA35" s="5">
        <v>-2.3620343269082104E-3</v>
      </c>
      <c r="CB35" s="13">
        <f t="shared" si="12"/>
        <v>1.08061145874858</v>
      </c>
      <c r="CC35" s="5">
        <f t="shared" si="53"/>
        <v>-1.5271284859610379E-3</v>
      </c>
      <c r="CD35" s="149">
        <f t="shared" si="54"/>
        <v>-8.3490584094717253</v>
      </c>
      <c r="CF35" s="29"/>
    </row>
    <row r="36" spans="1:84" x14ac:dyDescent="0.25">
      <c r="A36" s="38">
        <v>47120</v>
      </c>
      <c r="B36" s="22">
        <v>2.4999999999941702E-5</v>
      </c>
      <c r="C36" s="22">
        <v>1.8676729750821599E-4</v>
      </c>
      <c r="D36" s="22">
        <v>1.03331751709833</v>
      </c>
      <c r="E36" s="22">
        <v>2.6763557442257501E-3</v>
      </c>
      <c r="F36" s="32">
        <v>0.97245883276189204</v>
      </c>
      <c r="G36" s="22">
        <f t="shared" si="0"/>
        <v>8.6277777777777782</v>
      </c>
      <c r="H36" s="22">
        <f t="shared" si="71"/>
        <v>-7.5698860772309704E-3</v>
      </c>
      <c r="I36" s="22">
        <f t="shared" si="72"/>
        <v>1.0677565328450334</v>
      </c>
      <c r="J36" s="32">
        <f t="shared" si="1"/>
        <v>1.2334894276103656</v>
      </c>
      <c r="K36" s="22" t="s">
        <v>87</v>
      </c>
      <c r="L36" s="40">
        <f t="shared" si="73"/>
        <v>-24.375</v>
      </c>
      <c r="M36" s="96">
        <v>47120</v>
      </c>
      <c r="N36" s="99">
        <f t="shared" si="41"/>
        <v>47028</v>
      </c>
      <c r="O36" s="38">
        <f t="shared" si="42"/>
        <v>47120</v>
      </c>
      <c r="P36" s="88">
        <f t="shared" si="43"/>
        <v>92</v>
      </c>
      <c r="Q36" s="47">
        <v>10000000</v>
      </c>
      <c r="R36" s="107">
        <f t="shared" si="74"/>
        <v>7.3082855546693221E-4</v>
      </c>
      <c r="S36" s="47">
        <f t="shared" si="44"/>
        <v>1867.6729750821598</v>
      </c>
      <c r="T36" s="47">
        <f t="shared" si="45"/>
        <v>249.99999999941701</v>
      </c>
      <c r="V36" s="61">
        <f t="shared" si="75"/>
        <v>-12295493.901038384</v>
      </c>
      <c r="W36" s="47">
        <f t="shared" si="18"/>
        <v>-12334894.276103657</v>
      </c>
      <c r="X36" s="107">
        <f t="shared" si="76"/>
        <v>1.0472696390448588E-2</v>
      </c>
      <c r="Y36" s="47">
        <f t="shared" si="77"/>
        <v>-32907.115730136757</v>
      </c>
      <c r="Z36" s="47">
        <f t="shared" si="78"/>
        <v>39400.375065272674</v>
      </c>
      <c r="AC36" s="122">
        <f t="shared" si="46"/>
        <v>8.6277777777777782</v>
      </c>
      <c r="AD36" s="113">
        <f>BBG_EUR!V36/100</f>
        <v>6.2520000000000002E-4</v>
      </c>
      <c r="AE36" s="113">
        <f>BBG_EUR!J36/100</f>
        <v>1.0346200000000002E-2</v>
      </c>
      <c r="AF36" s="116">
        <f>BBG_EUR!X36</f>
        <v>1.069469</v>
      </c>
      <c r="AG36" s="116">
        <f>BBG_EUR!L36</f>
        <v>0.973997</v>
      </c>
      <c r="AH36" s="112">
        <f t="shared" si="47"/>
        <v>-7.7542019072482926E-3</v>
      </c>
      <c r="AI36" s="112">
        <f t="shared" si="48"/>
        <v>3.0584150073189598E-3</v>
      </c>
      <c r="AJ36" s="112">
        <f t="shared" si="49"/>
        <v>-7.5698860772310805E-3</v>
      </c>
      <c r="AK36" s="112">
        <f t="shared" si="50"/>
        <v>3.2421771911217423E-3</v>
      </c>
      <c r="AL36" s="143">
        <f t="shared" si="22"/>
        <v>1.2334894276103656</v>
      </c>
      <c r="AM36" s="143">
        <f>BBG_EUR!AA36</f>
        <v>1.2333010900000001</v>
      </c>
      <c r="AN36" s="151">
        <f t="shared" si="23"/>
        <v>0.99984731315392761</v>
      </c>
      <c r="AO36" s="147"/>
      <c r="AR36" s="2"/>
      <c r="AS36" s="45"/>
      <c r="AT36" s="45"/>
      <c r="AU36" s="18"/>
      <c r="BF36" s="1"/>
      <c r="BG36" s="1"/>
      <c r="BH36" s="1"/>
      <c r="BI36" s="1"/>
      <c r="BJ36" s="1"/>
      <c r="BK36" s="1"/>
      <c r="BS36" s="14"/>
      <c r="BZ36" s="1"/>
      <c r="CF36" s="29"/>
    </row>
    <row r="37" spans="1:84" x14ac:dyDescent="0.25">
      <c r="A37" s="38">
        <v>47211</v>
      </c>
      <c r="B37" s="22">
        <v>2.5277777777832301E-5</v>
      </c>
      <c r="C37" s="22">
        <v>1.8473703068377901E-4</v>
      </c>
      <c r="D37" s="22">
        <v>1.03342585959845</v>
      </c>
      <c r="E37" s="22">
        <v>2.6472264500389999E-3</v>
      </c>
      <c r="F37" s="32">
        <v>0.97043748984712597</v>
      </c>
      <c r="G37" s="22">
        <f t="shared" si="0"/>
        <v>8.8805555555555564</v>
      </c>
      <c r="H37" s="22">
        <f t="shared" si="71"/>
        <v>-7.470677573979693E-3</v>
      </c>
      <c r="I37" s="22">
        <f t="shared" si="72"/>
        <v>1.068860176282971</v>
      </c>
      <c r="J37" s="32">
        <f t="shared" si="1"/>
        <v>1.2373362886314772</v>
      </c>
      <c r="K37" s="22" t="s">
        <v>87</v>
      </c>
      <c r="L37" s="40">
        <f t="shared" si="73"/>
        <v>-24.375</v>
      </c>
      <c r="M37" s="96">
        <v>47211</v>
      </c>
      <c r="N37" s="99">
        <f t="shared" si="41"/>
        <v>47120</v>
      </c>
      <c r="O37" s="38">
        <f t="shared" si="42"/>
        <v>47211</v>
      </c>
      <c r="P37" s="88">
        <f t="shared" si="43"/>
        <v>91</v>
      </c>
      <c r="Q37" s="47">
        <v>10000000</v>
      </c>
      <c r="R37" s="107">
        <f t="shared" si="74"/>
        <v>7.3082781369407076E-4</v>
      </c>
      <c r="S37" s="47">
        <f t="shared" si="44"/>
        <v>1847.3703068377902</v>
      </c>
      <c r="T37" s="47">
        <f t="shared" si="45"/>
        <v>252.77777777832301</v>
      </c>
      <c r="V37" s="61">
        <f t="shared" si="75"/>
        <v>-12334894.276103657</v>
      </c>
      <c r="W37" s="47">
        <f t="shared" si="18"/>
        <v>-12373362.886314772</v>
      </c>
      <c r="X37" s="107">
        <f t="shared" si="76"/>
        <v>1.0472544197956483E-2</v>
      </c>
      <c r="Y37" s="47">
        <f t="shared" si="77"/>
        <v>-32653.258386136262</v>
      </c>
      <c r="Z37" s="47">
        <f t="shared" si="78"/>
        <v>38468.61021111533</v>
      </c>
      <c r="AC37" s="122">
        <f t="shared" si="46"/>
        <v>8.8805555555555564</v>
      </c>
      <c r="AD37" s="113">
        <f>BBG_EUR!V37/100</f>
        <v>8.4169999999999991E-4</v>
      </c>
      <c r="AE37" s="113">
        <f>BBG_EUR!J37/100</f>
        <v>1.0617300000000001E-2</v>
      </c>
      <c r="AF37" s="116">
        <f>BBG_EUR!X37</f>
        <v>1.070818</v>
      </c>
      <c r="AG37" s="116">
        <f>BBG_EUR!L37</f>
        <v>0.97212900000000002</v>
      </c>
      <c r="AH37" s="112">
        <f t="shared" si="47"/>
        <v>-7.6751871784356274E-3</v>
      </c>
      <c r="AI37" s="112">
        <f t="shared" si="48"/>
        <v>3.1880664857719676E-3</v>
      </c>
      <c r="AJ37" s="112">
        <f t="shared" si="49"/>
        <v>-7.4706775739797893E-3</v>
      </c>
      <c r="AK37" s="112">
        <f t="shared" si="50"/>
        <v>3.3848159814413581E-3</v>
      </c>
      <c r="AL37" s="143">
        <f t="shared" si="22"/>
        <v>1.2373362886314772</v>
      </c>
      <c r="AM37" s="143">
        <f>BBG_EUR!AA37</f>
        <v>1.237186506</v>
      </c>
      <c r="AN37" s="151">
        <f t="shared" si="23"/>
        <v>0.99987894751584239</v>
      </c>
      <c r="AO37" s="147"/>
      <c r="AR37" s="2"/>
      <c r="AS37" s="45"/>
      <c r="AT37" s="45"/>
      <c r="AU37" s="18"/>
      <c r="BF37" s="1"/>
      <c r="BG37" s="1"/>
      <c r="BH37" s="1"/>
      <c r="BI37" s="1"/>
      <c r="BJ37" s="1"/>
      <c r="BK37" s="1"/>
    </row>
    <row r="38" spans="1:84" x14ac:dyDescent="0.25">
      <c r="A38" s="39">
        <v>47301</v>
      </c>
      <c r="B38" s="11">
        <v>2.4722222222273099E-5</v>
      </c>
      <c r="C38" s="11">
        <v>1.82706767980489E-4</v>
      </c>
      <c r="D38" s="11">
        <v>1.0335330226946899</v>
      </c>
      <c r="E38" s="11">
        <v>2.6180980021035501E-3</v>
      </c>
      <c r="F38" s="33">
        <v>0.96844249206339905</v>
      </c>
      <c r="G38" s="11">
        <f t="shared" si="0"/>
        <v>9.1305555555555564</v>
      </c>
      <c r="H38" s="11">
        <f t="shared" si="71"/>
        <v>-7.3725592740608459E-3</v>
      </c>
      <c r="I38" s="11">
        <f t="shared" si="72"/>
        <v>1.0698997285482341</v>
      </c>
      <c r="J38" s="33">
        <f t="shared" si="1"/>
        <v>1.2410910972010532</v>
      </c>
      <c r="K38" s="11" t="s">
        <v>87</v>
      </c>
      <c r="L38" s="41">
        <f t="shared" si="73"/>
        <v>-24.375</v>
      </c>
      <c r="M38" s="95">
        <v>47301</v>
      </c>
      <c r="N38" s="9">
        <f t="shared" si="41"/>
        <v>47211</v>
      </c>
      <c r="O38" s="39">
        <f t="shared" si="42"/>
        <v>47301</v>
      </c>
      <c r="P38" s="87">
        <f t="shared" si="43"/>
        <v>90</v>
      </c>
      <c r="Q38" s="46">
        <v>10000000</v>
      </c>
      <c r="R38" s="106">
        <f t="shared" si="74"/>
        <v>7.30827071921956E-4</v>
      </c>
      <c r="S38" s="46">
        <f t="shared" si="44"/>
        <v>1827.0676798048901</v>
      </c>
      <c r="T38" s="46">
        <f t="shared" si="45"/>
        <v>247.22222222273101</v>
      </c>
      <c r="U38" s="50">
        <f>Q38</f>
        <v>10000000</v>
      </c>
      <c r="V38" s="62">
        <f t="shared" si="75"/>
        <v>-12373362.886314772</v>
      </c>
      <c r="W38" s="46">
        <f t="shared" si="18"/>
        <v>-12410910.972010532</v>
      </c>
      <c r="X38" s="106">
        <f t="shared" si="76"/>
        <v>1.04723920084142E-2</v>
      </c>
      <c r="Y38" s="46">
        <f t="shared" si="77"/>
        <v>-32394.67665196292</v>
      </c>
      <c r="Z38" s="46">
        <f t="shared" si="78"/>
        <v>37548.085695760325</v>
      </c>
      <c r="AA38" s="50">
        <f>W38</f>
        <v>-12410910.972010532</v>
      </c>
      <c r="AC38" s="122">
        <f t="shared" si="46"/>
        <v>9.1305555555555564</v>
      </c>
      <c r="AD38" s="113">
        <f>BBG_EUR!V38/100</f>
        <v>1.0556999999999999E-3</v>
      </c>
      <c r="AE38" s="113">
        <f>BBG_EUR!J38/100</f>
        <v>1.08833E-2</v>
      </c>
      <c r="AF38" s="116">
        <f>BBG_EUR!X38</f>
        <v>1.072109</v>
      </c>
      <c r="AG38" s="116">
        <f>BBG_EUR!L38</f>
        <v>0.970225</v>
      </c>
      <c r="AH38" s="112">
        <f t="shared" si="47"/>
        <v>-7.5967914906173162E-3</v>
      </c>
      <c r="AI38" s="112">
        <f t="shared" si="48"/>
        <v>3.3160485514553972E-3</v>
      </c>
      <c r="AJ38" s="112">
        <f t="shared" si="49"/>
        <v>-7.3725592740607748E-3</v>
      </c>
      <c r="AK38" s="112">
        <f t="shared" si="50"/>
        <v>3.5181374944326382E-3</v>
      </c>
      <c r="AL38" s="143">
        <f t="shared" si="22"/>
        <v>1.2410910972010532</v>
      </c>
      <c r="AM38" s="143">
        <f>BBG_EUR!AA38</f>
        <v>1.241193668</v>
      </c>
      <c r="AN38" s="151">
        <f t="shared" si="23"/>
        <v>1.0000826456649139</v>
      </c>
      <c r="AO38" s="147"/>
      <c r="AR38" s="2"/>
      <c r="AS38" s="45"/>
      <c r="AT38" s="45"/>
      <c r="AU38" s="18"/>
    </row>
    <row r="39" spans="1:84" x14ac:dyDescent="0.25">
      <c r="A39" s="38">
        <v>47393</v>
      </c>
      <c r="B39" s="22">
        <v>2.4999999999941702E-5</v>
      </c>
      <c r="C39" s="22">
        <v>4.6635849947840302E-4</v>
      </c>
      <c r="D39" s="22">
        <v>1.0333546654689201</v>
      </c>
      <c r="E39" s="22">
        <v>2.7878218614632E-3</v>
      </c>
      <c r="F39" s="32">
        <v>0.96631708968508101</v>
      </c>
      <c r="G39" s="22">
        <f t="shared" si="0"/>
        <v>9.3861111111111111</v>
      </c>
      <c r="H39" s="22">
        <f t="shared" si="71"/>
        <v>-7.2654090432302757E-3</v>
      </c>
      <c r="I39" s="22">
        <f t="shared" si="72"/>
        <v>1.0708394476926941</v>
      </c>
      <c r="J39" s="32">
        <f t="shared" si="1"/>
        <v>1.2449133399162167</v>
      </c>
      <c r="K39" s="22" t="s">
        <v>88</v>
      </c>
      <c r="L39" s="40">
        <f t="shared" si="73"/>
        <v>-24.625</v>
      </c>
      <c r="M39" s="96">
        <v>47393</v>
      </c>
      <c r="N39" s="99">
        <f t="shared" si="41"/>
        <v>47301</v>
      </c>
      <c r="O39" s="38">
        <f t="shared" si="42"/>
        <v>47393</v>
      </c>
      <c r="P39" s="88">
        <f t="shared" si="43"/>
        <v>92</v>
      </c>
      <c r="Q39" s="47">
        <v>10000000</v>
      </c>
      <c r="R39" s="107">
        <f t="shared" si="74"/>
        <v>1.8248810849154902E-3</v>
      </c>
      <c r="S39" s="47">
        <f t="shared" si="44"/>
        <v>4663.5849947840306</v>
      </c>
      <c r="T39" s="47">
        <f t="shared" si="45"/>
        <v>249.99999999941701</v>
      </c>
      <c r="V39" s="61">
        <f t="shared" si="75"/>
        <v>-12410910.972010532</v>
      </c>
      <c r="W39" s="47">
        <f t="shared" si="18"/>
        <v>-12449133.399162166</v>
      </c>
      <c r="X39" s="107">
        <f t="shared" si="76"/>
        <v>1.0908868153551651E-2</v>
      </c>
      <c r="Y39" s="47">
        <f t="shared" si="77"/>
        <v>-34599.408928444456</v>
      </c>
      <c r="Z39" s="47">
        <f t="shared" si="78"/>
        <v>38222.427151633427</v>
      </c>
      <c r="AC39" s="122">
        <f t="shared" si="46"/>
        <v>9.3861111111111111</v>
      </c>
      <c r="AD39" s="113">
        <f>BBG_EUR!V39/100</f>
        <v>1.4857000000000002E-3</v>
      </c>
      <c r="AE39" s="113">
        <f>BBG_EUR!J39/100</f>
        <v>1.0562800000000001E-2</v>
      </c>
      <c r="AF39" s="116">
        <f>BBG_EUR!X39</f>
        <v>1.073121</v>
      </c>
      <c r="AG39" s="116">
        <f>BBG_EUR!L39</f>
        <v>0.96823499999999996</v>
      </c>
      <c r="AH39" s="112">
        <f t="shared" si="47"/>
        <v>-7.4904917067433185E-3</v>
      </c>
      <c r="AI39" s="112">
        <f t="shared" si="48"/>
        <v>3.4450929569105337E-3</v>
      </c>
      <c r="AJ39" s="112">
        <f t="shared" si="49"/>
        <v>-7.2654090432302532E-3</v>
      </c>
      <c r="AK39" s="112">
        <f t="shared" si="50"/>
        <v>3.6570909745987645E-3</v>
      </c>
      <c r="AL39" s="143">
        <f t="shared" si="22"/>
        <v>1.2449133399162167</v>
      </c>
      <c r="AM39" s="143">
        <f>BBG_EUR!AA39</f>
        <v>1.244932315</v>
      </c>
      <c r="AN39" s="151">
        <f t="shared" si="23"/>
        <v>1.0000152420920998</v>
      </c>
      <c r="AO39" s="147"/>
      <c r="AR39" s="2"/>
      <c r="AS39" s="45"/>
      <c r="AT39" s="45"/>
      <c r="AU39" s="18"/>
    </row>
    <row r="40" spans="1:84" x14ac:dyDescent="0.25">
      <c r="A40" s="38">
        <v>47485</v>
      </c>
      <c r="B40" s="22">
        <v>2.4999999999941702E-5</v>
      </c>
      <c r="C40" s="22">
        <v>4.6635849947862501E-4</v>
      </c>
      <c r="D40" s="22">
        <v>1.0331763390223301</v>
      </c>
      <c r="E40" s="22">
        <v>2.7878218614629802E-3</v>
      </c>
      <c r="F40" s="32">
        <v>0.96419635184317798</v>
      </c>
      <c r="G40" s="22">
        <f t="shared" si="0"/>
        <v>9.6416666666666675</v>
      </c>
      <c r="H40" s="22">
        <f t="shared" si="71"/>
        <v>-7.1582588123997063E-3</v>
      </c>
      <c r="I40" s="22">
        <f t="shared" si="72"/>
        <v>1.0717209847051363</v>
      </c>
      <c r="J40" s="32">
        <f t="shared" si="1"/>
        <v>1.2486786036020705</v>
      </c>
      <c r="K40" s="22" t="s">
        <v>88</v>
      </c>
      <c r="L40" s="40">
        <f t="shared" si="73"/>
        <v>-24.625</v>
      </c>
      <c r="M40" s="96">
        <v>47485</v>
      </c>
      <c r="N40" s="99">
        <f t="shared" si="41"/>
        <v>47393</v>
      </c>
      <c r="O40" s="38">
        <f t="shared" si="42"/>
        <v>47485</v>
      </c>
      <c r="P40" s="88">
        <f t="shared" si="43"/>
        <v>92</v>
      </c>
      <c r="Q40" s="47">
        <v>10000000</v>
      </c>
      <c r="R40" s="107">
        <f t="shared" si="74"/>
        <v>1.8248810849163589E-3</v>
      </c>
      <c r="S40" s="47">
        <f t="shared" si="44"/>
        <v>4663.5849947862498</v>
      </c>
      <c r="T40" s="47">
        <f t="shared" si="45"/>
        <v>249.99999999941701</v>
      </c>
      <c r="V40" s="61">
        <f t="shared" si="75"/>
        <v>-12449133.399162166</v>
      </c>
      <c r="W40" s="47">
        <f t="shared" si="18"/>
        <v>-12486786.036020705</v>
      </c>
      <c r="X40" s="107">
        <f t="shared" si="76"/>
        <v>1.0908868153550792E-2</v>
      </c>
      <c r="Y40" s="47">
        <f t="shared" si="77"/>
        <v>-34705.96624645323</v>
      </c>
      <c r="Z40" s="47">
        <f t="shared" si="78"/>
        <v>37652.636858539656</v>
      </c>
      <c r="AC40" s="122">
        <f t="shared" si="46"/>
        <v>9.6416666666666675</v>
      </c>
      <c r="AD40" s="113">
        <f>BBG_EUR!V40/100</f>
        <v>1.7144E-3</v>
      </c>
      <c r="AE40" s="113">
        <f>BBG_EUR!J40/100</f>
        <v>1.0800199999999999E-2</v>
      </c>
      <c r="AF40" s="116">
        <f>BBG_EUR!X40</f>
        <v>1.0740700000000001</v>
      </c>
      <c r="AG40" s="116">
        <f>BBG_EUR!L40</f>
        <v>0.96618899999999996</v>
      </c>
      <c r="AH40" s="112">
        <f t="shared" si="47"/>
        <v>-7.3836864726436469E-3</v>
      </c>
      <c r="AI40" s="112">
        <f t="shared" si="48"/>
        <v>3.5737842830387834E-3</v>
      </c>
      <c r="AJ40" s="112">
        <f t="shared" si="49"/>
        <v>-7.1582588123996205E-3</v>
      </c>
      <c r="AK40" s="112">
        <f t="shared" si="50"/>
        <v>3.7886961765585259E-3</v>
      </c>
      <c r="AL40" s="143">
        <f t="shared" si="22"/>
        <v>1.2486786036020705</v>
      </c>
      <c r="AM40" s="143">
        <f>BBG_EUR!AA40</f>
        <v>1.2486316150000001</v>
      </c>
      <c r="AN40" s="151">
        <f t="shared" si="23"/>
        <v>0.99996236933832705</v>
      </c>
      <c r="AO40" s="147"/>
      <c r="AR40" s="2"/>
      <c r="AS40" s="45"/>
      <c r="AT40" s="45"/>
      <c r="AU40" s="18"/>
    </row>
    <row r="41" spans="1:84" x14ac:dyDescent="0.25">
      <c r="A41" s="38">
        <v>47575</v>
      </c>
      <c r="B41" s="22">
        <v>2.4999999999941702E-5</v>
      </c>
      <c r="C41" s="22">
        <v>4.56217958963556E-4</v>
      </c>
      <c r="D41" s="22">
        <v>1.0330019190152999</v>
      </c>
      <c r="E41" s="22">
        <v>2.7271344754902201E-3</v>
      </c>
      <c r="F41" s="32">
        <v>0.96212622069799802</v>
      </c>
      <c r="G41" s="22">
        <f t="shared" si="0"/>
        <v>9.8916666666666675</v>
      </c>
      <c r="H41" s="22">
        <f t="shared" si="71"/>
        <v>-7.0534379344132795E-3</v>
      </c>
      <c r="I41" s="22">
        <f t="shared" si="72"/>
        <v>1.0725269290665547</v>
      </c>
      <c r="J41" s="32">
        <f t="shared" si="1"/>
        <v>1.2523063255040072</v>
      </c>
      <c r="K41" s="22" t="s">
        <v>88</v>
      </c>
      <c r="L41" s="40">
        <f t="shared" si="73"/>
        <v>-24.625</v>
      </c>
      <c r="M41" s="96">
        <v>47575</v>
      </c>
      <c r="N41" s="99">
        <f t="shared" si="41"/>
        <v>47485</v>
      </c>
      <c r="O41" s="38">
        <f t="shared" si="42"/>
        <v>47575</v>
      </c>
      <c r="P41" s="88">
        <f t="shared" si="43"/>
        <v>90</v>
      </c>
      <c r="Q41" s="47">
        <v>10000000</v>
      </c>
      <c r="R41" s="107">
        <f t="shared" si="74"/>
        <v>1.824871835854224E-3</v>
      </c>
      <c r="S41" s="47">
        <f t="shared" si="44"/>
        <v>4562.1795896355598</v>
      </c>
      <c r="T41" s="47">
        <f t="shared" si="45"/>
        <v>249.99999999941701</v>
      </c>
      <c r="V41" s="61">
        <f t="shared" si="75"/>
        <v>-12486786.036020705</v>
      </c>
      <c r="W41" s="47">
        <f t="shared" si="18"/>
        <v>-12523063.255040072</v>
      </c>
      <c r="X41" s="107">
        <f t="shared" si="76"/>
        <v>1.090853790196088E-2</v>
      </c>
      <c r="Y41" s="47">
        <f t="shared" si="77"/>
        <v>-34053.144686901935</v>
      </c>
      <c r="Z41" s="47">
        <f t="shared" si="78"/>
        <v>36277.219019366428</v>
      </c>
      <c r="AC41" s="122">
        <f t="shared" si="46"/>
        <v>9.8916666666666675</v>
      </c>
      <c r="AD41" s="113">
        <f>BBG_EUR!V41/100</f>
        <v>1.9403999999999999E-3</v>
      </c>
      <c r="AE41" s="113">
        <f>BBG_EUR!J41/100</f>
        <v>1.1032599999999998E-2</v>
      </c>
      <c r="AF41" s="116">
        <f>BBG_EUR!X41</f>
        <v>1.0749390000000001</v>
      </c>
      <c r="AG41" s="116">
        <f>BBG_EUR!L41</f>
        <v>0.96413400000000005</v>
      </c>
      <c r="AH41" s="112">
        <f t="shared" si="47"/>
        <v>-7.2789143181664073E-3</v>
      </c>
      <c r="AI41" s="112">
        <f t="shared" si="48"/>
        <v>3.6993267641260985E-3</v>
      </c>
      <c r="AJ41" s="112">
        <f t="shared" si="49"/>
        <v>-7.0534379344131537E-3</v>
      </c>
      <c r="AK41" s="112">
        <f t="shared" si="50"/>
        <v>3.9108758210337768E-3</v>
      </c>
      <c r="AL41" s="143">
        <f t="shared" si="22"/>
        <v>1.2523063255040072</v>
      </c>
      <c r="AM41" s="143">
        <f>BBG_EUR!AA41</f>
        <v>1.2523445980000001</v>
      </c>
      <c r="AN41" s="151">
        <f t="shared" si="23"/>
        <v>1.0000305616087801</v>
      </c>
      <c r="AO41" s="147"/>
      <c r="AR41" s="2"/>
      <c r="AS41" s="45"/>
      <c r="AT41" s="45"/>
      <c r="AU41" s="18"/>
    </row>
    <row r="42" spans="1:84" x14ac:dyDescent="0.25">
      <c r="A42" s="39">
        <v>47666</v>
      </c>
      <c r="B42" s="11">
        <v>2.4999999999941702E-5</v>
      </c>
      <c r="C42" s="11">
        <v>4.6128821637325597E-4</v>
      </c>
      <c r="D42" s="11">
        <v>1.0328255909462001</v>
      </c>
      <c r="E42" s="11">
        <v>2.7574777093728399E-3</v>
      </c>
      <c r="F42" s="33">
        <v>0.96003760698525897</v>
      </c>
      <c r="G42" s="11">
        <f t="shared" si="0"/>
        <v>10.144444444444444</v>
      </c>
      <c r="H42" s="11">
        <f t="shared" si="71"/>
        <v>-6.9474523800047809E-3</v>
      </c>
      <c r="I42" s="11">
        <f t="shared" si="72"/>
        <v>1.0732849647700848</v>
      </c>
      <c r="J42" s="33">
        <f t="shared" si="1"/>
        <v>1.2559178105626301</v>
      </c>
      <c r="K42" s="11" t="s">
        <v>88</v>
      </c>
      <c r="L42" s="41">
        <f t="shared" si="73"/>
        <v>-24.625</v>
      </c>
      <c r="M42" s="95">
        <v>47666</v>
      </c>
      <c r="N42" s="9">
        <f t="shared" si="41"/>
        <v>47575</v>
      </c>
      <c r="O42" s="39">
        <f t="shared" si="42"/>
        <v>47666</v>
      </c>
      <c r="P42" s="87">
        <f t="shared" si="43"/>
        <v>91</v>
      </c>
      <c r="Q42" s="46">
        <v>10000000</v>
      </c>
      <c r="R42" s="106">
        <f t="shared" si="74"/>
        <v>1.8248764603777158E-3</v>
      </c>
      <c r="S42" s="46">
        <f t="shared" si="44"/>
        <v>4612.88216373256</v>
      </c>
      <c r="T42" s="46">
        <f t="shared" si="45"/>
        <v>249.99999999941701</v>
      </c>
      <c r="U42" s="50">
        <f>Q42</f>
        <v>10000000</v>
      </c>
      <c r="V42" s="62">
        <f t="shared" si="75"/>
        <v>-12523063.255040072</v>
      </c>
      <c r="W42" s="46">
        <f t="shared" si="18"/>
        <v>-12559178.1056263</v>
      </c>
      <c r="X42" s="106">
        <f t="shared" si="76"/>
        <v>1.0908703026090356E-2</v>
      </c>
      <c r="Y42" s="46">
        <f t="shared" si="77"/>
        <v>-34532.067778839075</v>
      </c>
      <c r="Z42" s="46">
        <f t="shared" si="78"/>
        <v>36114.850586228073</v>
      </c>
      <c r="AA42" s="50">
        <f>W42</f>
        <v>-12559178.1056263</v>
      </c>
      <c r="AC42" s="122">
        <f t="shared" si="46"/>
        <v>10.144444444444444</v>
      </c>
      <c r="AD42" s="113">
        <f>BBG_EUR!V42/100</f>
        <v>2.1648000000000001E-3</v>
      </c>
      <c r="AE42" s="113">
        <f>BBG_EUR!J42/100</f>
        <v>1.1262300000000001E-2</v>
      </c>
      <c r="AF42" s="116">
        <f>BBG_EUR!X42</f>
        <v>1.075755</v>
      </c>
      <c r="AG42" s="116">
        <f>BBG_EUR!L42</f>
        <v>0.96200399999999997</v>
      </c>
      <c r="AH42" s="112">
        <f t="shared" si="47"/>
        <v>-7.1724529403353054E-3</v>
      </c>
      <c r="AI42" s="112">
        <f t="shared" si="48"/>
        <v>3.8258105662107855E-3</v>
      </c>
      <c r="AJ42" s="112">
        <f t="shared" si="49"/>
        <v>-6.947452380004826E-3</v>
      </c>
      <c r="AK42" s="112">
        <f t="shared" si="50"/>
        <v>4.0283042937385716E-3</v>
      </c>
      <c r="AL42" s="143">
        <f t="shared" si="22"/>
        <v>1.2559178105626301</v>
      </c>
      <c r="AM42" s="143">
        <f>BBG_EUR!AA42</f>
        <v>1.2560705000000001</v>
      </c>
      <c r="AN42" s="151">
        <f t="shared" si="23"/>
        <v>1.0001215759790059</v>
      </c>
      <c r="AO42" s="147"/>
    </row>
    <row r="43" spans="1:84" x14ac:dyDescent="0.25">
      <c r="A43" s="38">
        <v>47758</v>
      </c>
      <c r="B43" s="22">
        <v>2.4999999999941702E-5</v>
      </c>
      <c r="C43" s="22">
        <v>7.7071071870404796E-4</v>
      </c>
      <c r="D43" s="22">
        <v>1.0323689554877999</v>
      </c>
      <c r="E43" s="22">
        <v>2.90803475213841E-3</v>
      </c>
      <c r="F43" s="32">
        <v>0.95783744721483</v>
      </c>
      <c r="G43" s="22">
        <f t="shared" si="0"/>
        <v>10.4</v>
      </c>
      <c r="H43" s="22">
        <f t="shared" si="71"/>
        <v>-6.8425028666129293E-3</v>
      </c>
      <c r="I43" s="22">
        <f t="shared" si="72"/>
        <v>1.0740178427806901</v>
      </c>
      <c r="J43" s="32">
        <f t="shared" si="1"/>
        <v>1.2596622193966216</v>
      </c>
      <c r="K43" s="22" t="s">
        <v>89</v>
      </c>
      <c r="L43" s="40">
        <f t="shared" si="73"/>
        <v>-24.875</v>
      </c>
      <c r="M43" s="96">
        <v>47758</v>
      </c>
      <c r="N43" s="99">
        <f t="shared" si="41"/>
        <v>47666</v>
      </c>
      <c r="O43" s="38">
        <f t="shared" si="42"/>
        <v>47758</v>
      </c>
      <c r="P43" s="88">
        <f t="shared" si="43"/>
        <v>92</v>
      </c>
      <c r="Q43" s="47">
        <v>10000000</v>
      </c>
      <c r="R43" s="107">
        <f t="shared" si="74"/>
        <v>3.015824551450622E-3</v>
      </c>
      <c r="S43" s="47">
        <f t="shared" si="44"/>
        <v>7707.1071870404794</v>
      </c>
      <c r="T43" s="47">
        <f t="shared" si="45"/>
        <v>249.99999999941701</v>
      </c>
      <c r="V43" s="61">
        <f t="shared" si="75"/>
        <v>-12559178.1056263</v>
      </c>
      <c r="W43" s="47">
        <f t="shared" si="18"/>
        <v>-12596622.193966215</v>
      </c>
      <c r="X43" s="107">
        <f t="shared" si="76"/>
        <v>1.1379266421411171E-2</v>
      </c>
      <c r="Y43" s="47">
        <f t="shared" si="77"/>
        <v>-36522.526389457125</v>
      </c>
      <c r="Z43" s="47">
        <f t="shared" si="78"/>
        <v>37444.088339915499</v>
      </c>
      <c r="AC43" s="122">
        <f t="shared" si="46"/>
        <v>10.4</v>
      </c>
      <c r="AD43" s="113">
        <f>BBG_EUR!V43/100</f>
        <v>2.5009999999999998E-3</v>
      </c>
      <c r="AE43" s="113">
        <f>BBG_EUR!J43/100</f>
        <v>1.0976E-2</v>
      </c>
      <c r="AF43" s="116">
        <f>BBG_EUR!X43</f>
        <v>1.0767310000000001</v>
      </c>
      <c r="AG43" s="116">
        <f>BBG_EUR!L43</f>
        <v>0.96013099999999996</v>
      </c>
      <c r="AH43" s="112">
        <f t="shared" si="47"/>
        <v>-7.0834088556673835E-3</v>
      </c>
      <c r="AI43" s="112">
        <f t="shared" si="48"/>
        <v>3.9197338231375944E-3</v>
      </c>
      <c r="AJ43" s="112">
        <f t="shared" si="49"/>
        <v>-6.8425028666130316E-3</v>
      </c>
      <c r="AK43" s="112">
        <f t="shared" si="50"/>
        <v>4.1506280495968717E-3</v>
      </c>
      <c r="AL43" s="143">
        <f t="shared" si="22"/>
        <v>1.2596622193966216</v>
      </c>
      <c r="AM43" s="143">
        <f>BBG_EUR!AA43</f>
        <v>1.2597508150000001</v>
      </c>
      <c r="AN43" s="151">
        <f t="shared" si="23"/>
        <v>1.0000703328257483</v>
      </c>
      <c r="AO43" s="147"/>
    </row>
    <row r="44" spans="1:84" x14ac:dyDescent="0.25">
      <c r="A44" s="38">
        <v>47850</v>
      </c>
      <c r="B44" s="22">
        <v>2.4999999999941702E-5</v>
      </c>
      <c r="C44" s="22">
        <v>7.7071071870382602E-4</v>
      </c>
      <c r="D44" s="22">
        <v>1.0319125219182299</v>
      </c>
      <c r="E44" s="22">
        <v>2.90803475213841E-3</v>
      </c>
      <c r="F44" s="32">
        <v>0.95564232964585205</v>
      </c>
      <c r="G44" s="22">
        <f t="shared" si="0"/>
        <v>10.655555555555555</v>
      </c>
      <c r="H44" s="22">
        <f t="shared" si="71"/>
        <v>-6.7375533532210794E-3</v>
      </c>
      <c r="I44" s="22">
        <f t="shared" si="72"/>
        <v>1.074693299827983</v>
      </c>
      <c r="J44" s="32">
        <f t="shared" si="1"/>
        <v>1.2633497026802576</v>
      </c>
      <c r="K44" s="22" t="s">
        <v>89</v>
      </c>
      <c r="L44" s="40">
        <f t="shared" si="73"/>
        <v>-24.875</v>
      </c>
      <c r="M44" s="96">
        <v>47850</v>
      </c>
      <c r="N44" s="99">
        <f t="shared" si="41"/>
        <v>47758</v>
      </c>
      <c r="O44" s="38">
        <f t="shared" si="42"/>
        <v>47850</v>
      </c>
      <c r="P44" s="88">
        <f t="shared" si="43"/>
        <v>92</v>
      </c>
      <c r="Q44" s="47">
        <v>10000000</v>
      </c>
      <c r="R44" s="107">
        <f t="shared" si="74"/>
        <v>3.0158245514497538E-3</v>
      </c>
      <c r="S44" s="47">
        <f t="shared" si="44"/>
        <v>7707.1071870382602</v>
      </c>
      <c r="T44" s="47">
        <f t="shared" si="45"/>
        <v>249.99999999941701</v>
      </c>
      <c r="V44" s="61">
        <f t="shared" si="75"/>
        <v>-12596622.193966215</v>
      </c>
      <c r="W44" s="47">
        <f t="shared" si="18"/>
        <v>-12633497.026802575</v>
      </c>
      <c r="X44" s="107">
        <f t="shared" si="76"/>
        <v>1.1379266421411171E-2</v>
      </c>
      <c r="Y44" s="47">
        <f t="shared" si="77"/>
        <v>-36631.415099611739</v>
      </c>
      <c r="Z44" s="47">
        <f t="shared" si="78"/>
        <v>36874.832836359739</v>
      </c>
      <c r="AC44" s="122">
        <f t="shared" si="46"/>
        <v>10.655555555555555</v>
      </c>
      <c r="AD44" s="113">
        <f>BBG_EUR!V44/100</f>
        <v>2.7336000000000001E-3</v>
      </c>
      <c r="AE44" s="113">
        <f>BBG_EUR!J44/100</f>
        <v>1.11828E-2</v>
      </c>
      <c r="AF44" s="116">
        <f>BBG_EUR!X44</f>
        <v>1.077617</v>
      </c>
      <c r="AG44" s="116">
        <f>BBG_EUR!L44</f>
        <v>0.95823100000000005</v>
      </c>
      <c r="AH44" s="112">
        <f t="shared" si="47"/>
        <v>-6.9907691329925692E-3</v>
      </c>
      <c r="AI44" s="112">
        <f t="shared" si="48"/>
        <v>4.0121735456792873E-3</v>
      </c>
      <c r="AJ44" s="112">
        <f t="shared" si="49"/>
        <v>-6.7375533532210152E-3</v>
      </c>
      <c r="AK44" s="112">
        <f t="shared" si="50"/>
        <v>4.2670981947943165E-3</v>
      </c>
      <c r="AL44" s="143">
        <f t="shared" si="22"/>
        <v>1.2633497026802576</v>
      </c>
      <c r="AM44" s="143">
        <f>BBG_EUR!AA44</f>
        <v>1.2632498109999999</v>
      </c>
      <c r="AN44" s="151">
        <f t="shared" si="23"/>
        <v>0.99992093109291447</v>
      </c>
      <c r="AO44" s="147"/>
    </row>
    <row r="45" spans="1:84" x14ac:dyDescent="0.25">
      <c r="A45" s="38">
        <v>47940</v>
      </c>
      <c r="B45" s="22">
        <v>2.4999999999941702E-5</v>
      </c>
      <c r="C45" s="22">
        <v>7.5394982341014905E-4</v>
      </c>
      <c r="D45" s="22">
        <v>1.0314662060850099</v>
      </c>
      <c r="E45" s="22">
        <v>2.8447267722657701E-3</v>
      </c>
      <c r="F45" s="32">
        <v>0.95349979989684297</v>
      </c>
      <c r="G45" s="22">
        <f t="shared" si="0"/>
        <v>10.905555555555555</v>
      </c>
      <c r="H45" s="22">
        <f t="shared" si="71"/>
        <v>-6.6348853509899204E-3</v>
      </c>
      <c r="I45" s="22">
        <f t="shared" si="72"/>
        <v>1.0752984150365545</v>
      </c>
      <c r="J45" s="32">
        <f t="shared" si="1"/>
        <v>1.2669014084562527</v>
      </c>
      <c r="K45" s="22" t="s">
        <v>89</v>
      </c>
      <c r="L45" s="40">
        <f t="shared" si="73"/>
        <v>-24.875</v>
      </c>
      <c r="M45" s="96">
        <v>47940</v>
      </c>
      <c r="N45" s="99">
        <f t="shared" si="41"/>
        <v>47850</v>
      </c>
      <c r="O45" s="38">
        <f t="shared" si="42"/>
        <v>47940</v>
      </c>
      <c r="P45" s="88">
        <f t="shared" si="43"/>
        <v>90</v>
      </c>
      <c r="Q45" s="47">
        <v>10000000</v>
      </c>
      <c r="R45" s="107">
        <f t="shared" si="74"/>
        <v>3.0157992936405962E-3</v>
      </c>
      <c r="S45" s="47">
        <f t="shared" si="44"/>
        <v>7539.4982341014902</v>
      </c>
      <c r="T45" s="47">
        <f t="shared" si="45"/>
        <v>249.99999999941701</v>
      </c>
      <c r="V45" s="61">
        <f t="shared" si="75"/>
        <v>-12633497.026802575</v>
      </c>
      <c r="W45" s="47">
        <f t="shared" si="18"/>
        <v>-12669014.084562527</v>
      </c>
      <c r="X45" s="107">
        <f t="shared" si="76"/>
        <v>1.1378907089063082E-2</v>
      </c>
      <c r="Y45" s="47">
        <f t="shared" si="77"/>
        <v>-35938.847219485295</v>
      </c>
      <c r="Z45" s="47">
        <f t="shared" si="78"/>
        <v>35517.0577599518</v>
      </c>
      <c r="AC45" s="122">
        <f t="shared" si="46"/>
        <v>10.905555555555555</v>
      </c>
      <c r="AD45" s="113">
        <f>BBG_EUR!V45/100</f>
        <v>2.9631999999999996E-3</v>
      </c>
      <c r="AE45" s="113">
        <f>BBG_EUR!J45/100</f>
        <v>1.1385300000000001E-2</v>
      </c>
      <c r="AF45" s="116">
        <f>BBG_EUR!X45</f>
        <v>1.078438</v>
      </c>
      <c r="AG45" s="116">
        <f>BBG_EUR!L45</f>
        <v>0.95633400000000002</v>
      </c>
      <c r="AH45" s="112">
        <f t="shared" si="47"/>
        <v>-6.9004150185441038E-3</v>
      </c>
      <c r="AI45" s="112">
        <f t="shared" si="48"/>
        <v>4.1024572485444111E-3</v>
      </c>
      <c r="AJ45" s="112">
        <f t="shared" si="49"/>
        <v>-6.6348853509898831E-3</v>
      </c>
      <c r="AK45" s="112">
        <f t="shared" si="50"/>
        <v>4.3757666577868282E-3</v>
      </c>
      <c r="AL45" s="143">
        <f t="shared" si="22"/>
        <v>1.2669014084562527</v>
      </c>
      <c r="AM45" s="143">
        <f>BBG_EUR!AA45</f>
        <v>1.266757847</v>
      </c>
      <c r="AN45" s="151">
        <f t="shared" si="23"/>
        <v>0.99988668300840589</v>
      </c>
      <c r="AO45" s="147"/>
    </row>
    <row r="46" spans="1:84" x14ac:dyDescent="0.25">
      <c r="A46" s="38">
        <v>48031</v>
      </c>
      <c r="B46" s="22">
        <v>2.4999999999941702E-5</v>
      </c>
      <c r="C46" s="22">
        <v>7.6233023596805605E-4</v>
      </c>
      <c r="D46" s="22">
        <v>1.0310151274533801</v>
      </c>
      <c r="E46" s="22">
        <v>2.87638026265146E-3</v>
      </c>
      <c r="F46" s="32">
        <v>0.95133834808216899</v>
      </c>
      <c r="G46" s="22">
        <f t="shared" si="0"/>
        <v>11.158333333333333</v>
      </c>
      <c r="H46" s="22">
        <f t="shared" si="71"/>
        <v>-6.5310765931784155E-3</v>
      </c>
      <c r="I46" s="22">
        <f t="shared" si="72"/>
        <v>1.075854199319229</v>
      </c>
      <c r="J46" s="32">
        <f t="shared" si="1"/>
        <v>1.2704361281679684</v>
      </c>
      <c r="K46" s="22" t="s">
        <v>89</v>
      </c>
      <c r="L46" s="40">
        <f t="shared" si="73"/>
        <v>-24.875</v>
      </c>
      <c r="M46" s="96">
        <v>48031</v>
      </c>
      <c r="N46" s="99">
        <f t="shared" si="41"/>
        <v>47940</v>
      </c>
      <c r="O46" s="38">
        <f t="shared" si="42"/>
        <v>48031</v>
      </c>
      <c r="P46" s="88">
        <f t="shared" si="43"/>
        <v>91</v>
      </c>
      <c r="Q46" s="47">
        <v>10000000</v>
      </c>
      <c r="R46" s="107">
        <f t="shared" si="74"/>
        <v>3.015811922510991E-3</v>
      </c>
      <c r="S46" s="47">
        <f t="shared" si="44"/>
        <v>7623.3023596805606</v>
      </c>
      <c r="T46" s="47">
        <f t="shared" si="45"/>
        <v>249.99999999941701</v>
      </c>
      <c r="V46" s="61">
        <f t="shared" si="75"/>
        <v>-12669014.084562527</v>
      </c>
      <c r="W46" s="47">
        <f t="shared" si="18"/>
        <v>-12704361.281679684</v>
      </c>
      <c r="X46" s="107">
        <f t="shared" si="76"/>
        <v>1.1379086753346434E-2</v>
      </c>
      <c r="Y46" s="47">
        <f t="shared" si="77"/>
        <v>-36440.902060089007</v>
      </c>
      <c r="Z46" s="47">
        <f t="shared" si="78"/>
        <v>35347.19711715728</v>
      </c>
      <c r="AC46" s="122">
        <f t="shared" si="46"/>
        <v>11.158333333333333</v>
      </c>
      <c r="AD46" s="113">
        <f>BBG_EUR!V46/100</f>
        <v>3.1911000000000001E-3</v>
      </c>
      <c r="AE46" s="113">
        <f>BBG_EUR!J46/100</f>
        <v>1.15853E-2</v>
      </c>
      <c r="AF46" s="116">
        <f>BBG_EUR!X46</f>
        <v>1.079223</v>
      </c>
      <c r="AG46" s="116">
        <f>BBG_EUR!L46</f>
        <v>0.95438000000000001</v>
      </c>
      <c r="AH46" s="112">
        <f t="shared" si="47"/>
        <v>-6.8093918082918758E-3</v>
      </c>
      <c r="AI46" s="112">
        <f t="shared" si="48"/>
        <v>4.1933858723062212E-3</v>
      </c>
      <c r="AJ46" s="112">
        <f t="shared" si="49"/>
        <v>-6.5310765931783088E-3</v>
      </c>
      <c r="AK46" s="112">
        <f t="shared" si="50"/>
        <v>4.4807028632181112E-3</v>
      </c>
      <c r="AL46" s="143">
        <f t="shared" si="22"/>
        <v>1.2704361281679684</v>
      </c>
      <c r="AM46" s="143">
        <f>BBG_EUR!AA46</f>
        <v>1.2702749419999999</v>
      </c>
      <c r="AN46" s="151">
        <f t="shared" si="23"/>
        <v>0.99987312532728356</v>
      </c>
      <c r="AO46" s="147"/>
    </row>
    <row r="47" spans="1:84" x14ac:dyDescent="0.25">
      <c r="A47" s="38">
        <v>48123</v>
      </c>
      <c r="B47" s="22">
        <v>2.4999999999941702E-5</v>
      </c>
      <c r="C47" s="22">
        <v>7.7071071870382602E-4</v>
      </c>
      <c r="D47" s="22">
        <v>1.03055929244167</v>
      </c>
      <c r="E47" s="22">
        <v>2.90803475213841E-3</v>
      </c>
      <c r="F47" s="32">
        <v>0.94915812478019901</v>
      </c>
      <c r="G47" s="22">
        <f t="shared" si="0"/>
        <v>11.41388888888889</v>
      </c>
      <c r="H47" s="22">
        <f t="shared" si="71"/>
        <v>-6.4261270797865647E-3</v>
      </c>
      <c r="I47" s="22">
        <f t="shared" si="72"/>
        <v>1.076358714409404</v>
      </c>
      <c r="J47" s="32">
        <f t="shared" si="1"/>
        <v>1.2739514609829001</v>
      </c>
      <c r="K47" s="22" t="s">
        <v>89</v>
      </c>
      <c r="L47" s="40">
        <f t="shared" si="73"/>
        <v>-24.875</v>
      </c>
      <c r="M47" s="96">
        <v>48123</v>
      </c>
      <c r="N47" s="99">
        <f t="shared" si="41"/>
        <v>48031</v>
      </c>
      <c r="O47" s="38">
        <f t="shared" si="42"/>
        <v>48123</v>
      </c>
      <c r="P47" s="88">
        <f t="shared" si="43"/>
        <v>92</v>
      </c>
      <c r="Q47" s="47">
        <v>10000000</v>
      </c>
      <c r="R47" s="107">
        <f t="shared" si="74"/>
        <v>3.0158245514497538E-3</v>
      </c>
      <c r="S47" s="47">
        <f t="shared" si="44"/>
        <v>7707.1071870382602</v>
      </c>
      <c r="T47" s="47">
        <f t="shared" si="45"/>
        <v>249.99999999941701</v>
      </c>
      <c r="V47" s="61">
        <f t="shared" si="75"/>
        <v>-12704361.281679684</v>
      </c>
      <c r="W47" s="47">
        <f t="shared" si="18"/>
        <v>-12739514.609829001</v>
      </c>
      <c r="X47" s="107">
        <f t="shared" si="76"/>
        <v>1.1379266421411171E-2</v>
      </c>
      <c r="Y47" s="47">
        <f t="shared" si="77"/>
        <v>-36944.724110846197</v>
      </c>
      <c r="Z47" s="47">
        <f t="shared" si="78"/>
        <v>35153.328149316832</v>
      </c>
      <c r="AC47" s="122">
        <f t="shared" si="46"/>
        <v>11.41388888888889</v>
      </c>
      <c r="AD47" s="113">
        <f>BBG_EUR!V47/100</f>
        <v>2.8788000000000004E-3</v>
      </c>
      <c r="AE47" s="113">
        <f>BBG_EUR!J47/100</f>
        <v>1.1175200000000001E-2</v>
      </c>
      <c r="AF47" s="116">
        <f>BBG_EUR!X47</f>
        <v>1.079969</v>
      </c>
      <c r="AG47" s="116">
        <f>BBG_EUR!L47</f>
        <v>0.95236699999999996</v>
      </c>
      <c r="AH47" s="112">
        <f t="shared" si="47"/>
        <v>-6.7175743640688346E-3</v>
      </c>
      <c r="AI47" s="112">
        <f t="shared" si="48"/>
        <v>4.2850693783031968E-3</v>
      </c>
      <c r="AJ47" s="112">
        <f t="shared" si="49"/>
        <v>-6.4261270797865144E-3</v>
      </c>
      <c r="AK47" s="112">
        <f t="shared" si="50"/>
        <v>4.582077787978811E-3</v>
      </c>
      <c r="AL47" s="143">
        <f t="shared" si="22"/>
        <v>1.2739514609829001</v>
      </c>
      <c r="AM47" s="143">
        <f>BBG_EUR!AA47</f>
        <v>1.2738399149999999</v>
      </c>
      <c r="AN47" s="151">
        <f t="shared" si="23"/>
        <v>0.99991244094746423</v>
      </c>
      <c r="AO47" s="147"/>
    </row>
    <row r="48" spans="1:84" x14ac:dyDescent="0.25">
      <c r="A48" s="38">
        <v>48215</v>
      </c>
      <c r="B48" s="22">
        <v>2.4999999999941702E-5</v>
      </c>
      <c r="C48" s="22">
        <v>7.7071071870382602E-4</v>
      </c>
      <c r="D48" s="22">
        <v>1.0301036589649</v>
      </c>
      <c r="E48" s="22">
        <v>2.90803475213841E-3</v>
      </c>
      <c r="F48" s="32">
        <v>0.94698289799041202</v>
      </c>
      <c r="G48" s="22">
        <f t="shared" si="0"/>
        <v>11.669444444444444</v>
      </c>
      <c r="H48" s="22">
        <f t="shared" si="71"/>
        <v>-6.321177566394714E-3</v>
      </c>
      <c r="I48" s="22">
        <f t="shared" si="72"/>
        <v>1.0768054673036784</v>
      </c>
      <c r="J48" s="32">
        <f t="shared" si="1"/>
        <v>1.2774077172206759</v>
      </c>
      <c r="K48" s="22" t="s">
        <v>89</v>
      </c>
      <c r="L48" s="40">
        <f t="shared" si="73"/>
        <v>-24.875</v>
      </c>
      <c r="M48" s="96">
        <v>48215</v>
      </c>
      <c r="N48" s="99">
        <f t="shared" si="41"/>
        <v>48123</v>
      </c>
      <c r="O48" s="38">
        <f t="shared" si="42"/>
        <v>48215</v>
      </c>
      <c r="P48" s="88">
        <f t="shared" si="43"/>
        <v>92</v>
      </c>
      <c r="Q48" s="47">
        <v>10000000</v>
      </c>
      <c r="R48" s="107">
        <f t="shared" si="74"/>
        <v>3.0158245514497538E-3</v>
      </c>
      <c r="S48" s="47">
        <f t="shared" si="44"/>
        <v>7707.1071870382602</v>
      </c>
      <c r="T48" s="47">
        <f t="shared" si="45"/>
        <v>249.99999999941701</v>
      </c>
      <c r="V48" s="61">
        <f t="shared" si="75"/>
        <v>-12739514.609829001</v>
      </c>
      <c r="W48" s="47">
        <f t="shared" si="18"/>
        <v>-12774077.172206759</v>
      </c>
      <c r="X48" s="107">
        <f t="shared" si="76"/>
        <v>1.1379266421411171E-2</v>
      </c>
      <c r="Y48" s="47">
        <f t="shared" si="77"/>
        <v>-37046.951210757732</v>
      </c>
      <c r="Z48" s="47">
        <f t="shared" si="78"/>
        <v>34562.562377758324</v>
      </c>
      <c r="AC48" s="122">
        <f t="shared" si="46"/>
        <v>11.669444444444444</v>
      </c>
      <c r="AD48" s="113">
        <f>BBG_EUR!V48/100</f>
        <v>3.0858999999999999E-3</v>
      </c>
      <c r="AE48" s="113">
        <f>BBG_EUR!J48/100</f>
        <v>1.1350899999999999E-2</v>
      </c>
      <c r="AF48" s="116">
        <f>BBG_EUR!X48</f>
        <v>1.080668</v>
      </c>
      <c r="AG48" s="116">
        <f>BBG_EUR!L48</f>
        <v>0.95031699999999997</v>
      </c>
      <c r="AH48" s="112">
        <f t="shared" si="47"/>
        <v>-6.6260277011364055E-3</v>
      </c>
      <c r="AI48" s="112">
        <f t="shared" si="48"/>
        <v>4.3764805525026151E-3</v>
      </c>
      <c r="AJ48" s="112">
        <f t="shared" si="49"/>
        <v>-6.3211775663947201E-3</v>
      </c>
      <c r="AK48" s="112">
        <f t="shared" si="50"/>
        <v>4.6790221514008135E-3</v>
      </c>
      <c r="AL48" s="143">
        <f t="shared" si="22"/>
        <v>1.2774077172206759</v>
      </c>
      <c r="AM48" s="143">
        <f>BBG_EUR!AA48</f>
        <v>1.2773752869999999</v>
      </c>
      <c r="AN48" s="151">
        <f t="shared" si="23"/>
        <v>0.99997461247474961</v>
      </c>
      <c r="AO48" s="147"/>
    </row>
    <row r="49" spans="1:41" x14ac:dyDescent="0.25">
      <c r="A49" s="38">
        <v>48306</v>
      </c>
      <c r="B49" s="22">
        <v>2.4999999999941702E-5</v>
      </c>
      <c r="C49" s="22">
        <v>7.6233023596805605E-4</v>
      </c>
      <c r="D49" s="22">
        <v>1.02965317619951</v>
      </c>
      <c r="E49" s="22">
        <v>2.87638026265146E-3</v>
      </c>
      <c r="F49" s="32">
        <v>0.94483621908859305</v>
      </c>
      <c r="G49" s="22">
        <f t="shared" si="0"/>
        <v>11.922222222222222</v>
      </c>
      <c r="H49" s="22">
        <f t="shared" si="71"/>
        <v>-6.2173688085832091E-3</v>
      </c>
      <c r="I49" s="22">
        <f t="shared" si="72"/>
        <v>1.0771904786526427</v>
      </c>
      <c r="J49" s="32">
        <f t="shared" si="1"/>
        <v>1.2807677767536043</v>
      </c>
      <c r="K49" s="22" t="s">
        <v>89</v>
      </c>
      <c r="L49" s="40">
        <f t="shared" si="73"/>
        <v>-24.875</v>
      </c>
      <c r="M49" s="96">
        <v>48306</v>
      </c>
      <c r="N49" s="99">
        <f t="shared" si="41"/>
        <v>48215</v>
      </c>
      <c r="O49" s="38">
        <f t="shared" si="42"/>
        <v>48306</v>
      </c>
      <c r="P49" s="88">
        <f t="shared" si="43"/>
        <v>91</v>
      </c>
      <c r="Q49" s="47">
        <v>10000000</v>
      </c>
      <c r="R49" s="107">
        <f t="shared" si="74"/>
        <v>3.015811922510991E-3</v>
      </c>
      <c r="S49" s="47">
        <f t="shared" si="44"/>
        <v>7623.3023596805606</v>
      </c>
      <c r="T49" s="47">
        <f t="shared" si="45"/>
        <v>249.99999999941701</v>
      </c>
      <c r="V49" s="61">
        <f t="shared" si="75"/>
        <v>-12774077.172206759</v>
      </c>
      <c r="W49" s="47">
        <f t="shared" si="18"/>
        <v>-12807677.767536042</v>
      </c>
      <c r="X49" s="107">
        <f t="shared" si="76"/>
        <v>1.1379086753346434E-2</v>
      </c>
      <c r="Y49" s="47">
        <f t="shared" si="77"/>
        <v>-36743.103451722098</v>
      </c>
      <c r="Z49" s="47">
        <f t="shared" si="78"/>
        <v>33600.595329282805</v>
      </c>
      <c r="AC49" s="122">
        <f t="shared" si="46"/>
        <v>11.922222222222222</v>
      </c>
      <c r="AD49" s="113">
        <f>BBG_EUR!V49/100</f>
        <v>3.2915000000000002E-3</v>
      </c>
      <c r="AE49" s="113">
        <f>BBG_EUR!J49/100</f>
        <v>1.15239E-2</v>
      </c>
      <c r="AF49" s="116">
        <f>BBG_EUR!X49</f>
        <v>1.0813140000000001</v>
      </c>
      <c r="AG49" s="116">
        <f>BBG_EUR!L49</f>
        <v>0.94825400000000004</v>
      </c>
      <c r="AH49" s="112">
        <f t="shared" si="47"/>
        <v>-6.535796200068611E-3</v>
      </c>
      <c r="AI49" s="112">
        <f t="shared" si="48"/>
        <v>4.4665710710136697E-3</v>
      </c>
      <c r="AJ49" s="112">
        <f t="shared" si="49"/>
        <v>-6.2173688085832568E-3</v>
      </c>
      <c r="AK49" s="112">
        <f t="shared" si="50"/>
        <v>4.7708328628965901E-3</v>
      </c>
      <c r="AL49" s="143">
        <f t="shared" si="22"/>
        <v>1.2807677767536043</v>
      </c>
      <c r="AM49" s="143">
        <f>BBG_EUR!AA49</f>
        <v>1.280958778</v>
      </c>
      <c r="AN49" s="151">
        <f t="shared" si="23"/>
        <v>1.0001491302715937</v>
      </c>
      <c r="AO49" s="147"/>
    </row>
    <row r="50" spans="1:41" x14ac:dyDescent="0.25">
      <c r="A50" s="39">
        <v>48397</v>
      </c>
      <c r="B50" s="11">
        <v>2.4999999999941702E-5</v>
      </c>
      <c r="C50" s="11">
        <v>7.62330235967834E-4</v>
      </c>
      <c r="D50" s="11">
        <v>1.0292028904382899</v>
      </c>
      <c r="E50" s="11">
        <v>2.87638026265146E-3</v>
      </c>
      <c r="F50" s="33">
        <v>0.94269440641014302</v>
      </c>
      <c r="G50" s="11">
        <f t="shared" si="0"/>
        <v>12.175000000000001</v>
      </c>
      <c r="H50" s="11">
        <f t="shared" si="71"/>
        <v>-6.1135600507717042E-3</v>
      </c>
      <c r="I50" s="11">
        <f t="shared" si="72"/>
        <v>1.0775188631839396</v>
      </c>
      <c r="J50" s="33">
        <f t="shared" si="1"/>
        <v>1.2840690288069725</v>
      </c>
      <c r="K50" s="11" t="s">
        <v>89</v>
      </c>
      <c r="L50" s="41">
        <f t="shared" si="73"/>
        <v>-24.875</v>
      </c>
      <c r="M50" s="95">
        <v>48397</v>
      </c>
      <c r="N50" s="9">
        <f t="shared" si="41"/>
        <v>48306</v>
      </c>
      <c r="O50" s="39">
        <f t="shared" si="42"/>
        <v>48397</v>
      </c>
      <c r="P50" s="87">
        <f t="shared" si="43"/>
        <v>91</v>
      </c>
      <c r="Q50" s="46">
        <v>10000000</v>
      </c>
      <c r="R50" s="106">
        <f t="shared" si="74"/>
        <v>3.0158119225101123E-3</v>
      </c>
      <c r="S50" s="46">
        <f t="shared" si="44"/>
        <v>7623.3023596783396</v>
      </c>
      <c r="T50" s="46">
        <f t="shared" si="45"/>
        <v>249.99999999941701</v>
      </c>
      <c r="U50" s="50">
        <f>Q50</f>
        <v>10000000</v>
      </c>
      <c r="V50" s="62">
        <f t="shared" si="75"/>
        <v>-12807677.767536042</v>
      </c>
      <c r="W50" s="46">
        <f t="shared" si="18"/>
        <v>-12840690.288069725</v>
      </c>
      <c r="X50" s="106">
        <f t="shared" si="76"/>
        <v>1.1379086753346434E-2</v>
      </c>
      <c r="Y50" s="46">
        <f t="shared" si="77"/>
        <v>-36839.75154094059</v>
      </c>
      <c r="Z50" s="46">
        <f t="shared" si="78"/>
        <v>33012.520533682778</v>
      </c>
      <c r="AA50" s="50">
        <f>W50</f>
        <v>-12840690.288069725</v>
      </c>
      <c r="AC50" s="122">
        <f t="shared" si="46"/>
        <v>12.175000000000001</v>
      </c>
      <c r="AD50" s="113">
        <f>BBG_EUR!V50/100</f>
        <v>3.4954000000000001E-3</v>
      </c>
      <c r="AE50" s="113">
        <f>BBG_EUR!J50/100</f>
        <v>1.1694599999999999E-2</v>
      </c>
      <c r="AF50" s="116">
        <f>BBG_EUR!X50</f>
        <v>1.081915</v>
      </c>
      <c r="AG50" s="116">
        <f>BBG_EUR!L50</f>
        <v>0.946156</v>
      </c>
      <c r="AH50" s="112">
        <f t="shared" si="47"/>
        <v>-6.4458805006958331E-3</v>
      </c>
      <c r="AI50" s="112">
        <f t="shared" si="48"/>
        <v>4.5563709011584574E-3</v>
      </c>
      <c r="AJ50" s="112">
        <f t="shared" si="49"/>
        <v>-6.1135600507716825E-3</v>
      </c>
      <c r="AK50" s="112">
        <f t="shared" si="50"/>
        <v>4.8588390945520921E-3</v>
      </c>
      <c r="AL50" s="143">
        <f t="shared" si="22"/>
        <v>1.2840690288069725</v>
      </c>
      <c r="AM50" s="143">
        <f>BBG_EUR!AA50</f>
        <v>1.2845125070000001</v>
      </c>
      <c r="AN50" s="151">
        <f t="shared" si="23"/>
        <v>1.0003453694334794</v>
      </c>
      <c r="AO50" s="147"/>
    </row>
    <row r="51" spans="1:41" x14ac:dyDescent="0.25">
      <c r="A51" s="38">
        <v>48491</v>
      </c>
      <c r="B51" s="22">
        <v>2.55555555555009E-5</v>
      </c>
      <c r="C51" s="22">
        <v>1.0479828322915699E-3</v>
      </c>
      <c r="D51" s="22">
        <v>1.0283856430301701</v>
      </c>
      <c r="E51" s="22">
        <v>2.9539779006104699E-3</v>
      </c>
      <c r="F51" s="32">
        <v>0.94048082216125295</v>
      </c>
      <c r="G51" s="5">
        <f t="shared" si="0"/>
        <v>12.436111111111112</v>
      </c>
      <c r="H51" s="5">
        <f t="shared" si="71"/>
        <v>-6.0121766891143283E-3</v>
      </c>
      <c r="I51" s="5">
        <f t="shared" si="72"/>
        <v>1.0778774268224942</v>
      </c>
      <c r="J51" s="32">
        <f t="shared" si="1"/>
        <v>1.2875196099264781</v>
      </c>
      <c r="K51" s="22" t="s">
        <v>90</v>
      </c>
      <c r="L51" s="40">
        <f t="shared" si="73"/>
        <v>-23.75</v>
      </c>
      <c r="M51" s="96">
        <v>48491</v>
      </c>
      <c r="N51" s="99">
        <f t="shared" si="41"/>
        <v>48397</v>
      </c>
      <c r="O51" s="38">
        <f t="shared" si="42"/>
        <v>48491</v>
      </c>
      <c r="P51" s="88">
        <f t="shared" si="43"/>
        <v>94</v>
      </c>
      <c r="Q51" s="45">
        <v>10000000</v>
      </c>
      <c r="R51" s="105">
        <f t="shared" si="74"/>
        <v>4.0135512726060122E-3</v>
      </c>
      <c r="S51" s="45">
        <f t="shared" si="44"/>
        <v>10479.828322915699</v>
      </c>
      <c r="T51" s="45">
        <f t="shared" si="45"/>
        <v>255.55555555500899</v>
      </c>
      <c r="V51" s="61">
        <f t="shared" si="75"/>
        <v>-12840690.288069725</v>
      </c>
      <c r="W51" s="47">
        <f t="shared" si="18"/>
        <v>-12875196.09926478</v>
      </c>
      <c r="X51" s="107">
        <f t="shared" si="76"/>
        <v>1.1313106853401799E-2</v>
      </c>
      <c r="Y51" s="47">
        <f t="shared" si="77"/>
        <v>-37931.115339541459</v>
      </c>
      <c r="Z51" s="47">
        <f t="shared" si="78"/>
        <v>34505.811195055023</v>
      </c>
      <c r="AC51" s="122">
        <f t="shared" si="46"/>
        <v>12.436111111111112</v>
      </c>
      <c r="AD51" s="113">
        <f>BBG_EUR!V51/100</f>
        <v>3.0480000000000004E-3</v>
      </c>
      <c r="AE51" s="113">
        <f>BBG_EUR!J51/100</f>
        <v>1.06073E-2</v>
      </c>
      <c r="AF51" s="116">
        <f>BBG_EUR!X51</f>
        <v>1.0823799999999999</v>
      </c>
      <c r="AG51" s="116">
        <f>BBG_EUR!L51</f>
        <v>0.94420800000000005</v>
      </c>
      <c r="AH51" s="112">
        <f t="shared" si="47"/>
        <v>-6.3453034966333144E-3</v>
      </c>
      <c r="AI51" s="112">
        <f t="shared" si="48"/>
        <v>4.6269697827994172E-3</v>
      </c>
      <c r="AJ51" s="112">
        <f t="shared" si="49"/>
        <v>-6.0121766891143569E-3</v>
      </c>
      <c r="AK51" s="112">
        <f t="shared" si="50"/>
        <v>4.9465356053866039E-3</v>
      </c>
      <c r="AL51" s="143">
        <f t="shared" si="22"/>
        <v>1.2875196099264781</v>
      </c>
      <c r="AM51" s="143">
        <f>BBG_EUR!AA51</f>
        <v>1.287658341</v>
      </c>
      <c r="AN51" s="151">
        <f t="shared" si="23"/>
        <v>1.0001077506489628</v>
      </c>
      <c r="AO51" s="147"/>
    </row>
    <row r="52" spans="1:41" x14ac:dyDescent="0.25">
      <c r="A52" s="38">
        <v>48583</v>
      </c>
      <c r="B52" s="22">
        <v>2.4999999999941702E-5</v>
      </c>
      <c r="C52" s="22">
        <v>1.02567389418606E-3</v>
      </c>
      <c r="D52" s="22">
        <v>1.0275864122466101</v>
      </c>
      <c r="E52" s="22">
        <v>2.8910365436747298E-3</v>
      </c>
      <c r="F52" s="32">
        <v>0.93831936864145205</v>
      </c>
      <c r="G52" s="5">
        <f t="shared" si="0"/>
        <v>12.691666666666666</v>
      </c>
      <c r="H52" s="5">
        <f t="shared" si="71"/>
        <v>-5.9129504202581722E-3</v>
      </c>
      <c r="I52" s="5">
        <f t="shared" si="72"/>
        <v>1.0781730016431366</v>
      </c>
      <c r="J52" s="32">
        <f t="shared" si="1"/>
        <v>1.2908393352250276</v>
      </c>
      <c r="K52" s="22" t="s">
        <v>90</v>
      </c>
      <c r="L52" s="40">
        <f t="shared" si="73"/>
        <v>-23.75</v>
      </c>
      <c r="M52" s="96">
        <v>48583</v>
      </c>
      <c r="N52" s="99">
        <f t="shared" si="41"/>
        <v>48491</v>
      </c>
      <c r="O52" s="38">
        <f t="shared" si="42"/>
        <v>48583</v>
      </c>
      <c r="P52" s="88">
        <f t="shared" si="43"/>
        <v>92</v>
      </c>
      <c r="Q52" s="45">
        <v>10000000</v>
      </c>
      <c r="R52" s="105">
        <f t="shared" si="74"/>
        <v>4.013506542467191E-3</v>
      </c>
      <c r="S52" s="45">
        <f t="shared" si="44"/>
        <v>10256.7389418606</v>
      </c>
      <c r="T52" s="45">
        <f t="shared" si="45"/>
        <v>249.99999999941701</v>
      </c>
      <c r="V52" s="61">
        <f t="shared" si="75"/>
        <v>-12875196.09926478</v>
      </c>
      <c r="W52" s="47">
        <f t="shared" si="18"/>
        <v>-12908393.352250276</v>
      </c>
      <c r="X52" s="107">
        <f t="shared" si="76"/>
        <v>1.1312751692640247E-2</v>
      </c>
      <c r="Y52" s="47">
        <f t="shared" si="77"/>
        <v>-37222.662429952812</v>
      </c>
      <c r="Z52" s="47">
        <f t="shared" si="78"/>
        <v>33197.252985496074</v>
      </c>
      <c r="AC52" s="122">
        <f t="shared" si="46"/>
        <v>12.691666666666666</v>
      </c>
      <c r="AD52" s="113">
        <f>BBG_EUR!V52/100</f>
        <v>3.2293000000000001E-3</v>
      </c>
      <c r="AE52" s="113">
        <f>BBG_EUR!J52/100</f>
        <v>1.07332E-2</v>
      </c>
      <c r="AF52" s="116">
        <f>BBG_EUR!X52</f>
        <v>1.0827979999999999</v>
      </c>
      <c r="AG52" s="116">
        <f>BBG_EUR!L52</f>
        <v>0.94228900000000004</v>
      </c>
      <c r="AH52" s="112">
        <f t="shared" si="47"/>
        <v>-6.2481672593562854E-3</v>
      </c>
      <c r="AI52" s="112">
        <f t="shared" si="48"/>
        <v>4.6946301144328295E-3</v>
      </c>
      <c r="AJ52" s="112">
        <f t="shared" si="49"/>
        <v>-5.9129504202581895E-3</v>
      </c>
      <c r="AK52" s="112">
        <f t="shared" si="50"/>
        <v>5.0288791092216734E-3</v>
      </c>
      <c r="AL52" s="143">
        <f t="shared" si="22"/>
        <v>1.2908393352250276</v>
      </c>
      <c r="AM52" s="143">
        <f>BBG_EUR!AA52</f>
        <v>1.290746594</v>
      </c>
      <c r="AN52" s="151">
        <f t="shared" si="23"/>
        <v>0.99992815432370485</v>
      </c>
      <c r="AO52" s="147"/>
    </row>
    <row r="53" spans="1:41" x14ac:dyDescent="0.25">
      <c r="A53" s="38">
        <v>48673</v>
      </c>
      <c r="B53" s="22">
        <v>2.4999999999941702E-5</v>
      </c>
      <c r="C53" s="22">
        <v>1.0033654532484099E-3</v>
      </c>
      <c r="D53" s="22">
        <v>1.0268051570793799</v>
      </c>
      <c r="E53" s="22">
        <v>2.8280991366853498E-3</v>
      </c>
      <c r="F53" s="32">
        <v>0.93620971005591402</v>
      </c>
      <c r="G53" s="5">
        <f t="shared" si="0"/>
        <v>12.941666666666666</v>
      </c>
      <c r="H53" s="5">
        <f t="shared" si="71"/>
        <v>-5.8158812442032368E-3</v>
      </c>
      <c r="I53" s="5">
        <f t="shared" si="72"/>
        <v>1.0784091234545483</v>
      </c>
      <c r="J53" s="32">
        <f t="shared" si="1"/>
        <v>1.2940314507275139</v>
      </c>
      <c r="K53" s="22" t="s">
        <v>90</v>
      </c>
      <c r="L53" s="40">
        <f t="shared" si="73"/>
        <v>-23.75</v>
      </c>
      <c r="M53" s="96">
        <v>48673</v>
      </c>
      <c r="N53" s="99">
        <f t="shared" si="41"/>
        <v>48583</v>
      </c>
      <c r="O53" s="38">
        <f t="shared" si="42"/>
        <v>48673</v>
      </c>
      <c r="P53" s="88">
        <f t="shared" si="43"/>
        <v>90</v>
      </c>
      <c r="Q53" s="45">
        <v>10000000</v>
      </c>
      <c r="R53" s="105">
        <f t="shared" si="74"/>
        <v>4.0134618129936397E-3</v>
      </c>
      <c r="S53" s="45">
        <f t="shared" si="44"/>
        <v>10033.654532484099</v>
      </c>
      <c r="T53" s="45">
        <f t="shared" si="45"/>
        <v>249.99999999941701</v>
      </c>
      <c r="V53" s="61">
        <f t="shared" si="75"/>
        <v>-12908393.352250276</v>
      </c>
      <c r="W53" s="47">
        <f t="shared" si="18"/>
        <v>-12940314.50727514</v>
      </c>
      <c r="X53" s="107">
        <f t="shared" si="76"/>
        <v>1.1312396546741401E-2</v>
      </c>
      <c r="Y53" s="47">
        <f t="shared" si="77"/>
        <v>-36506.216095493917</v>
      </c>
      <c r="Z53" s="47">
        <f t="shared" si="78"/>
        <v>31921.15502486378</v>
      </c>
      <c r="AC53" s="122">
        <f t="shared" si="46"/>
        <v>12.941666666666666</v>
      </c>
      <c r="AD53" s="113">
        <f>BBG_EUR!V53/100</f>
        <v>3.4061999999999999E-3</v>
      </c>
      <c r="AE53" s="113">
        <f>BBG_EUR!J53/100</f>
        <v>1.0855300000000002E-2</v>
      </c>
      <c r="AF53" s="116">
        <f>BBG_EUR!X53</f>
        <v>1.0831569999999999</v>
      </c>
      <c r="AG53" s="116">
        <f>BBG_EUR!L53</f>
        <v>0.94038600000000006</v>
      </c>
      <c r="AH53" s="112">
        <f t="shared" si="47"/>
        <v>-6.1532963257696638E-3</v>
      </c>
      <c r="AI53" s="112">
        <f t="shared" si="48"/>
        <v>4.7606728333295933E-3</v>
      </c>
      <c r="AJ53" s="112">
        <f t="shared" si="49"/>
        <v>-5.8158812442032914E-3</v>
      </c>
      <c r="AK53" s="112">
        <f t="shared" si="50"/>
        <v>5.1062919359630143E-3</v>
      </c>
      <c r="AL53" s="143">
        <f t="shared" si="22"/>
        <v>1.2940314507275139</v>
      </c>
      <c r="AM53" s="143">
        <f>BBG_EUR!AA53</f>
        <v>1.293821098</v>
      </c>
      <c r="AN53" s="151">
        <f t="shared" si="23"/>
        <v>0.99983744388330309</v>
      </c>
      <c r="AO53" s="147"/>
    </row>
    <row r="54" spans="1:41" x14ac:dyDescent="0.25">
      <c r="A54" s="38">
        <v>48765</v>
      </c>
      <c r="B54" s="22">
        <v>2.5277777777832301E-5</v>
      </c>
      <c r="C54" s="22">
        <v>1.0256738941858399E-3</v>
      </c>
      <c r="D54" s="22">
        <v>1.02600715460256</v>
      </c>
      <c r="E54" s="22">
        <v>2.8910365436747298E-3</v>
      </c>
      <c r="F54" s="32">
        <v>0.93405807258985496</v>
      </c>
      <c r="G54" s="5">
        <f t="shared" si="0"/>
        <v>13.197222222222223</v>
      </c>
      <c r="H54" s="5">
        <f t="shared" si="71"/>
        <v>-5.7166549753470807E-3</v>
      </c>
      <c r="I54" s="5">
        <f t="shared" si="72"/>
        <v>1.0785962584489805</v>
      </c>
      <c r="J54" s="32">
        <f t="shared" si="1"/>
        <v>1.2972373691733405</v>
      </c>
      <c r="K54" s="22" t="s">
        <v>90</v>
      </c>
      <c r="L54" s="40">
        <f t="shared" si="73"/>
        <v>-23.75</v>
      </c>
      <c r="M54" s="96">
        <v>48765</v>
      </c>
      <c r="N54" s="99">
        <f t="shared" si="41"/>
        <v>48673</v>
      </c>
      <c r="O54" s="38">
        <f t="shared" si="42"/>
        <v>48765</v>
      </c>
      <c r="P54" s="88">
        <f t="shared" si="43"/>
        <v>92</v>
      </c>
      <c r="Q54" s="45">
        <v>10000000</v>
      </c>
      <c r="R54" s="105">
        <f t="shared" si="74"/>
        <v>4.0135065424663306E-3</v>
      </c>
      <c r="S54" s="45">
        <f t="shared" si="44"/>
        <v>10256.738941858399</v>
      </c>
      <c r="T54" s="45">
        <f t="shared" si="45"/>
        <v>252.77777777832301</v>
      </c>
      <c r="V54" s="61">
        <f t="shared" si="75"/>
        <v>-12940314.50727514</v>
      </c>
      <c r="W54" s="47">
        <f t="shared" si="18"/>
        <v>-12972373.691733405</v>
      </c>
      <c r="X54" s="107">
        <f t="shared" si="76"/>
        <v>1.1312751692640247E-2</v>
      </c>
      <c r="Y54" s="47">
        <f t="shared" si="77"/>
        <v>-37410.922127176687</v>
      </c>
      <c r="Z54" s="47">
        <f t="shared" si="78"/>
        <v>32059.184458265081</v>
      </c>
      <c r="AC54" s="122">
        <f t="shared" si="46"/>
        <v>13.197222222222223</v>
      </c>
      <c r="AD54" s="113">
        <f>BBG_EUR!V54/100</f>
        <v>3.5826999999999999E-3</v>
      </c>
      <c r="AE54" s="113">
        <f>BBG_EUR!J54/100</f>
        <v>1.0976999999999999E-2</v>
      </c>
      <c r="AF54" s="116">
        <f>BBG_EUR!X54</f>
        <v>1.083472</v>
      </c>
      <c r="AG54" s="116">
        <f>BBG_EUR!L54</f>
        <v>0.93841600000000003</v>
      </c>
      <c r="AH54" s="112">
        <f t="shared" si="47"/>
        <v>-6.0564018208639769E-3</v>
      </c>
      <c r="AI54" s="112">
        <f t="shared" si="48"/>
        <v>4.8279284442906967E-3</v>
      </c>
      <c r="AJ54" s="112">
        <f t="shared" si="49"/>
        <v>-5.7166549753470131E-3</v>
      </c>
      <c r="AK54" s="112">
        <f t="shared" si="50"/>
        <v>5.1823994504105464E-3</v>
      </c>
      <c r="AL54" s="143">
        <f t="shared" si="22"/>
        <v>1.2972373691733405</v>
      </c>
      <c r="AM54" s="143">
        <f>BBG_EUR!AA54</f>
        <v>1.2968816320000001</v>
      </c>
      <c r="AN54" s="151">
        <f t="shared" si="23"/>
        <v>0.99972577326109013</v>
      </c>
      <c r="AO54" s="147"/>
    </row>
    <row r="55" spans="1:41" x14ac:dyDescent="0.25">
      <c r="A55" s="38">
        <v>48855</v>
      </c>
      <c r="B55" s="22">
        <v>2.44444444443825E-5</v>
      </c>
      <c r="C55" s="22">
        <v>1.0033654532484099E-3</v>
      </c>
      <c r="D55" s="22">
        <v>1.02522710011605</v>
      </c>
      <c r="E55" s="22">
        <v>2.8280991366853498E-3</v>
      </c>
      <c r="F55" s="32">
        <v>0.93195799483585595</v>
      </c>
      <c r="G55" s="5">
        <f t="shared" si="0"/>
        <v>13.447222222222223</v>
      </c>
      <c r="H55" s="5">
        <f t="shared" si="71"/>
        <v>-5.6195857992921453E-3</v>
      </c>
      <c r="I55" s="5">
        <f t="shared" si="72"/>
        <v>1.0787262509161171</v>
      </c>
      <c r="J55" s="32">
        <f t="shared" si="1"/>
        <v>1.3003172642910854</v>
      </c>
      <c r="K55" s="22" t="s">
        <v>90</v>
      </c>
      <c r="L55" s="40">
        <f t="shared" si="73"/>
        <v>-23.75</v>
      </c>
      <c r="M55" s="96">
        <v>48855</v>
      </c>
      <c r="N55" s="99">
        <f t="shared" si="41"/>
        <v>48765</v>
      </c>
      <c r="O55" s="38">
        <f t="shared" si="42"/>
        <v>48855</v>
      </c>
      <c r="P55" s="88">
        <f t="shared" si="43"/>
        <v>90</v>
      </c>
      <c r="Q55" s="45">
        <v>10000000</v>
      </c>
      <c r="R55" s="105">
        <f t="shared" si="74"/>
        <v>4.0134618129936397E-3</v>
      </c>
      <c r="S55" s="45">
        <f t="shared" si="44"/>
        <v>10033.654532484099</v>
      </c>
      <c r="T55" s="45">
        <f t="shared" si="45"/>
        <v>244.44444444382501</v>
      </c>
      <c r="V55" s="61">
        <f t="shared" si="75"/>
        <v>-12972373.691733405</v>
      </c>
      <c r="W55" s="47">
        <f t="shared" si="18"/>
        <v>-13003172.642910855</v>
      </c>
      <c r="X55" s="107">
        <f t="shared" si="76"/>
        <v>1.1312396546741401E-2</v>
      </c>
      <c r="Y55" s="47">
        <f t="shared" si="77"/>
        <v>-36687.158838350988</v>
      </c>
      <c r="Z55" s="47">
        <f t="shared" si="78"/>
        <v>30798.951177449897</v>
      </c>
      <c r="AC55" s="122">
        <f t="shared" si="46"/>
        <v>13.447222222222223</v>
      </c>
      <c r="AD55" s="113">
        <f>BBG_EUR!V55/100</f>
        <v>3.7586999999999998E-3</v>
      </c>
      <c r="AE55" s="113">
        <f>BBG_EUR!J55/100</f>
        <v>1.10969E-2</v>
      </c>
      <c r="AF55" s="116">
        <f>BBG_EUR!X55</f>
        <v>1.0837300000000001</v>
      </c>
      <c r="AG55" s="116">
        <f>BBG_EUR!L55</f>
        <v>0.93646499999999999</v>
      </c>
      <c r="AH55" s="112">
        <f t="shared" si="47"/>
        <v>-5.9617418428152824E-3</v>
      </c>
      <c r="AI55" s="112">
        <f t="shared" si="48"/>
        <v>4.8934724705576027E-3</v>
      </c>
      <c r="AJ55" s="112">
        <f t="shared" si="49"/>
        <v>-5.619585799292115E-3</v>
      </c>
      <c r="AK55" s="112">
        <f t="shared" si="50"/>
        <v>5.2540586198914774E-3</v>
      </c>
      <c r="AL55" s="143">
        <f t="shared" si="22"/>
        <v>1.3003172642910854</v>
      </c>
      <c r="AM55" s="143">
        <f>BBG_EUR!AA55</f>
        <v>1.299927981</v>
      </c>
      <c r="AN55" s="151">
        <f t="shared" si="23"/>
        <v>0.99970062437700724</v>
      </c>
      <c r="AO55" s="147"/>
    </row>
    <row r="56" spans="1:41" x14ac:dyDescent="0.25">
      <c r="A56" s="38">
        <v>48947</v>
      </c>
      <c r="B56" s="22">
        <v>2.4999999999941702E-5</v>
      </c>
      <c r="C56" s="22">
        <v>1.02567389418606E-3</v>
      </c>
      <c r="D56" s="22">
        <v>1.02443032405825</v>
      </c>
      <c r="E56" s="22">
        <v>2.8910365436747298E-3</v>
      </c>
      <c r="F56" s="32">
        <v>0.92981612884478104</v>
      </c>
      <c r="G56" s="5">
        <f t="shared" si="0"/>
        <v>13.702777777777778</v>
      </c>
      <c r="H56" s="5">
        <f t="shared" si="71"/>
        <v>-5.5203595304359901E-3</v>
      </c>
      <c r="I56" s="5">
        <f t="shared" si="72"/>
        <v>1.0788048664457468</v>
      </c>
      <c r="J56" s="32">
        <f t="shared" si="1"/>
        <v>1.3034075763676771</v>
      </c>
      <c r="K56" s="22" t="s">
        <v>90</v>
      </c>
      <c r="L56" s="40">
        <f t="shared" si="73"/>
        <v>-23.75</v>
      </c>
      <c r="M56" s="96">
        <v>48947</v>
      </c>
      <c r="N56" s="99">
        <f t="shared" si="41"/>
        <v>48855</v>
      </c>
      <c r="O56" s="38">
        <f t="shared" si="42"/>
        <v>48947</v>
      </c>
      <c r="P56" s="88">
        <f t="shared" si="43"/>
        <v>92</v>
      </c>
      <c r="Q56" s="45">
        <v>10000000</v>
      </c>
      <c r="R56" s="105">
        <f t="shared" si="74"/>
        <v>4.013506542467191E-3</v>
      </c>
      <c r="S56" s="45">
        <f t="shared" si="44"/>
        <v>10256.7389418606</v>
      </c>
      <c r="T56" s="45">
        <f t="shared" si="45"/>
        <v>249.99999999941701</v>
      </c>
      <c r="V56" s="61">
        <f t="shared" si="75"/>
        <v>-13003172.642910855</v>
      </c>
      <c r="W56" s="47">
        <f t="shared" si="18"/>
        <v>-13034075.763676772</v>
      </c>
      <c r="X56" s="107">
        <f t="shared" si="76"/>
        <v>1.1312751692640247E-2</v>
      </c>
      <c r="Y56" s="47">
        <f t="shared" si="77"/>
        <v>-37592.647294366798</v>
      </c>
      <c r="Z56" s="47">
        <f t="shared" si="78"/>
        <v>30903.120765917003</v>
      </c>
      <c r="AC56" s="122">
        <f t="shared" si="46"/>
        <v>13.702777777777778</v>
      </c>
      <c r="AD56" s="113">
        <f>BBG_EUR!V56/100</f>
        <v>3.9342999999999999E-3</v>
      </c>
      <c r="AE56" s="113">
        <f>BBG_EUR!J56/100</f>
        <v>1.1216500000000001E-2</v>
      </c>
      <c r="AF56" s="116">
        <f>BBG_EUR!X56</f>
        <v>1.083942</v>
      </c>
      <c r="AG56" s="116">
        <f>BBG_EUR!L56</f>
        <v>0.934446</v>
      </c>
      <c r="AH56" s="112">
        <f t="shared" si="47"/>
        <v>-5.8650727823004178E-3</v>
      </c>
      <c r="AI56" s="112">
        <f t="shared" si="48"/>
        <v>4.9602684774041617E-3</v>
      </c>
      <c r="AJ56" s="112">
        <f t="shared" si="49"/>
        <v>-5.5203595304358366E-3</v>
      </c>
      <c r="AK56" s="112">
        <f t="shared" si="50"/>
        <v>5.3246126332737731E-3</v>
      </c>
      <c r="AL56" s="143">
        <f t="shared" si="22"/>
        <v>1.3034075763676771</v>
      </c>
      <c r="AM56" s="143">
        <f>BBG_EUR!AA56</f>
        <v>1.3029599269999999</v>
      </c>
      <c r="AN56" s="151">
        <f t="shared" si="23"/>
        <v>0.99965655457602542</v>
      </c>
      <c r="AO56" s="147"/>
    </row>
    <row r="57" spans="1:41" x14ac:dyDescent="0.25">
      <c r="A57" s="38">
        <v>49037</v>
      </c>
      <c r="B57" s="22">
        <v>2.4999999999941702E-5</v>
      </c>
      <c r="C57" s="22">
        <v>1.0033654532484099E-3</v>
      </c>
      <c r="D57" s="22">
        <v>1.02365146840717</v>
      </c>
      <c r="E57" s="22">
        <v>2.8280991366853498E-3</v>
      </c>
      <c r="F57" s="32">
        <v>0.92772558841180597</v>
      </c>
      <c r="G57" s="5">
        <f t="shared" si="0"/>
        <v>13.952777777777778</v>
      </c>
      <c r="H57" s="5">
        <f t="shared" si="71"/>
        <v>-5.4232903543810556E-3</v>
      </c>
      <c r="I57" s="5">
        <f t="shared" si="72"/>
        <v>1.0788286833567315</v>
      </c>
      <c r="J57" s="32">
        <f t="shared" si="1"/>
        <v>1.3063735203830336</v>
      </c>
      <c r="K57" s="22" t="s">
        <v>90</v>
      </c>
      <c r="L57" s="40">
        <f t="shared" si="73"/>
        <v>-23.75</v>
      </c>
      <c r="M57" s="96">
        <v>49037</v>
      </c>
      <c r="N57" s="99">
        <f t="shared" si="41"/>
        <v>48947</v>
      </c>
      <c r="O57" s="38">
        <f t="shared" si="42"/>
        <v>49037</v>
      </c>
      <c r="P57" s="88">
        <f t="shared" si="43"/>
        <v>90</v>
      </c>
      <c r="Q57" s="45">
        <v>10000000</v>
      </c>
      <c r="R57" s="105">
        <f t="shared" si="74"/>
        <v>4.0134618129936397E-3</v>
      </c>
      <c r="S57" s="45">
        <f t="shared" si="44"/>
        <v>10033.654532484099</v>
      </c>
      <c r="T57" s="45">
        <f t="shared" si="45"/>
        <v>249.99999999941701</v>
      </c>
      <c r="V57" s="61">
        <f t="shared" si="75"/>
        <v>-13034075.763676772</v>
      </c>
      <c r="W57" s="47">
        <f t="shared" si="18"/>
        <v>-13063735.203830335</v>
      </c>
      <c r="X57" s="107">
        <f t="shared" si="76"/>
        <v>1.1312396546741401E-2</v>
      </c>
      <c r="Y57" s="47">
        <f t="shared" si="77"/>
        <v>-36861.658414745718</v>
      </c>
      <c r="Z57" s="47">
        <f t="shared" si="78"/>
        <v>29659.440153563395</v>
      </c>
      <c r="AC57" s="122">
        <f t="shared" si="46"/>
        <v>13.952777777777778</v>
      </c>
      <c r="AD57" s="113">
        <f>BBG_EUR!V57/100</f>
        <v>4.1092000000000004E-3</v>
      </c>
      <c r="AE57" s="113">
        <f>BBG_EUR!J57/100</f>
        <v>1.1334200000000001E-2</v>
      </c>
      <c r="AF57" s="116">
        <f>BBG_EUR!X57</f>
        <v>1.0841000000000001</v>
      </c>
      <c r="AG57" s="116">
        <f>BBG_EUR!L57</f>
        <v>0.93244700000000003</v>
      </c>
      <c r="AH57" s="112">
        <f t="shared" si="47"/>
        <v>-5.7706741147197649E-3</v>
      </c>
      <c r="AI57" s="112">
        <f t="shared" si="48"/>
        <v>5.0254197555863467E-3</v>
      </c>
      <c r="AJ57" s="112">
        <f t="shared" si="49"/>
        <v>-5.4232903543811606E-3</v>
      </c>
      <c r="AK57" s="112">
        <f t="shared" si="50"/>
        <v>5.3911365663825705E-3</v>
      </c>
      <c r="AL57" s="143">
        <f t="shared" si="22"/>
        <v>1.3063735203830336</v>
      </c>
      <c r="AM57" s="143">
        <f>BBG_EUR!AA57</f>
        <v>1.305977253</v>
      </c>
      <c r="AN57" s="151">
        <f t="shared" si="23"/>
        <v>0.99969666609369323</v>
      </c>
      <c r="AO57" s="147"/>
    </row>
    <row r="58" spans="1:41" x14ac:dyDescent="0.25">
      <c r="A58" s="38">
        <v>49128</v>
      </c>
      <c r="B58" s="22">
        <v>2.4999999999941702E-5</v>
      </c>
      <c r="C58" s="22">
        <v>1.01451961157184E-3</v>
      </c>
      <c r="D58" s="22">
        <v>1.0228645608581599</v>
      </c>
      <c r="E58" s="22">
        <v>2.8595673464522002E-3</v>
      </c>
      <c r="F58" s="32">
        <v>0.92561659857982503</v>
      </c>
      <c r="G58" s="5">
        <f t="shared" si="0"/>
        <v>14.205555555555556</v>
      </c>
      <c r="H58" s="5">
        <f t="shared" si="71"/>
        <v>-5.3251426319255099E-3</v>
      </c>
      <c r="I58" s="5">
        <f t="shared" si="72"/>
        <v>1.0787993846708119</v>
      </c>
      <c r="J58" s="32">
        <f t="shared" si="1"/>
        <v>1.3093144943582966</v>
      </c>
      <c r="K58" s="22" t="s">
        <v>90</v>
      </c>
      <c r="L58" s="40">
        <f t="shared" si="73"/>
        <v>-23.75</v>
      </c>
      <c r="M58" s="96">
        <v>49128</v>
      </c>
      <c r="N58" s="99">
        <f t="shared" si="41"/>
        <v>49037</v>
      </c>
      <c r="O58" s="38">
        <f t="shared" si="42"/>
        <v>49128</v>
      </c>
      <c r="P58" s="88">
        <f t="shared" si="43"/>
        <v>91</v>
      </c>
      <c r="Q58" s="45">
        <v>10000000</v>
      </c>
      <c r="R58" s="105">
        <f t="shared" si="74"/>
        <v>4.0134841776468403E-3</v>
      </c>
      <c r="S58" s="45">
        <f t="shared" si="44"/>
        <v>10145.1961157184</v>
      </c>
      <c r="T58" s="45">
        <f t="shared" si="45"/>
        <v>249.99999999941701</v>
      </c>
      <c r="V58" s="61">
        <f t="shared" si="75"/>
        <v>-13063735.203830335</v>
      </c>
      <c r="W58" s="47">
        <f t="shared" si="18"/>
        <v>-13093144.943582967</v>
      </c>
      <c r="X58" s="107">
        <f t="shared" si="76"/>
        <v>1.1312574117832879E-2</v>
      </c>
      <c r="Y58" s="47">
        <f t="shared" si="77"/>
        <v>-37356.630611571301</v>
      </c>
      <c r="Z58" s="47">
        <f t="shared" si="78"/>
        <v>29409.739752631634</v>
      </c>
      <c r="AC58" s="122">
        <f t="shared" si="46"/>
        <v>14.205555555555556</v>
      </c>
      <c r="AD58" s="113">
        <f>BBG_EUR!V58/100</f>
        <v>4.2827999999999998E-3</v>
      </c>
      <c r="AE58" s="113">
        <f>BBG_EUR!J58/100</f>
        <v>1.1450700000000001E-2</v>
      </c>
      <c r="AF58" s="116">
        <f>BBG_EUR!X58</f>
        <v>1.084209</v>
      </c>
      <c r="AG58" s="116">
        <f>BBG_EUR!L58</f>
        <v>0.93040299999999998</v>
      </c>
      <c r="AH58" s="112">
        <f t="shared" si="47"/>
        <v>-5.6753179580355528E-3</v>
      </c>
      <c r="AI58" s="112">
        <f t="shared" si="48"/>
        <v>5.0910310882359422E-3</v>
      </c>
      <c r="AJ58" s="112">
        <f t="shared" si="49"/>
        <v>-5.3251426319255168E-3</v>
      </c>
      <c r="AK58" s="112">
        <f t="shared" si="50"/>
        <v>5.4560232496314587E-3</v>
      </c>
      <c r="AL58" s="143">
        <f t="shared" si="22"/>
        <v>1.3093144943582966</v>
      </c>
      <c r="AM58" s="143">
        <f>BBG_EUR!AA58</f>
        <v>1.308979742</v>
      </c>
      <c r="AN58" s="151">
        <f t="shared" si="23"/>
        <v>0.99974433005993668</v>
      </c>
      <c r="AO58" s="147"/>
    </row>
    <row r="59" spans="1:41" x14ac:dyDescent="0.25">
      <c r="A59" s="38">
        <v>49219</v>
      </c>
      <c r="B59" s="22">
        <v>2.4722222222273099E-5</v>
      </c>
      <c r="C59" s="22">
        <v>1.01451961157184E-3</v>
      </c>
      <c r="D59" s="22">
        <v>1.0220782582254699</v>
      </c>
      <c r="E59" s="22">
        <v>2.8595673464522002E-3</v>
      </c>
      <c r="F59" s="32">
        <v>0.92351240309454197</v>
      </c>
      <c r="G59" s="5">
        <f t="shared" si="0"/>
        <v>14.458333333333334</v>
      </c>
      <c r="H59" s="5">
        <f t="shared" si="71"/>
        <v>-5.2269949094699642E-3</v>
      </c>
      <c r="I59" s="5">
        <f t="shared" si="72"/>
        <v>1.0787164231233464</v>
      </c>
      <c r="J59" s="32">
        <f t="shared" si="1"/>
        <v>1.3121968104338599</v>
      </c>
      <c r="K59" s="22" t="s">
        <v>90</v>
      </c>
      <c r="L59" s="40">
        <f t="shared" si="73"/>
        <v>-23.75</v>
      </c>
      <c r="M59" s="96">
        <v>49219</v>
      </c>
      <c r="N59" s="99">
        <f t="shared" si="41"/>
        <v>49128</v>
      </c>
      <c r="O59" s="38">
        <f t="shared" si="42"/>
        <v>49219</v>
      </c>
      <c r="P59" s="88">
        <f t="shared" si="43"/>
        <v>91</v>
      </c>
      <c r="Q59" s="45">
        <v>10000000</v>
      </c>
      <c r="R59" s="105">
        <f t="shared" si="74"/>
        <v>4.0134841776468403E-3</v>
      </c>
      <c r="S59" s="45">
        <f t="shared" si="44"/>
        <v>10145.1961157184</v>
      </c>
      <c r="T59" s="45">
        <f t="shared" si="45"/>
        <v>247.22222222273101</v>
      </c>
      <c r="V59" s="61">
        <f t="shared" si="75"/>
        <v>-13093144.943582967</v>
      </c>
      <c r="W59" s="47">
        <f t="shared" si="18"/>
        <v>-13121968.104338599</v>
      </c>
      <c r="X59" s="107">
        <f t="shared" si="76"/>
        <v>1.1312574117832879E-2</v>
      </c>
      <c r="Y59" s="47">
        <f t="shared" si="77"/>
        <v>-37440.72974303559</v>
      </c>
      <c r="Z59" s="47">
        <f t="shared" si="78"/>
        <v>28823.160755632445</v>
      </c>
      <c r="AC59" s="122">
        <f t="shared" si="46"/>
        <v>14.458333333333334</v>
      </c>
      <c r="AD59" s="113">
        <f>BBG_EUR!V59/100</f>
        <v>4.4567000000000001E-3</v>
      </c>
      <c r="AE59" s="113">
        <f>BBG_EUR!J59/100</f>
        <v>1.15666E-2</v>
      </c>
      <c r="AF59" s="116">
        <f>BBG_EUR!X59</f>
        <v>1.084268</v>
      </c>
      <c r="AG59" s="116">
        <f>BBG_EUR!L59</f>
        <v>0.92833500000000002</v>
      </c>
      <c r="AH59" s="112">
        <f t="shared" si="47"/>
        <v>-5.5801151247544256E-3</v>
      </c>
      <c r="AI59" s="112">
        <f t="shared" si="48"/>
        <v>5.1564851053700345E-3</v>
      </c>
      <c r="AJ59" s="112">
        <f t="shared" si="49"/>
        <v>-5.2269949094700952E-3</v>
      </c>
      <c r="AK59" s="112">
        <f t="shared" si="50"/>
        <v>5.5186450511741647E-3</v>
      </c>
      <c r="AL59" s="143">
        <f t="shared" si="22"/>
        <v>1.3121968104338599</v>
      </c>
      <c r="AM59" s="143">
        <f>BBG_EUR!AA59</f>
        <v>1.3119671769999999</v>
      </c>
      <c r="AN59" s="151">
        <f t="shared" si="23"/>
        <v>0.9998250007681514</v>
      </c>
      <c r="AO59" s="147"/>
    </row>
    <row r="60" spans="1:41" x14ac:dyDescent="0.25">
      <c r="A60" s="38">
        <v>49311</v>
      </c>
      <c r="B60" s="22">
        <v>2.4999999999941702E-5</v>
      </c>
      <c r="C60" s="22">
        <v>1.02567389418606E-3</v>
      </c>
      <c r="D60" s="22">
        <v>1.0212839293540801</v>
      </c>
      <c r="E60" s="22">
        <v>2.8910365436747298E-3</v>
      </c>
      <c r="F60" s="32">
        <v>0.92138994712604905</v>
      </c>
      <c r="G60" s="5">
        <f t="shared" si="0"/>
        <v>14.713888888888889</v>
      </c>
      <c r="H60" s="5">
        <f t="shared" si="71"/>
        <v>-5.127768640613809E-3</v>
      </c>
      <c r="I60" s="5">
        <f t="shared" si="72"/>
        <v>1.078578020003788</v>
      </c>
      <c r="J60" s="32">
        <f t="shared" si="1"/>
        <v>1.3150507572300381</v>
      </c>
      <c r="K60" s="22" t="s">
        <v>90</v>
      </c>
      <c r="L60" s="40">
        <f t="shared" si="73"/>
        <v>-23.75</v>
      </c>
      <c r="M60" s="96">
        <v>49311</v>
      </c>
      <c r="N60" s="99">
        <f t="shared" si="41"/>
        <v>49219</v>
      </c>
      <c r="O60" s="38">
        <f t="shared" si="42"/>
        <v>49311</v>
      </c>
      <c r="P60" s="88">
        <f t="shared" si="43"/>
        <v>92</v>
      </c>
      <c r="Q60" s="45">
        <v>10000000</v>
      </c>
      <c r="R60" s="105">
        <f t="shared" si="74"/>
        <v>4.013506542467191E-3</v>
      </c>
      <c r="S60" s="45">
        <f t="shared" si="44"/>
        <v>10256.7389418606</v>
      </c>
      <c r="T60" s="45">
        <f t="shared" si="45"/>
        <v>249.99999999941701</v>
      </c>
      <c r="V60" s="61">
        <f t="shared" si="75"/>
        <v>-13121968.104338599</v>
      </c>
      <c r="W60" s="47">
        <f t="shared" si="18"/>
        <v>-13150507.57230038</v>
      </c>
      <c r="X60" s="107">
        <f t="shared" si="76"/>
        <v>1.1312751692640247E-2</v>
      </c>
      <c r="Y60" s="47">
        <f t="shared" si="77"/>
        <v>-37936.089314577112</v>
      </c>
      <c r="Z60" s="47">
        <f t="shared" si="78"/>
        <v>28539.467961780727</v>
      </c>
      <c r="AC60" s="122">
        <f t="shared" si="46"/>
        <v>14.713888888888889</v>
      </c>
      <c r="AD60" s="113">
        <f>BBG_EUR!V60/100</f>
        <v>4.6309999999999997E-3</v>
      </c>
      <c r="AE60" s="113">
        <f>BBG_EUR!J60/100</f>
        <v>1.16822E-2</v>
      </c>
      <c r="AF60" s="116">
        <f>BBG_EUR!X60</f>
        <v>1.0842769999999999</v>
      </c>
      <c r="AG60" s="116">
        <f>BBG_EUR!L60</f>
        <v>0.92622199999999999</v>
      </c>
      <c r="AH60" s="112">
        <f t="shared" si="47"/>
        <v>-5.4840251357053393E-3</v>
      </c>
      <c r="AI60" s="112">
        <f t="shared" si="48"/>
        <v>5.2223639556101542E-3</v>
      </c>
      <c r="AJ60" s="112">
        <f t="shared" si="49"/>
        <v>-5.1277686406139278E-3</v>
      </c>
      <c r="AK60" s="112">
        <f t="shared" si="50"/>
        <v>5.5797715424330541E-3</v>
      </c>
      <c r="AL60" s="143">
        <f t="shared" si="22"/>
        <v>1.3150507572300381</v>
      </c>
      <c r="AM60" s="143">
        <f>BBG_EUR!AA60</f>
        <v>1.3149393439999999</v>
      </c>
      <c r="AN60" s="151">
        <f t="shared" si="23"/>
        <v>0.99991527838037764</v>
      </c>
      <c r="AO60" s="147"/>
    </row>
    <row r="61" spans="1:41" x14ac:dyDescent="0.25">
      <c r="A61" s="38">
        <v>49401</v>
      </c>
      <c r="B61" s="22">
        <v>2.4999999999941702E-5</v>
      </c>
      <c r="C61" s="22">
        <v>1.0033654532481901E-3</v>
      </c>
      <c r="D61" s="22">
        <v>1.02050746584939</v>
      </c>
      <c r="E61" s="22">
        <v>2.8280991366853498E-3</v>
      </c>
      <c r="F61" s="32">
        <v>0.91931835159307296</v>
      </c>
      <c r="G61" s="5">
        <f t="shared" si="0"/>
        <v>14.963888888888889</v>
      </c>
      <c r="H61" s="5">
        <f t="shared" si="71"/>
        <v>-5.0306994645588736E-3</v>
      </c>
      <c r="I61" s="5">
        <f t="shared" si="72"/>
        <v>1.078389600694837</v>
      </c>
      <c r="J61" s="32">
        <f t="shared" si="1"/>
        <v>1.3177838507425137</v>
      </c>
      <c r="K61" s="22" t="s">
        <v>90</v>
      </c>
      <c r="L61" s="40">
        <f t="shared" si="73"/>
        <v>-23.75</v>
      </c>
      <c r="M61" s="96">
        <v>49401</v>
      </c>
      <c r="N61" s="99">
        <f t="shared" si="41"/>
        <v>49311</v>
      </c>
      <c r="O61" s="38">
        <f t="shared" si="42"/>
        <v>49401</v>
      </c>
      <c r="P61" s="88">
        <f t="shared" si="43"/>
        <v>90</v>
      </c>
      <c r="Q61" s="45">
        <v>10000000</v>
      </c>
      <c r="R61" s="105">
        <f t="shared" si="74"/>
        <v>4.0134618129927602E-3</v>
      </c>
      <c r="S61" s="45">
        <f t="shared" si="44"/>
        <v>10033.6545324819</v>
      </c>
      <c r="T61" s="45">
        <f t="shared" si="45"/>
        <v>249.99999999941701</v>
      </c>
      <c r="V61" s="61">
        <f t="shared" si="75"/>
        <v>-13150507.57230038</v>
      </c>
      <c r="W61" s="47">
        <f t="shared" si="18"/>
        <v>-13177838.507425137</v>
      </c>
      <c r="X61" s="107">
        <f t="shared" si="76"/>
        <v>1.1312396546741401E-2</v>
      </c>
      <c r="Y61" s="47">
        <f t="shared" si="77"/>
        <v>-37190.939112196858</v>
      </c>
      <c r="Z61" s="47">
        <f t="shared" si="78"/>
        <v>27330.935124756768</v>
      </c>
      <c r="AC61" s="122">
        <f t="shared" si="46"/>
        <v>14.963888888888889</v>
      </c>
      <c r="AD61" s="113">
        <f>BBG_EUR!V61/100</f>
        <v>4.8035999999999999E-3</v>
      </c>
      <c r="AE61" s="113">
        <f>BBG_EUR!J61/100</f>
        <v>1.17955E-2</v>
      </c>
      <c r="AF61" s="116">
        <f>BBG_EUR!X61</f>
        <v>1.084236</v>
      </c>
      <c r="AG61" s="116">
        <f>BBG_EUR!L61</f>
        <v>0.92413299999999998</v>
      </c>
      <c r="AH61" s="112">
        <f t="shared" si="47"/>
        <v>-5.3901382486870597E-3</v>
      </c>
      <c r="AI61" s="112">
        <f t="shared" si="48"/>
        <v>5.2865701493625128E-3</v>
      </c>
      <c r="AJ61" s="112">
        <f t="shared" si="49"/>
        <v>-5.0306994645589187E-3</v>
      </c>
      <c r="AK61" s="112">
        <f t="shared" si="50"/>
        <v>5.6375523470142408E-3</v>
      </c>
      <c r="AL61" s="143">
        <f t="shared" si="22"/>
        <v>1.3177838507425137</v>
      </c>
      <c r="AM61" s="143">
        <f>BBG_EUR!AA61</f>
        <v>1.3178960259999999</v>
      </c>
      <c r="AN61" s="151">
        <f t="shared" si="23"/>
        <v>1.0000851241707227</v>
      </c>
      <c r="AO61" s="147"/>
    </row>
    <row r="62" spans="1:41" x14ac:dyDescent="0.25">
      <c r="A62" s="39">
        <v>49492</v>
      </c>
      <c r="B62" s="11">
        <v>2.4999999999941702E-5</v>
      </c>
      <c r="C62" s="11">
        <v>1.0145196115720601E-3</v>
      </c>
      <c r="D62" s="11">
        <v>1.01972297517704</v>
      </c>
      <c r="E62" s="11">
        <v>2.8595673464522002E-3</v>
      </c>
      <c r="F62" s="33">
        <v>0.917228473853274</v>
      </c>
      <c r="G62" s="11">
        <f t="shared" si="0"/>
        <v>15.216666666666667</v>
      </c>
      <c r="H62" s="11">
        <f t="shared" si="71"/>
        <v>-4.9325517421033279E-3</v>
      </c>
      <c r="I62" s="11">
        <f t="shared" si="72"/>
        <v>1.0781458044232688</v>
      </c>
      <c r="J62" s="33">
        <f t="shared" si="1"/>
        <v>1.3204877859939288</v>
      </c>
      <c r="K62" s="11" t="s">
        <v>90</v>
      </c>
      <c r="L62" s="41">
        <f t="shared" si="73"/>
        <v>-23.75</v>
      </c>
      <c r="M62" s="95">
        <v>49492</v>
      </c>
      <c r="N62" s="9">
        <f t="shared" si="41"/>
        <v>49401</v>
      </c>
      <c r="O62" s="39">
        <f t="shared" si="42"/>
        <v>49492</v>
      </c>
      <c r="P62" s="87">
        <f t="shared" si="43"/>
        <v>91</v>
      </c>
      <c r="Q62" s="46">
        <v>10000000</v>
      </c>
      <c r="R62" s="106">
        <f t="shared" si="74"/>
        <v>4.0134841776477102E-3</v>
      </c>
      <c r="S62" s="46">
        <f t="shared" si="44"/>
        <v>10145.196115720601</v>
      </c>
      <c r="T62" s="46">
        <f t="shared" si="45"/>
        <v>249.99999999941701</v>
      </c>
      <c r="U62" s="50">
        <f>Q62</f>
        <v>10000000</v>
      </c>
      <c r="V62" s="62">
        <f t="shared" si="75"/>
        <v>-13177838.507425137</v>
      </c>
      <c r="W62" s="46">
        <f t="shared" si="18"/>
        <v>-13204877.859939288</v>
      </c>
      <c r="X62" s="106">
        <f t="shared" si="76"/>
        <v>1.1312574117832879E-2</v>
      </c>
      <c r="Y62" s="46">
        <f t="shared" si="77"/>
        <v>-37682.916692653322</v>
      </c>
      <c r="Z62" s="46">
        <f t="shared" si="78"/>
        <v>27039.352514151484</v>
      </c>
      <c r="AA62" s="50">
        <f>W62</f>
        <v>-13204877.859939288</v>
      </c>
      <c r="AC62" s="122">
        <f t="shared" si="46"/>
        <v>15.216666666666667</v>
      </c>
      <c r="AD62" s="113">
        <f>BBG_EUR!V62/100</f>
        <v>4.9747999999999997E-3</v>
      </c>
      <c r="AE62" s="113">
        <f>BBG_EUR!J62/100</f>
        <v>1.19077E-2</v>
      </c>
      <c r="AF62" s="116">
        <f>BBG_EUR!X62</f>
        <v>1.0841449999999999</v>
      </c>
      <c r="AG62" s="116">
        <f>BBG_EUR!L62</f>
        <v>0.92199900000000001</v>
      </c>
      <c r="AH62" s="112">
        <f t="shared" si="47"/>
        <v>-5.2953488683120664E-3</v>
      </c>
      <c r="AI62" s="112">
        <f t="shared" si="48"/>
        <v>5.3512532816077929E-3</v>
      </c>
      <c r="AJ62" s="112">
        <f t="shared" si="49"/>
        <v>-4.9325517421031639E-3</v>
      </c>
      <c r="AK62" s="112">
        <f t="shared" si="50"/>
        <v>5.6940480072777966E-3</v>
      </c>
      <c r="AL62" s="143">
        <f t="shared" si="22"/>
        <v>1.3204877859939288</v>
      </c>
      <c r="AM62" s="143">
        <f>BBG_EUR!AA62</f>
        <v>1.3208370089999999</v>
      </c>
      <c r="AN62" s="151">
        <f t="shared" si="23"/>
        <v>1.0002644651542978</v>
      </c>
      <c r="AO62" s="147"/>
    </row>
    <row r="63" spans="1:41" x14ac:dyDescent="0.25">
      <c r="A63" s="38">
        <v>49584</v>
      </c>
      <c r="B63" s="22">
        <v>2.4999999999941702E-5</v>
      </c>
      <c r="C63" s="22">
        <v>7.7795989409112898E-4</v>
      </c>
      <c r="D63" s="22">
        <v>1.01910722480748</v>
      </c>
      <c r="E63" s="22">
        <v>2.8830343747885401E-3</v>
      </c>
      <c r="F63" s="32">
        <v>0.91507795802693703</v>
      </c>
      <c r="G63" s="5">
        <f t="shared" si="0"/>
        <v>15.472222222222221</v>
      </c>
      <c r="H63" s="5">
        <f t="shared" si="71"/>
        <v>-4.8714180301200711E-3</v>
      </c>
      <c r="I63" s="5">
        <f t="shared" si="72"/>
        <v>1.078483453007959</v>
      </c>
      <c r="J63" s="32">
        <f t="shared" si="1"/>
        <v>1.324005567483548</v>
      </c>
      <c r="K63" s="22" t="s">
        <v>91</v>
      </c>
      <c r="L63" s="40">
        <f t="shared" si="73"/>
        <v>-20.374999999999996</v>
      </c>
      <c r="M63" s="96">
        <v>49584</v>
      </c>
      <c r="N63" s="99">
        <f t="shared" si="41"/>
        <v>49492</v>
      </c>
      <c r="O63" s="38">
        <f t="shared" si="42"/>
        <v>49584</v>
      </c>
      <c r="P63" s="88">
        <f t="shared" si="43"/>
        <v>92</v>
      </c>
      <c r="Q63" s="45">
        <v>10000000</v>
      </c>
      <c r="R63" s="105">
        <f t="shared" si="74"/>
        <v>3.0441908899218094E-3</v>
      </c>
      <c r="S63" s="45">
        <f t="shared" si="44"/>
        <v>7779.5989409112899</v>
      </c>
      <c r="T63" s="45">
        <f t="shared" si="45"/>
        <v>249.99999999941701</v>
      </c>
      <c r="V63" s="61">
        <f t="shared" si="75"/>
        <v>-13204877.859939288</v>
      </c>
      <c r="W63" s="47">
        <f t="shared" si="18"/>
        <v>-13240055.674835481</v>
      </c>
      <c r="X63" s="107">
        <f t="shared" si="76"/>
        <v>1.12814388578682E-2</v>
      </c>
      <c r="Y63" s="47">
        <f t="shared" si="77"/>
        <v>-38070.1167850891</v>
      </c>
      <c r="Z63" s="47">
        <f t="shared" si="78"/>
        <v>35177.814896192402</v>
      </c>
      <c r="AC63" s="122">
        <f t="shared" si="46"/>
        <v>15.472222222222221</v>
      </c>
      <c r="AD63" s="113">
        <f>BBG_EUR!V63/100</f>
        <v>2.2694E-3</v>
      </c>
      <c r="AE63" s="113">
        <f>BBG_EUR!J63/100</f>
        <v>1.0559600000000001E-2</v>
      </c>
      <c r="AF63" s="116">
        <f>BBG_EUR!X63</f>
        <v>1.084651</v>
      </c>
      <c r="AG63" s="116">
        <f>BBG_EUR!L63</f>
        <v>0.92017000000000004</v>
      </c>
      <c r="AH63" s="112">
        <f t="shared" si="47"/>
        <v>-5.2381143924552509E-3</v>
      </c>
      <c r="AI63" s="112">
        <f t="shared" si="48"/>
        <v>5.391657749770129E-3</v>
      </c>
      <c r="AJ63" s="112">
        <f t="shared" si="49"/>
        <v>-4.8714180301199228E-3</v>
      </c>
      <c r="AK63" s="112">
        <f t="shared" si="50"/>
        <v>5.7523101288436962E-3</v>
      </c>
      <c r="AL63" s="143">
        <f t="shared" si="22"/>
        <v>1.324005567483548</v>
      </c>
      <c r="AM63" s="143">
        <f>BBG_EUR!AA63</f>
        <v>1.324066658</v>
      </c>
      <c r="AN63" s="151">
        <f t="shared" si="23"/>
        <v>1.0000461406794294</v>
      </c>
      <c r="AO63" s="147"/>
    </row>
    <row r="64" spans="1:41" x14ac:dyDescent="0.25">
      <c r="A64" s="38">
        <v>49676</v>
      </c>
      <c r="B64" s="22">
        <v>2.4999999999941702E-5</v>
      </c>
      <c r="C64" s="22">
        <v>7.7795989409090705E-4</v>
      </c>
      <c r="D64" s="22">
        <v>1.01849184625314</v>
      </c>
      <c r="E64" s="22">
        <v>2.8830343747885401E-3</v>
      </c>
      <c r="F64" s="32">
        <v>0.91293248425767803</v>
      </c>
      <c r="G64" s="5">
        <f t="shared" si="0"/>
        <v>15.727777777777778</v>
      </c>
      <c r="H64" s="5">
        <f t="shared" si="71"/>
        <v>-4.8102843181368152E-3</v>
      </c>
      <c r="I64" s="5">
        <f t="shared" si="72"/>
        <v>1.0787873968698116</v>
      </c>
      <c r="J64" s="32">
        <f t="shared" si="1"/>
        <v>1.3274911152153515</v>
      </c>
      <c r="K64" s="22" t="s">
        <v>91</v>
      </c>
      <c r="L64" s="40">
        <f t="shared" si="73"/>
        <v>-20.374999999999996</v>
      </c>
      <c r="M64" s="96">
        <v>49676</v>
      </c>
      <c r="N64" s="99">
        <f t="shared" si="41"/>
        <v>49584</v>
      </c>
      <c r="O64" s="38">
        <f t="shared" si="42"/>
        <v>49676</v>
      </c>
      <c r="P64" s="88">
        <f t="shared" si="43"/>
        <v>92</v>
      </c>
      <c r="Q64" s="45">
        <v>10000000</v>
      </c>
      <c r="R64" s="105">
        <f t="shared" si="74"/>
        <v>3.0441908899209403E-3</v>
      </c>
      <c r="S64" s="45">
        <f t="shared" si="44"/>
        <v>7779.5989409090707</v>
      </c>
      <c r="T64" s="45">
        <f t="shared" si="45"/>
        <v>249.99999999941701</v>
      </c>
      <c r="V64" s="61">
        <f t="shared" si="75"/>
        <v>-13240055.674835481</v>
      </c>
      <c r="W64" s="47">
        <f t="shared" si="18"/>
        <v>-13274911.152153514</v>
      </c>
      <c r="X64" s="107">
        <f t="shared" si="76"/>
        <v>1.12814388578682E-2</v>
      </c>
      <c r="Y64" s="47">
        <f t="shared" si="77"/>
        <v>-38171.535634664775</v>
      </c>
      <c r="Z64" s="47">
        <f t="shared" si="78"/>
        <v>34855.477318033576</v>
      </c>
      <c r="AC64" s="122">
        <f t="shared" si="46"/>
        <v>15.727777777777778</v>
      </c>
      <c r="AD64" s="113">
        <f>BBG_EUR!V64/100</f>
        <v>2.3525999999999998E-3</v>
      </c>
      <c r="AE64" s="113">
        <f>BBG_EUR!J64/100</f>
        <v>1.06315E-2</v>
      </c>
      <c r="AF64" s="116">
        <f>BBG_EUR!X64</f>
        <v>1.08514</v>
      </c>
      <c r="AG64" s="116">
        <f>BBG_EUR!L64</f>
        <v>0.91834099999999996</v>
      </c>
      <c r="AH64" s="112">
        <f t="shared" si="47"/>
        <v>-5.1817320714535597E-3</v>
      </c>
      <c r="AI64" s="112">
        <f t="shared" si="48"/>
        <v>5.4310032925106722E-3</v>
      </c>
      <c r="AJ64" s="112">
        <f t="shared" si="49"/>
        <v>-4.8102843181366817E-3</v>
      </c>
      <c r="AK64" s="112">
        <f t="shared" si="50"/>
        <v>5.8086820983149767E-3</v>
      </c>
      <c r="AL64" s="143">
        <f t="shared" si="22"/>
        <v>1.3274911152153515</v>
      </c>
      <c r="AM64" s="143">
        <f>BBG_EUR!AA64</f>
        <v>1.3272683510000001</v>
      </c>
      <c r="AN64" s="151">
        <f t="shared" si="23"/>
        <v>0.99983219155834779</v>
      </c>
      <c r="AO64" s="147"/>
    </row>
    <row r="65" spans="1:41" x14ac:dyDescent="0.25">
      <c r="A65" s="38">
        <v>49767</v>
      </c>
      <c r="B65" s="22">
        <v>2.4999999999941702E-5</v>
      </c>
      <c r="C65" s="22">
        <v>7.6950055564295396E-4</v>
      </c>
      <c r="D65" s="22">
        <v>1.0178835221510301</v>
      </c>
      <c r="E65" s="22">
        <v>2.8516524056860699E-3</v>
      </c>
      <c r="F65" s="32">
        <v>0.91081527941555396</v>
      </c>
      <c r="G65" s="5">
        <f t="shared" si="0"/>
        <v>15.980555555555556</v>
      </c>
      <c r="H65" s="5">
        <f t="shared" si="71"/>
        <v>-4.7498151030229419E-3</v>
      </c>
      <c r="I65" s="5">
        <f t="shared" si="72"/>
        <v>1.0790548548704693</v>
      </c>
      <c r="J65" s="32">
        <f t="shared" si="1"/>
        <v>1.3309067725997399</v>
      </c>
      <c r="K65" s="22" t="s">
        <v>91</v>
      </c>
      <c r="L65" s="40">
        <f t="shared" si="73"/>
        <v>-20.374999999999996</v>
      </c>
      <c r="M65" s="96">
        <v>49767</v>
      </c>
      <c r="N65" s="99">
        <f t="shared" si="41"/>
        <v>49676</v>
      </c>
      <c r="O65" s="38">
        <f t="shared" si="42"/>
        <v>49767</v>
      </c>
      <c r="P65" s="88">
        <f t="shared" si="43"/>
        <v>91</v>
      </c>
      <c r="Q65" s="45">
        <v>10000000</v>
      </c>
      <c r="R65" s="105">
        <f t="shared" si="74"/>
        <v>3.0441780223237742E-3</v>
      </c>
      <c r="S65" s="45">
        <f t="shared" si="44"/>
        <v>7695.0055564295399</v>
      </c>
      <c r="T65" s="45">
        <f t="shared" si="45"/>
        <v>249.99999999941701</v>
      </c>
      <c r="V65" s="61">
        <f t="shared" si="75"/>
        <v>-13274911.152153514</v>
      </c>
      <c r="W65" s="47">
        <f t="shared" si="18"/>
        <v>-13309067.7259974</v>
      </c>
      <c r="X65" s="107">
        <f t="shared" si="76"/>
        <v>1.1281262264252585E-2</v>
      </c>
      <c r="Y65" s="47">
        <f t="shared" si="77"/>
        <v>-37855.43232230741</v>
      </c>
      <c r="Z65" s="47">
        <f t="shared" si="78"/>
        <v>34156.573843885213</v>
      </c>
      <c r="AC65" s="122">
        <f t="shared" si="46"/>
        <v>15.980555555555556</v>
      </c>
      <c r="AD65" s="113">
        <f>BBG_EUR!V65/100</f>
        <v>2.4351999999999998E-3</v>
      </c>
      <c r="AE65" s="113">
        <f>BBG_EUR!J65/100</f>
        <v>1.0702100000000001E-2</v>
      </c>
      <c r="AF65" s="116">
        <f>BBG_EUR!X65</f>
        <v>1.0855950000000001</v>
      </c>
      <c r="AG65" s="116">
        <f>BBG_EUR!L65</f>
        <v>0.91651899999999997</v>
      </c>
      <c r="AH65" s="112">
        <f t="shared" si="47"/>
        <v>-5.1260762135336702E-3</v>
      </c>
      <c r="AI65" s="112">
        <f t="shared" si="48"/>
        <v>5.4698143920677289E-3</v>
      </c>
      <c r="AJ65" s="112">
        <f t="shared" si="49"/>
        <v>-4.7498151030229696E-3</v>
      </c>
      <c r="AK65" s="112">
        <f t="shared" si="50"/>
        <v>5.8626706180746613E-3</v>
      </c>
      <c r="AL65" s="143">
        <f t="shared" si="22"/>
        <v>1.3309067725997399</v>
      </c>
      <c r="AM65" s="143">
        <f>BBG_EUR!AA65</f>
        <v>1.330570392</v>
      </c>
      <c r="AN65" s="151">
        <f t="shared" si="23"/>
        <v>0.9997472545735997</v>
      </c>
      <c r="AO65" s="147"/>
    </row>
    <row r="66" spans="1:41" x14ac:dyDescent="0.25">
      <c r="A66" s="38">
        <v>49858</v>
      </c>
      <c r="B66" s="22">
        <v>2.4999999999941702E-5</v>
      </c>
      <c r="C66" s="22">
        <v>7.6950055564295396E-4</v>
      </c>
      <c r="D66" s="22">
        <v>1.01727556138832</v>
      </c>
      <c r="E66" s="22">
        <v>2.85165240568585E-3</v>
      </c>
      <c r="F66" s="32">
        <v>0.908702984636792</v>
      </c>
      <c r="G66" s="5">
        <f t="shared" ref="G66:G129" si="79">YEARFRAC($BH$2,$A66,2)</f>
        <v>16.233333333333334</v>
      </c>
      <c r="H66" s="5">
        <f t="shared" si="71"/>
        <v>-4.6893458879090685E-3</v>
      </c>
      <c r="I66" s="5">
        <f t="shared" si="72"/>
        <v>1.079289290412959</v>
      </c>
      <c r="J66" s="32">
        <f t="shared" ref="J66:J129" si="80">$BI$2*I66/F66</f>
        <v>1.3342903119599008</v>
      </c>
      <c r="K66" s="22" t="s">
        <v>91</v>
      </c>
      <c r="L66" s="40">
        <f t="shared" si="73"/>
        <v>-20.374999999999996</v>
      </c>
      <c r="M66" s="96">
        <v>49858</v>
      </c>
      <c r="N66" s="99">
        <f t="shared" si="41"/>
        <v>49767</v>
      </c>
      <c r="O66" s="38">
        <f t="shared" si="42"/>
        <v>49858</v>
      </c>
      <c r="P66" s="88">
        <f t="shared" si="43"/>
        <v>91</v>
      </c>
      <c r="Q66" s="45">
        <v>10000000</v>
      </c>
      <c r="R66" s="105">
        <f t="shared" si="74"/>
        <v>3.0441780223237742E-3</v>
      </c>
      <c r="S66" s="45">
        <f t="shared" si="44"/>
        <v>7695.0055564295399</v>
      </c>
      <c r="T66" s="45">
        <f t="shared" si="45"/>
        <v>249.99999999941701</v>
      </c>
      <c r="V66" s="61">
        <f t="shared" si="75"/>
        <v>-13309067.7259974</v>
      </c>
      <c r="W66" s="47">
        <f t="shared" si="18"/>
        <v>-13342903.119599007</v>
      </c>
      <c r="X66" s="107">
        <f t="shared" si="76"/>
        <v>1.1281262264251714E-2</v>
      </c>
      <c r="Y66" s="47">
        <f t="shared" si="77"/>
        <v>-37952.83499827639</v>
      </c>
      <c r="Z66" s="47">
        <f t="shared" si="78"/>
        <v>33835.393601607531</v>
      </c>
      <c r="AC66" s="122">
        <f t="shared" si="46"/>
        <v>16.233333333333334</v>
      </c>
      <c r="AD66" s="113">
        <f>BBG_EUR!V66/100</f>
        <v>2.5171999999999998E-3</v>
      </c>
      <c r="AE66" s="113">
        <f>BBG_EUR!J66/100</f>
        <v>1.0771900000000001E-2</v>
      </c>
      <c r="AF66" s="116">
        <f>BBG_EUR!X66</f>
        <v>1.0860209999999999</v>
      </c>
      <c r="AG66" s="116">
        <f>BBG_EUR!L66</f>
        <v>0.91468499999999997</v>
      </c>
      <c r="AH66" s="112">
        <f t="shared" si="47"/>
        <v>-5.0705033290635582E-3</v>
      </c>
      <c r="AI66" s="112">
        <f t="shared" si="48"/>
        <v>5.5084756283643177E-3</v>
      </c>
      <c r="AJ66" s="112">
        <f t="shared" si="49"/>
        <v>-4.6893458879089245E-3</v>
      </c>
      <c r="AK66" s="112">
        <f t="shared" si="50"/>
        <v>5.9149805344738127E-3</v>
      </c>
      <c r="AL66" s="143">
        <f t="shared" si="22"/>
        <v>1.3342903119599008</v>
      </c>
      <c r="AM66" s="143">
        <f>BBG_EUR!AA66</f>
        <v>1.3337618849999999</v>
      </c>
      <c r="AN66" s="151">
        <f t="shared" si="23"/>
        <v>0.99960396402854435</v>
      </c>
      <c r="AO66" s="147"/>
    </row>
    <row r="67" spans="1:41" x14ac:dyDescent="0.25">
      <c r="A67" s="38">
        <v>49950</v>
      </c>
      <c r="B67" s="22">
        <v>2.4999999999941702E-5</v>
      </c>
      <c r="C67" s="22">
        <v>7.7795989409090705E-4</v>
      </c>
      <c r="D67" s="22">
        <v>1.01666128886714</v>
      </c>
      <c r="E67" s="22">
        <v>2.8830343747885401E-3</v>
      </c>
      <c r="F67" s="32">
        <v>0.90657245750466797</v>
      </c>
      <c r="G67" s="5">
        <f t="shared" si="79"/>
        <v>16.488888888888887</v>
      </c>
      <c r="H67" s="5">
        <f t="shared" ref="H67:H98" si="81">RE_MATH_LinearInterpolation($BY$3:$BY$35,$CA$3:$CA$35,$G67)</f>
        <v>-4.6282121759258126E-3</v>
      </c>
      <c r="I67" s="5">
        <f t="shared" ref="I67:I98" si="82">(1+H67)^-$G67</f>
        <v>1.0794927144885038</v>
      </c>
      <c r="J67" s="32">
        <f t="shared" si="80"/>
        <v>1.3376780922667075</v>
      </c>
      <c r="K67" s="22" t="s">
        <v>91</v>
      </c>
      <c r="L67" s="40">
        <f t="shared" ref="L67:L98" si="83">VLOOKUP($K67,$BG$21:$BI$35,3,FALSE)*10000</f>
        <v>-20.374999999999996</v>
      </c>
      <c r="M67" s="96">
        <v>49950</v>
      </c>
      <c r="N67" s="99">
        <f t="shared" si="41"/>
        <v>49858</v>
      </c>
      <c r="O67" s="38">
        <f t="shared" si="42"/>
        <v>49950</v>
      </c>
      <c r="P67" s="88">
        <f t="shared" si="43"/>
        <v>92</v>
      </c>
      <c r="Q67" s="45">
        <v>10000000</v>
      </c>
      <c r="R67" s="105">
        <f t="shared" ref="R67:R98" si="84">C67*360/P67</f>
        <v>3.0441908899209403E-3</v>
      </c>
      <c r="S67" s="45">
        <f t="shared" si="44"/>
        <v>7779.5989409090707</v>
      </c>
      <c r="T67" s="45">
        <f t="shared" si="45"/>
        <v>249.99999999941701</v>
      </c>
      <c r="V67" s="61">
        <f t="shared" ref="V67:V98" si="85">W66</f>
        <v>-13342903.119599007</v>
      </c>
      <c r="W67" s="47">
        <f t="shared" ref="W67:W130" si="86">-Q67*J67</f>
        <v>-13376780.922667075</v>
      </c>
      <c r="X67" s="107">
        <f t="shared" ref="X67:X98" si="87">E67*360/P67</f>
        <v>1.12814388578682E-2</v>
      </c>
      <c r="Y67" s="47">
        <f t="shared" ref="Y67:Y98" si="88">V67*E67</f>
        <v>-38468.048353277183</v>
      </c>
      <c r="Z67" s="47">
        <f t="shared" ref="Z67:Z98" si="89">V67-W67</f>
        <v>33877.803068067878</v>
      </c>
      <c r="AC67" s="122">
        <f t="shared" si="46"/>
        <v>16.488888888888887</v>
      </c>
      <c r="AD67" s="113">
        <f>BBG_EUR!V67/100</f>
        <v>2.5995000000000002E-3</v>
      </c>
      <c r="AE67" s="113">
        <f>BBG_EUR!J67/100</f>
        <v>1.08416E-2</v>
      </c>
      <c r="AF67" s="116">
        <f>BBG_EUR!X67</f>
        <v>1.086422</v>
      </c>
      <c r="AG67" s="116">
        <f>BBG_EUR!L67</f>
        <v>0.91281800000000002</v>
      </c>
      <c r="AH67" s="112">
        <f t="shared" si="47"/>
        <v>-5.0143908226746303E-3</v>
      </c>
      <c r="AI67" s="112">
        <f t="shared" si="48"/>
        <v>5.5474656227409991E-3</v>
      </c>
      <c r="AJ67" s="112">
        <f t="shared" si="49"/>
        <v>-4.6282121759256833E-3</v>
      </c>
      <c r="AK67" s="112">
        <f t="shared" si="50"/>
        <v>5.9662375481428498E-3</v>
      </c>
      <c r="AL67" s="143">
        <f t="shared" ref="AL67:AL122" si="90">J67</f>
        <v>1.3376780922667075</v>
      </c>
      <c r="AM67" s="143">
        <f>BBG_EUR!AA67</f>
        <v>1.336983158</v>
      </c>
      <c r="AN67" s="151">
        <f t="shared" ref="AN67:AN122" si="91">AM67/AL67</f>
        <v>0.99948049215224122</v>
      </c>
      <c r="AO67" s="147"/>
    </row>
    <row r="68" spans="1:41" x14ac:dyDescent="0.25">
      <c r="A68" s="38">
        <v>50042</v>
      </c>
      <c r="B68" s="22">
        <v>2.4999999999941702E-5</v>
      </c>
      <c r="C68" s="22">
        <v>7.7795989409112898E-4</v>
      </c>
      <c r="D68" s="22">
        <v>1.0160473872687901</v>
      </c>
      <c r="E68" s="22">
        <v>2.8830343747883098E-3</v>
      </c>
      <c r="F68" s="32">
        <v>0.904446925564524</v>
      </c>
      <c r="G68" s="5">
        <f t="shared" si="79"/>
        <v>16.744444444444444</v>
      </c>
      <c r="H68" s="5">
        <f t="shared" si="81"/>
        <v>-4.5670784639425558E-3</v>
      </c>
      <c r="I68" s="5">
        <f t="shared" si="82"/>
        <v>1.0796623514104664</v>
      </c>
      <c r="J68" s="32">
        <f t="shared" si="80"/>
        <v>1.3410324600500718</v>
      </c>
      <c r="K68" s="22" t="s">
        <v>91</v>
      </c>
      <c r="L68" s="40">
        <f t="shared" si="83"/>
        <v>-20.374999999999996</v>
      </c>
      <c r="M68" s="96">
        <v>50042</v>
      </c>
      <c r="N68" s="99">
        <f t="shared" ref="N68:N131" si="92">M67</f>
        <v>49950</v>
      </c>
      <c r="O68" s="38">
        <f t="shared" ref="O68:O131" si="93">M68</f>
        <v>50042</v>
      </c>
      <c r="P68" s="88">
        <f t="shared" ref="P68:P131" si="94">O68-N68</f>
        <v>92</v>
      </c>
      <c r="Q68" s="45">
        <v>10000000</v>
      </c>
      <c r="R68" s="105">
        <f t="shared" si="84"/>
        <v>3.0441908899218094E-3</v>
      </c>
      <c r="S68" s="45">
        <f t="shared" ref="S68:S131" si="95">Q68*$C68</f>
        <v>7779.5989409112899</v>
      </c>
      <c r="T68" s="45">
        <f t="shared" ref="T68:T131" si="96">Q68*$B68</f>
        <v>249.99999999941701</v>
      </c>
      <c r="V68" s="61">
        <f t="shared" si="85"/>
        <v>-13376780.922667075</v>
      </c>
      <c r="W68" s="47">
        <f t="shared" si="86"/>
        <v>-13410324.600500718</v>
      </c>
      <c r="X68" s="107">
        <f t="shared" si="87"/>
        <v>1.1281438857867299E-2</v>
      </c>
      <c r="Y68" s="47">
        <f t="shared" si="88"/>
        <v>-38565.719224061657</v>
      </c>
      <c r="Z68" s="47">
        <f t="shared" si="89"/>
        <v>33543.677833642811</v>
      </c>
      <c r="AC68" s="122">
        <f t="shared" ref="AC68:AC122" si="97">$G68</f>
        <v>16.744444444444444</v>
      </c>
      <c r="AD68" s="113">
        <f>BBG_EUR!V68/100</f>
        <v>2.6821000000000002E-3</v>
      </c>
      <c r="AE68" s="113">
        <f>BBG_EUR!J68/100</f>
        <v>1.0910899999999999E-2</v>
      </c>
      <c r="AF68" s="116">
        <f>BBG_EUR!X68</f>
        <v>1.086794</v>
      </c>
      <c r="AG68" s="116">
        <f>BBG_EUR!L68</f>
        <v>0.91093999999999997</v>
      </c>
      <c r="AH68" s="112">
        <f t="shared" ref="AH68:AH122" si="98">AF68^(-1/$G68)-1</f>
        <v>-4.958394311280423E-3</v>
      </c>
      <c r="AI68" s="112">
        <f t="shared" ref="AI68:AI122" si="99">AG68^(-1/$G68)-1</f>
        <v>5.5862433349140872E-3</v>
      </c>
      <c r="AJ68" s="112">
        <f t="shared" ref="AJ68:AJ122" si="100">I68^(-1/$G68)-1</f>
        <v>-4.5670784639425532E-3</v>
      </c>
      <c r="AK68" s="112">
        <f t="shared" ref="AK68:AK122" si="101">F68^(-1/$G68)-1</f>
        <v>6.0159324748962906E-3</v>
      </c>
      <c r="AL68" s="143">
        <f t="shared" si="90"/>
        <v>1.3410324600500718</v>
      </c>
      <c r="AM68" s="143">
        <f>BBG_EUR!AA68</f>
        <v>1.340164058</v>
      </c>
      <c r="AN68" s="151">
        <f t="shared" si="91"/>
        <v>0.99935243771053883</v>
      </c>
      <c r="AO68" s="147"/>
    </row>
    <row r="69" spans="1:41" x14ac:dyDescent="0.25">
      <c r="A69" s="38">
        <v>50132</v>
      </c>
      <c r="B69" s="22">
        <v>2.4999999999941702E-5</v>
      </c>
      <c r="C69" s="22">
        <v>7.6104128870002597E-4</v>
      </c>
      <c r="D69" s="22">
        <v>1.0154471900573701</v>
      </c>
      <c r="E69" s="22">
        <v>2.8202714185803202E-3</v>
      </c>
      <c r="F69" s="32">
        <v>0.90237242307557297</v>
      </c>
      <c r="G69" s="5">
        <f t="shared" si="79"/>
        <v>16.994444444444444</v>
      </c>
      <c r="H69" s="5">
        <f t="shared" si="81"/>
        <v>-4.5072737456980658E-3</v>
      </c>
      <c r="I69" s="5">
        <f t="shared" si="82"/>
        <v>1.0797955948544091</v>
      </c>
      <c r="J69" s="32">
        <f t="shared" si="80"/>
        <v>1.3442812969893383</v>
      </c>
      <c r="K69" s="22" t="s">
        <v>91</v>
      </c>
      <c r="L69" s="40">
        <f t="shared" si="83"/>
        <v>-20.374999999999996</v>
      </c>
      <c r="M69" s="96">
        <v>50132</v>
      </c>
      <c r="N69" s="99">
        <f t="shared" si="92"/>
        <v>50042</v>
      </c>
      <c r="O69" s="38">
        <f t="shared" si="93"/>
        <v>50132</v>
      </c>
      <c r="P69" s="88">
        <f t="shared" si="94"/>
        <v>90</v>
      </c>
      <c r="Q69" s="45">
        <v>10000000</v>
      </c>
      <c r="R69" s="105">
        <f t="shared" si="84"/>
        <v>3.0441651548001043E-3</v>
      </c>
      <c r="S69" s="45">
        <f t="shared" si="95"/>
        <v>7610.4128870002596</v>
      </c>
      <c r="T69" s="45">
        <f t="shared" si="96"/>
        <v>249.99999999941701</v>
      </c>
      <c r="V69" s="61">
        <f t="shared" si="85"/>
        <v>-13410324.600500718</v>
      </c>
      <c r="W69" s="47">
        <f t="shared" si="86"/>
        <v>-13442812.969893383</v>
      </c>
      <c r="X69" s="107">
        <f t="shared" si="87"/>
        <v>1.1281085674321279E-2</v>
      </c>
      <c r="Y69" s="47">
        <f t="shared" si="88"/>
        <v>-37820.755184676724</v>
      </c>
      <c r="Z69" s="47">
        <f t="shared" si="89"/>
        <v>32488.369392665103</v>
      </c>
      <c r="AC69" s="122">
        <f t="shared" si="97"/>
        <v>16.994444444444444</v>
      </c>
      <c r="AD69" s="113">
        <f>BBG_EUR!V69/100</f>
        <v>2.7635999999999997E-3</v>
      </c>
      <c r="AE69" s="113">
        <f>BBG_EUR!J69/100</f>
        <v>1.0978399999999999E-2</v>
      </c>
      <c r="AF69" s="116">
        <f>BBG_EUR!X69</f>
        <v>1.087129</v>
      </c>
      <c r="AG69" s="116">
        <f>BBG_EUR!L69</f>
        <v>0.90908999999999995</v>
      </c>
      <c r="AH69" s="112">
        <f t="shared" si="98"/>
        <v>-4.90367787589574E-3</v>
      </c>
      <c r="AI69" s="112">
        <f t="shared" si="99"/>
        <v>5.6241291548446704E-3</v>
      </c>
      <c r="AJ69" s="112">
        <f t="shared" si="100"/>
        <v>-4.5072737456980372E-3</v>
      </c>
      <c r="AK69" s="112">
        <f t="shared" si="101"/>
        <v>6.0631031470661512E-3</v>
      </c>
      <c r="AL69" s="143">
        <f t="shared" si="90"/>
        <v>1.3442812969893383</v>
      </c>
      <c r="AM69" s="143">
        <f>BBG_EUR!AA69</f>
        <v>1.343339501</v>
      </c>
      <c r="AN69" s="151">
        <f t="shared" si="91"/>
        <v>0.99929940556976615</v>
      </c>
      <c r="AO69" s="147"/>
    </row>
    <row r="70" spans="1:41" x14ac:dyDescent="0.25">
      <c r="A70" s="38">
        <v>50223</v>
      </c>
      <c r="B70" s="22">
        <v>2.4999999999941702E-5</v>
      </c>
      <c r="C70" s="22">
        <v>7.6950055564295396E-4</v>
      </c>
      <c r="D70" s="22">
        <v>1.0148406844654001</v>
      </c>
      <c r="E70" s="22">
        <v>2.85165240568585E-3</v>
      </c>
      <c r="F70" s="32">
        <v>0.90027970833874504</v>
      </c>
      <c r="G70" s="5">
        <f t="shared" si="79"/>
        <v>17.247222222222224</v>
      </c>
      <c r="H70" s="5">
        <f t="shared" si="81"/>
        <v>-4.4468045305841924E-3</v>
      </c>
      <c r="I70" s="5">
        <f t="shared" si="82"/>
        <v>1.0798974220353823</v>
      </c>
      <c r="J70" s="32">
        <f t="shared" si="80"/>
        <v>1.3475331640575845</v>
      </c>
      <c r="K70" s="22" t="s">
        <v>91</v>
      </c>
      <c r="L70" s="40">
        <f t="shared" si="83"/>
        <v>-20.374999999999996</v>
      </c>
      <c r="M70" s="96">
        <v>50223</v>
      </c>
      <c r="N70" s="99">
        <f t="shared" si="92"/>
        <v>50132</v>
      </c>
      <c r="O70" s="38">
        <f t="shared" si="93"/>
        <v>50223</v>
      </c>
      <c r="P70" s="88">
        <f t="shared" si="94"/>
        <v>91</v>
      </c>
      <c r="Q70" s="45">
        <v>10000000</v>
      </c>
      <c r="R70" s="105">
        <f t="shared" si="84"/>
        <v>3.0441780223237742E-3</v>
      </c>
      <c r="S70" s="45">
        <f t="shared" si="95"/>
        <v>7695.0055564295399</v>
      </c>
      <c r="T70" s="45">
        <f t="shared" si="96"/>
        <v>249.99999999941701</v>
      </c>
      <c r="V70" s="61">
        <f t="shared" si="85"/>
        <v>-13442812.969893383</v>
      </c>
      <c r="W70" s="47">
        <f t="shared" si="86"/>
        <v>-13475331.640575845</v>
      </c>
      <c r="X70" s="107">
        <f t="shared" si="87"/>
        <v>1.1281262264251714E-2</v>
      </c>
      <c r="Y70" s="47">
        <f t="shared" si="88"/>
        <v>-38334.229944781415</v>
      </c>
      <c r="Z70" s="47">
        <f t="shared" si="89"/>
        <v>32518.670682461932</v>
      </c>
      <c r="AC70" s="122">
        <f t="shared" si="97"/>
        <v>17.247222222222224</v>
      </c>
      <c r="AD70" s="113">
        <f>BBG_EUR!V70/100</f>
        <v>2.8446000000000001E-3</v>
      </c>
      <c r="AE70" s="113">
        <f>BBG_EUR!J70/100</f>
        <v>1.10454E-2</v>
      </c>
      <c r="AF70" s="116">
        <f>BBG_EUR!X70</f>
        <v>1.0874379999999999</v>
      </c>
      <c r="AG70" s="116">
        <f>BBG_EUR!L70</f>
        <v>0.90720900000000004</v>
      </c>
      <c r="AH70" s="112">
        <f t="shared" si="98"/>
        <v>-4.8483807251041844E-3</v>
      </c>
      <c r="AI70" s="112">
        <f t="shared" si="99"/>
        <v>5.6622374272610188E-3</v>
      </c>
      <c r="AJ70" s="112">
        <f t="shared" si="100"/>
        <v>-4.4468045305841031E-3</v>
      </c>
      <c r="AK70" s="112">
        <f t="shared" si="101"/>
        <v>6.1094097271150449E-3</v>
      </c>
      <c r="AL70" s="143">
        <f t="shared" si="90"/>
        <v>1.3475331640575845</v>
      </c>
      <c r="AM70" s="143">
        <f>BBG_EUR!AA70</f>
        <v>1.3465093640000001</v>
      </c>
      <c r="AN70" s="151">
        <f t="shared" si="91"/>
        <v>0.99924024129061018</v>
      </c>
      <c r="AO70" s="147"/>
    </row>
    <row r="71" spans="1:41" x14ac:dyDescent="0.25">
      <c r="A71" s="38">
        <v>50315</v>
      </c>
      <c r="B71" s="22">
        <v>2.4999999999941702E-5</v>
      </c>
      <c r="C71" s="22">
        <v>7.7795989409112898E-4</v>
      </c>
      <c r="D71" s="22">
        <v>1.0142278822223301</v>
      </c>
      <c r="E71" s="22">
        <v>2.8830343747885401E-3</v>
      </c>
      <c r="F71" s="32">
        <v>0.898168930254437</v>
      </c>
      <c r="G71" s="5">
        <f t="shared" si="79"/>
        <v>17.502777777777776</v>
      </c>
      <c r="H71" s="5">
        <f t="shared" si="81"/>
        <v>-4.3856708186009357E-3</v>
      </c>
      <c r="I71" s="5">
        <f t="shared" si="82"/>
        <v>1.0799667360179923</v>
      </c>
      <c r="J71" s="32">
        <f t="shared" si="80"/>
        <v>1.3507866843032774</v>
      </c>
      <c r="K71" s="22" t="s">
        <v>91</v>
      </c>
      <c r="L71" s="40">
        <f t="shared" si="83"/>
        <v>-20.374999999999996</v>
      </c>
      <c r="M71" s="96">
        <v>50315</v>
      </c>
      <c r="N71" s="99">
        <f t="shared" si="92"/>
        <v>50223</v>
      </c>
      <c r="O71" s="38">
        <f t="shared" si="93"/>
        <v>50315</v>
      </c>
      <c r="P71" s="88">
        <f t="shared" si="94"/>
        <v>92</v>
      </c>
      <c r="Q71" s="45">
        <v>10000000</v>
      </c>
      <c r="R71" s="105">
        <f t="shared" si="84"/>
        <v>3.0441908899218094E-3</v>
      </c>
      <c r="S71" s="45">
        <f t="shared" si="95"/>
        <v>7779.5989409112899</v>
      </c>
      <c r="T71" s="45">
        <f t="shared" si="96"/>
        <v>249.99999999941701</v>
      </c>
      <c r="V71" s="61">
        <f t="shared" si="85"/>
        <v>-13475331.640575845</v>
      </c>
      <c r="W71" s="47">
        <f t="shared" si="86"/>
        <v>-13507866.843032774</v>
      </c>
      <c r="X71" s="107">
        <f t="shared" si="87"/>
        <v>1.12814388578682E-2</v>
      </c>
      <c r="Y71" s="47">
        <f t="shared" si="88"/>
        <v>-38849.84433145581</v>
      </c>
      <c r="Z71" s="47">
        <f t="shared" si="89"/>
        <v>32535.20245692879</v>
      </c>
      <c r="AC71" s="122">
        <f t="shared" si="97"/>
        <v>17.502777777777776</v>
      </c>
      <c r="AD71" s="113">
        <f>BBG_EUR!V71/100</f>
        <v>2.9261999999999999E-3</v>
      </c>
      <c r="AE71" s="113">
        <f>BBG_EUR!J71/100</f>
        <v>1.1112500000000001E-2</v>
      </c>
      <c r="AF71" s="116">
        <f>BBG_EUR!X71</f>
        <v>1.0877220000000001</v>
      </c>
      <c r="AG71" s="116">
        <f>BBG_EUR!L71</f>
        <v>0.90529499999999996</v>
      </c>
      <c r="AH71" s="112">
        <f t="shared" si="98"/>
        <v>-4.7926075600925877E-3</v>
      </c>
      <c r="AI71" s="112">
        <f t="shared" si="99"/>
        <v>5.7006806058599313E-3</v>
      </c>
      <c r="AJ71" s="112">
        <f t="shared" si="100"/>
        <v>-4.385670818601084E-3</v>
      </c>
      <c r="AK71" s="112">
        <f t="shared" si="101"/>
        <v>6.1548675823253074E-3</v>
      </c>
      <c r="AL71" s="143">
        <f t="shared" si="90"/>
        <v>1.3507866843032774</v>
      </c>
      <c r="AM71" s="143">
        <f>BBG_EUR!AA71</f>
        <v>1.349708259</v>
      </c>
      <c r="AN71" s="151">
        <f t="shared" si="91"/>
        <v>0.99920163167448339</v>
      </c>
      <c r="AO71" s="147"/>
    </row>
    <row r="72" spans="1:41" x14ac:dyDescent="0.25">
      <c r="A72" s="38">
        <v>50409</v>
      </c>
      <c r="B72" s="22">
        <v>2.55555555555009E-5</v>
      </c>
      <c r="C72" s="22">
        <v>7.9487878550343796E-4</v>
      </c>
      <c r="D72" s="22">
        <v>1.0136021403785</v>
      </c>
      <c r="E72" s="22">
        <v>2.9458012591070302E-3</v>
      </c>
      <c r="F72" s="32">
        <v>0.89601737703809903</v>
      </c>
      <c r="G72" s="5">
        <f t="shared" si="79"/>
        <v>17.763888888888889</v>
      </c>
      <c r="H72" s="5">
        <f t="shared" si="81"/>
        <v>-4.3232081128789131E-3</v>
      </c>
      <c r="I72" s="5">
        <f t="shared" si="82"/>
        <v>1.0800026266839653</v>
      </c>
      <c r="J72" s="32">
        <f t="shared" si="80"/>
        <v>1.3540752466513579</v>
      </c>
      <c r="K72" s="22" t="s">
        <v>91</v>
      </c>
      <c r="L72" s="40">
        <f t="shared" si="83"/>
        <v>-20.374999999999996</v>
      </c>
      <c r="M72" s="96">
        <v>50409</v>
      </c>
      <c r="N72" s="99">
        <f t="shared" si="92"/>
        <v>50315</v>
      </c>
      <c r="O72" s="38">
        <f t="shared" si="93"/>
        <v>50409</v>
      </c>
      <c r="P72" s="88">
        <f t="shared" si="94"/>
        <v>94</v>
      </c>
      <c r="Q72" s="45">
        <v>10000000</v>
      </c>
      <c r="R72" s="105">
        <f t="shared" si="84"/>
        <v>3.0442166253323156E-3</v>
      </c>
      <c r="S72" s="45">
        <f t="shared" si="95"/>
        <v>7948.7878550343794</v>
      </c>
      <c r="T72" s="45">
        <f t="shared" si="96"/>
        <v>255.55555555500899</v>
      </c>
      <c r="V72" s="61">
        <f t="shared" si="85"/>
        <v>-13507866.843032774</v>
      </c>
      <c r="W72" s="47">
        <f t="shared" si="86"/>
        <v>-13540752.46651358</v>
      </c>
      <c r="X72" s="107">
        <f t="shared" si="87"/>
        <v>1.1281792056154583E-2</v>
      </c>
      <c r="Y72" s="47">
        <f t="shared" si="88"/>
        <v>-39791.49115405605</v>
      </c>
      <c r="Z72" s="47">
        <f t="shared" si="89"/>
        <v>32885.623480806127</v>
      </c>
      <c r="AC72" s="122">
        <f t="shared" si="97"/>
        <v>17.763888888888889</v>
      </c>
      <c r="AD72" s="113">
        <f>BBG_EUR!V72/100</f>
        <v>3.009E-3</v>
      </c>
      <c r="AE72" s="113">
        <f>BBG_EUR!J72/100</f>
        <v>1.11802E-2</v>
      </c>
      <c r="AF72" s="116">
        <f>BBG_EUR!X72</f>
        <v>1.087982</v>
      </c>
      <c r="AG72" s="116">
        <f>BBG_EUR!L72</f>
        <v>0.90332800000000002</v>
      </c>
      <c r="AH72" s="112">
        <f t="shared" si="98"/>
        <v>-4.7357185096611465E-3</v>
      </c>
      <c r="AI72" s="112">
        <f t="shared" si="99"/>
        <v>5.7397938770296086E-3</v>
      </c>
      <c r="AJ72" s="112">
        <f t="shared" si="100"/>
        <v>-4.3232081128788957E-3</v>
      </c>
      <c r="AK72" s="112">
        <f t="shared" si="101"/>
        <v>6.1999647868535845E-3</v>
      </c>
      <c r="AL72" s="143">
        <f t="shared" si="90"/>
        <v>1.3540752466513579</v>
      </c>
      <c r="AM72" s="143">
        <f>BBG_EUR!AA72</f>
        <v>1.3528665179999999</v>
      </c>
      <c r="AN72" s="151">
        <f t="shared" si="91"/>
        <v>0.99910734011691948</v>
      </c>
      <c r="AO72" s="147"/>
    </row>
    <row r="73" spans="1:41" x14ac:dyDescent="0.25">
      <c r="A73" s="38">
        <v>50497</v>
      </c>
      <c r="B73" s="22">
        <v>2.44444444443825E-5</v>
      </c>
      <c r="C73" s="22">
        <v>7.44122969325689E-4</v>
      </c>
      <c r="D73" s="22">
        <v>1.0130166893913199</v>
      </c>
      <c r="E73" s="22">
        <v>2.7575123902365802E-3</v>
      </c>
      <c r="F73" s="32">
        <v>0.89400782829398795</v>
      </c>
      <c r="G73" s="5">
        <f t="shared" si="79"/>
        <v>18.008333333333333</v>
      </c>
      <c r="H73" s="5">
        <f t="shared" si="81"/>
        <v>-4.2647323883731898E-3</v>
      </c>
      <c r="I73" s="5">
        <f t="shared" si="82"/>
        <v>1.0800042289269658</v>
      </c>
      <c r="J73" s="32">
        <f t="shared" si="80"/>
        <v>1.357120947242507</v>
      </c>
      <c r="K73" s="22" t="s">
        <v>91</v>
      </c>
      <c r="L73" s="40">
        <f t="shared" si="83"/>
        <v>-20.374999999999996</v>
      </c>
      <c r="M73" s="96">
        <v>50497</v>
      </c>
      <c r="N73" s="99">
        <f t="shared" si="92"/>
        <v>50409</v>
      </c>
      <c r="O73" s="38">
        <f t="shared" si="93"/>
        <v>50497</v>
      </c>
      <c r="P73" s="88">
        <f t="shared" si="94"/>
        <v>88</v>
      </c>
      <c r="Q73" s="45">
        <v>10000000</v>
      </c>
      <c r="R73" s="105">
        <f t="shared" si="84"/>
        <v>3.0441394199687277E-3</v>
      </c>
      <c r="S73" s="45">
        <f t="shared" si="95"/>
        <v>7441.2296932568897</v>
      </c>
      <c r="T73" s="45">
        <f t="shared" si="96"/>
        <v>244.44444444382501</v>
      </c>
      <c r="V73" s="61">
        <f t="shared" si="85"/>
        <v>-13540752.46651358</v>
      </c>
      <c r="W73" s="47">
        <f t="shared" si="86"/>
        <v>-13571209.47242507</v>
      </c>
      <c r="X73" s="107">
        <f t="shared" si="87"/>
        <v>1.1280732505513284E-2</v>
      </c>
      <c r="Y73" s="47">
        <f t="shared" si="88"/>
        <v>-37338.792699537727</v>
      </c>
      <c r="Z73" s="47">
        <f t="shared" si="89"/>
        <v>30457.005911489949</v>
      </c>
      <c r="AC73" s="122">
        <f t="shared" si="97"/>
        <v>18.008333333333333</v>
      </c>
      <c r="AD73" s="113">
        <f>BBG_EUR!V73/100</f>
        <v>3.0897000000000003E-3</v>
      </c>
      <c r="AE73" s="113">
        <f>BBG_EUR!J73/100</f>
        <v>1.1244400000000002E-2</v>
      </c>
      <c r="AF73" s="116">
        <f>BBG_EUR!X73</f>
        <v>1.088198</v>
      </c>
      <c r="AG73" s="116">
        <f>BBG_EUR!L73</f>
        <v>0.90147600000000006</v>
      </c>
      <c r="AH73" s="112">
        <f t="shared" si="98"/>
        <v>-4.6825582687820555E-3</v>
      </c>
      <c r="AI73" s="112">
        <f t="shared" si="99"/>
        <v>5.7762777172047919E-3</v>
      </c>
      <c r="AJ73" s="112">
        <f t="shared" si="100"/>
        <v>-4.2647323883733268E-3</v>
      </c>
      <c r="AK73" s="112">
        <f t="shared" si="101"/>
        <v>6.2409999804382554E-3</v>
      </c>
      <c r="AL73" s="143">
        <f t="shared" si="90"/>
        <v>1.357120947242507</v>
      </c>
      <c r="AM73" s="143">
        <f>BBG_EUR!AA73</f>
        <v>1.356018817</v>
      </c>
      <c r="AN73" s="151">
        <f t="shared" si="91"/>
        <v>0.99918789092103666</v>
      </c>
      <c r="AO73" s="147"/>
    </row>
    <row r="74" spans="1:41" x14ac:dyDescent="0.25">
      <c r="A74" s="38">
        <v>50588</v>
      </c>
      <c r="B74" s="22">
        <v>2.4999999999941702E-5</v>
      </c>
      <c r="C74" s="22">
        <v>7.6950055564295396E-4</v>
      </c>
      <c r="D74" s="22">
        <v>1.0124116354871</v>
      </c>
      <c r="E74" s="22">
        <v>2.85165240568585E-3</v>
      </c>
      <c r="F74" s="32">
        <v>0.89193451210073105</v>
      </c>
      <c r="G74" s="5">
        <f t="shared" si="79"/>
        <v>18.261111111111113</v>
      </c>
      <c r="H74" s="5">
        <f t="shared" si="81"/>
        <v>-4.2042631732593164E-3</v>
      </c>
      <c r="I74" s="5">
        <f t="shared" si="82"/>
        <v>1.0799733456378326</v>
      </c>
      <c r="J74" s="32">
        <f t="shared" si="80"/>
        <v>1.3602366990285528</v>
      </c>
      <c r="K74" s="22" t="s">
        <v>91</v>
      </c>
      <c r="L74" s="40">
        <f t="shared" si="83"/>
        <v>-20.374999999999996</v>
      </c>
      <c r="M74" s="96">
        <v>50588</v>
      </c>
      <c r="N74" s="99">
        <f t="shared" si="92"/>
        <v>50497</v>
      </c>
      <c r="O74" s="38">
        <f t="shared" si="93"/>
        <v>50588</v>
      </c>
      <c r="P74" s="88">
        <f t="shared" si="94"/>
        <v>91</v>
      </c>
      <c r="Q74" s="45">
        <v>10000000</v>
      </c>
      <c r="R74" s="105">
        <f t="shared" si="84"/>
        <v>3.0441780223237742E-3</v>
      </c>
      <c r="S74" s="45">
        <f t="shared" si="95"/>
        <v>7695.0055564295399</v>
      </c>
      <c r="T74" s="45">
        <f t="shared" si="96"/>
        <v>249.99999999941701</v>
      </c>
      <c r="V74" s="61">
        <f t="shared" si="85"/>
        <v>-13571209.47242507</v>
      </c>
      <c r="W74" s="47">
        <f t="shared" si="86"/>
        <v>-13602366.990285529</v>
      </c>
      <c r="X74" s="107">
        <f t="shared" si="87"/>
        <v>1.1281262264251714E-2</v>
      </c>
      <c r="Y74" s="47">
        <f t="shared" si="88"/>
        <v>-38700.372140107545</v>
      </c>
      <c r="Z74" s="47">
        <f t="shared" si="89"/>
        <v>31157.517860459164</v>
      </c>
      <c r="AC74" s="122">
        <f t="shared" si="97"/>
        <v>18.261111111111113</v>
      </c>
      <c r="AD74" s="113">
        <f>BBG_EUR!V74/100</f>
        <v>3.1691000000000002E-3</v>
      </c>
      <c r="AE74" s="113">
        <f>BBG_EUR!J74/100</f>
        <v>1.1308499999999999E-2</v>
      </c>
      <c r="AF74" s="116">
        <f>BBG_EUR!X74</f>
        <v>1.0883929999999999</v>
      </c>
      <c r="AG74" s="116">
        <f>BBG_EUR!L74</f>
        <v>0.89955099999999999</v>
      </c>
      <c r="AH74" s="112">
        <f t="shared" si="98"/>
        <v>-4.6276569829559744E-3</v>
      </c>
      <c r="AI74" s="112">
        <f t="shared" si="99"/>
        <v>5.8138278450485803E-3</v>
      </c>
      <c r="AJ74" s="112">
        <f t="shared" si="100"/>
        <v>-4.2042631732592817E-3</v>
      </c>
      <c r="AK74" s="112">
        <f t="shared" si="101"/>
        <v>6.2822803730868682E-3</v>
      </c>
      <c r="AL74" s="143">
        <f t="shared" si="90"/>
        <v>1.3602366990285528</v>
      </c>
      <c r="AM74" s="143">
        <f>BBG_EUR!AA74</f>
        <v>1.35916503</v>
      </c>
      <c r="AN74" s="151">
        <f t="shared" si="91"/>
        <v>0.99921214518817336</v>
      </c>
      <c r="AO74" s="147"/>
    </row>
    <row r="75" spans="1:41" x14ac:dyDescent="0.25">
      <c r="A75" s="38">
        <v>50682</v>
      </c>
      <c r="B75" s="22">
        <v>2.55555555555009E-5</v>
      </c>
      <c r="C75" s="22">
        <v>7.9487878550366098E-4</v>
      </c>
      <c r="D75" s="22">
        <v>1.01178701420168</v>
      </c>
      <c r="E75" s="22">
        <v>2.9458012591070302E-3</v>
      </c>
      <c r="F75" s="32">
        <v>0.88979789336050197</v>
      </c>
      <c r="G75" s="5">
        <f t="shared" si="79"/>
        <v>18.522222222222222</v>
      </c>
      <c r="H75" s="5">
        <f t="shared" si="81"/>
        <v>-4.1418004675372929E-3</v>
      </c>
      <c r="I75" s="5">
        <f t="shared" si="82"/>
        <v>1.0799067108168103</v>
      </c>
      <c r="J75" s="32">
        <f t="shared" si="80"/>
        <v>1.363418825762593</v>
      </c>
      <c r="K75" s="22" t="s">
        <v>91</v>
      </c>
      <c r="L75" s="40">
        <f t="shared" si="83"/>
        <v>-20.374999999999996</v>
      </c>
      <c r="M75" s="96">
        <v>50682</v>
      </c>
      <c r="N75" s="99">
        <f t="shared" si="92"/>
        <v>50588</v>
      </c>
      <c r="O75" s="38">
        <f t="shared" si="93"/>
        <v>50682</v>
      </c>
      <c r="P75" s="88">
        <f t="shared" si="94"/>
        <v>94</v>
      </c>
      <c r="Q75" s="45">
        <v>10000000</v>
      </c>
      <c r="R75" s="105">
        <f t="shared" si="84"/>
        <v>3.0442166253331696E-3</v>
      </c>
      <c r="S75" s="45">
        <f t="shared" si="95"/>
        <v>7948.7878550366095</v>
      </c>
      <c r="T75" s="45">
        <f t="shared" si="96"/>
        <v>255.55555555500899</v>
      </c>
      <c r="V75" s="61">
        <f t="shared" si="85"/>
        <v>-13602366.990285529</v>
      </c>
      <c r="W75" s="47">
        <f t="shared" si="86"/>
        <v>-13634188.25762593</v>
      </c>
      <c r="X75" s="107">
        <f t="shared" si="87"/>
        <v>1.1281792056154583E-2</v>
      </c>
      <c r="Y75" s="47">
        <f t="shared" si="88"/>
        <v>-40069.869806819013</v>
      </c>
      <c r="Z75" s="47">
        <f t="shared" si="89"/>
        <v>31821.267340401188</v>
      </c>
      <c r="AC75" s="122">
        <f t="shared" si="97"/>
        <v>18.522222222222222</v>
      </c>
      <c r="AD75" s="113">
        <f>BBG_EUR!V75/100</f>
        <v>3.2508999999999997E-3</v>
      </c>
      <c r="AE75" s="113">
        <f>BBG_EUR!J75/100</f>
        <v>1.13741E-2</v>
      </c>
      <c r="AF75" s="116">
        <f>BBG_EUR!X75</f>
        <v>1.0885640000000001</v>
      </c>
      <c r="AG75" s="116">
        <f>BBG_EUR!L75</f>
        <v>0.89755099999999999</v>
      </c>
      <c r="AH75" s="112">
        <f t="shared" si="98"/>
        <v>-4.5710120902056062E-3</v>
      </c>
      <c r="AI75" s="112">
        <f t="shared" si="99"/>
        <v>5.8525003936360509E-3</v>
      </c>
      <c r="AJ75" s="112">
        <f t="shared" si="100"/>
        <v>-4.1418004675373155E-3</v>
      </c>
      <c r="AK75" s="112">
        <f t="shared" si="101"/>
        <v>6.3237403032223582E-3</v>
      </c>
      <c r="AL75" s="143">
        <f t="shared" si="90"/>
        <v>1.363418825762593</v>
      </c>
      <c r="AM75" s="143">
        <f>BBG_EUR!AA75</f>
        <v>1.3623395009999999</v>
      </c>
      <c r="AN75" s="151">
        <f t="shared" si="91"/>
        <v>0.99920836888694897</v>
      </c>
      <c r="AO75" s="147"/>
    </row>
    <row r="76" spans="1:41" x14ac:dyDescent="0.25">
      <c r="A76" s="38">
        <v>50774</v>
      </c>
      <c r="B76" s="22">
        <v>2.4999999999941702E-5</v>
      </c>
      <c r="C76" s="22">
        <v>7.7795989409090705E-4</v>
      </c>
      <c r="D76" s="22">
        <v>1.0111760558894001</v>
      </c>
      <c r="E76" s="22">
        <v>2.8830343747885401E-3</v>
      </c>
      <c r="F76" s="32">
        <v>0.88771169073328204</v>
      </c>
      <c r="G76" s="5">
        <f t="shared" si="79"/>
        <v>18.777777777777779</v>
      </c>
      <c r="H76" s="5">
        <f t="shared" si="81"/>
        <v>-4.080666755554037E-3</v>
      </c>
      <c r="I76" s="5">
        <f t="shared" si="82"/>
        <v>1.0798073249905935</v>
      </c>
      <c r="J76" s="32">
        <f t="shared" si="80"/>
        <v>1.3664972102512303</v>
      </c>
      <c r="K76" s="22" t="s">
        <v>91</v>
      </c>
      <c r="L76" s="40">
        <f t="shared" si="83"/>
        <v>-20.374999999999996</v>
      </c>
      <c r="M76" s="96">
        <v>50774</v>
      </c>
      <c r="N76" s="99">
        <f t="shared" si="92"/>
        <v>50682</v>
      </c>
      <c r="O76" s="38">
        <f t="shared" si="93"/>
        <v>50774</v>
      </c>
      <c r="P76" s="88">
        <f t="shared" si="94"/>
        <v>92</v>
      </c>
      <c r="Q76" s="45">
        <v>10000000</v>
      </c>
      <c r="R76" s="105">
        <f t="shared" si="84"/>
        <v>3.0441908899209403E-3</v>
      </c>
      <c r="S76" s="45">
        <f t="shared" si="95"/>
        <v>7779.5989409090707</v>
      </c>
      <c r="T76" s="45">
        <f t="shared" si="96"/>
        <v>249.99999999941701</v>
      </c>
      <c r="V76" s="61">
        <f t="shared" si="85"/>
        <v>-13634188.25762593</v>
      </c>
      <c r="W76" s="47">
        <f t="shared" si="86"/>
        <v>-13664972.102512302</v>
      </c>
      <c r="X76" s="107">
        <f t="shared" si="87"/>
        <v>1.12814388578682E-2</v>
      </c>
      <c r="Y76" s="47">
        <f t="shared" si="88"/>
        <v>-39307.833419073824</v>
      </c>
      <c r="Z76" s="47">
        <f t="shared" si="89"/>
        <v>30783.844886371866</v>
      </c>
      <c r="AC76" s="122">
        <f t="shared" si="97"/>
        <v>18.777777777777779</v>
      </c>
      <c r="AD76" s="113">
        <f>BBG_EUR!V76/100</f>
        <v>3.3328000000000003E-3</v>
      </c>
      <c r="AE76" s="113">
        <f>BBG_EUR!J76/100</f>
        <v>1.14384E-2</v>
      </c>
      <c r="AF76" s="116">
        <f>BBG_EUR!X76</f>
        <v>1.0887020000000001</v>
      </c>
      <c r="AG76" s="116">
        <f>BBG_EUR!L76</f>
        <v>0.89558199999999999</v>
      </c>
      <c r="AH76" s="112">
        <f t="shared" si="98"/>
        <v>-4.5156638209649103E-3</v>
      </c>
      <c r="AI76" s="112">
        <f t="shared" si="99"/>
        <v>5.8902586540268143E-3</v>
      </c>
      <c r="AJ76" s="112">
        <f t="shared" si="100"/>
        <v>-4.0806667555540743E-3</v>
      </c>
      <c r="AK76" s="112">
        <f t="shared" si="101"/>
        <v>6.3632032039731001E-3</v>
      </c>
      <c r="AL76" s="143">
        <f t="shared" si="90"/>
        <v>1.3664972102512303</v>
      </c>
      <c r="AM76" s="143">
        <f>BBG_EUR!AA76</f>
        <v>1.3654730900000001</v>
      </c>
      <c r="AN76" s="151">
        <f t="shared" si="91"/>
        <v>0.99925055079253189</v>
      </c>
      <c r="AO76" s="147"/>
    </row>
    <row r="77" spans="1:41" x14ac:dyDescent="0.25">
      <c r="A77" s="38">
        <v>50864</v>
      </c>
      <c r="B77" s="22">
        <v>2.4999999999941702E-5</v>
      </c>
      <c r="C77" s="22">
        <v>7.6104128869980403E-4</v>
      </c>
      <c r="D77" s="22">
        <v>1.01057873625982</v>
      </c>
      <c r="E77" s="22">
        <v>2.8202714185803202E-3</v>
      </c>
      <c r="F77" s="32">
        <v>0.885675573345026</v>
      </c>
      <c r="G77" s="5">
        <f t="shared" si="79"/>
        <v>19.027777777777779</v>
      </c>
      <c r="H77" s="5">
        <f t="shared" si="81"/>
        <v>-4.020862037309547E-3</v>
      </c>
      <c r="I77" s="5">
        <f t="shared" si="82"/>
        <v>1.079677404602684</v>
      </c>
      <c r="J77" s="32">
        <f t="shared" si="80"/>
        <v>1.3694739166732681</v>
      </c>
      <c r="K77" s="22" t="s">
        <v>91</v>
      </c>
      <c r="L77" s="40">
        <f t="shared" si="83"/>
        <v>-20.374999999999996</v>
      </c>
      <c r="M77" s="96">
        <v>50864</v>
      </c>
      <c r="N77" s="99">
        <f t="shared" si="92"/>
        <v>50774</v>
      </c>
      <c r="O77" s="38">
        <f t="shared" si="93"/>
        <v>50864</v>
      </c>
      <c r="P77" s="88">
        <f t="shared" si="94"/>
        <v>90</v>
      </c>
      <c r="Q77" s="45">
        <v>10000000</v>
      </c>
      <c r="R77" s="105">
        <f t="shared" si="84"/>
        <v>3.0441651547992161E-3</v>
      </c>
      <c r="S77" s="45">
        <f t="shared" si="95"/>
        <v>7610.4128869980404</v>
      </c>
      <c r="T77" s="45">
        <f t="shared" si="96"/>
        <v>249.99999999941701</v>
      </c>
      <c r="V77" s="61">
        <f t="shared" si="85"/>
        <v>-13664972.102512302</v>
      </c>
      <c r="W77" s="47">
        <f t="shared" si="86"/>
        <v>-13694739.166732682</v>
      </c>
      <c r="X77" s="107">
        <f t="shared" si="87"/>
        <v>1.1281085674321279E-2</v>
      </c>
      <c r="Y77" s="47">
        <f t="shared" si="88"/>
        <v>-38538.930256412874</v>
      </c>
      <c r="Z77" s="47">
        <f t="shared" si="89"/>
        <v>29767.064220380038</v>
      </c>
      <c r="AC77" s="122">
        <f t="shared" si="97"/>
        <v>19.027777777777779</v>
      </c>
      <c r="AD77" s="113">
        <f>BBG_EUR!V77/100</f>
        <v>3.4127999999999997E-3</v>
      </c>
      <c r="AE77" s="113">
        <f>BBG_EUR!J77/100</f>
        <v>1.1500699999999999E-2</v>
      </c>
      <c r="AF77" s="116">
        <f>BBG_EUR!X77</f>
        <v>1.0888089999999999</v>
      </c>
      <c r="AG77" s="116">
        <f>BBG_EUR!L77</f>
        <v>0.89364699999999997</v>
      </c>
      <c r="AH77" s="112">
        <f t="shared" si="98"/>
        <v>-4.4616082404108637E-3</v>
      </c>
      <c r="AI77" s="112">
        <f t="shared" si="99"/>
        <v>5.9269841008011692E-3</v>
      </c>
      <c r="AJ77" s="112">
        <f t="shared" si="100"/>
        <v>-4.0208620373095583E-3</v>
      </c>
      <c r="AK77" s="112">
        <f t="shared" si="101"/>
        <v>6.4007839442778991E-3</v>
      </c>
      <c r="AL77" s="143">
        <f t="shared" si="90"/>
        <v>1.3694739166732681</v>
      </c>
      <c r="AM77" s="143">
        <f>BBG_EUR!AA77</f>
        <v>1.368600211</v>
      </c>
      <c r="AN77" s="151">
        <f t="shared" si="91"/>
        <v>0.99936201364434118</v>
      </c>
      <c r="AO77" s="147"/>
    </row>
    <row r="78" spans="1:41" x14ac:dyDescent="0.25">
      <c r="A78" s="38">
        <v>50956</v>
      </c>
      <c r="B78" s="22">
        <v>2.5277777777832301E-5</v>
      </c>
      <c r="C78" s="22">
        <v>7.7795989409112898E-4</v>
      </c>
      <c r="D78" s="22">
        <v>1.0099685075550899</v>
      </c>
      <c r="E78" s="22">
        <v>2.8830343747885401E-3</v>
      </c>
      <c r="F78" s="32">
        <v>0.883599035828177</v>
      </c>
      <c r="G78" s="5">
        <f t="shared" si="79"/>
        <v>19.283333333333335</v>
      </c>
      <c r="H78" s="5">
        <f t="shared" si="81"/>
        <v>-3.9597283253262902E-3</v>
      </c>
      <c r="I78" s="5">
        <f t="shared" si="82"/>
        <v>1.0795111907112909</v>
      </c>
      <c r="J78" s="32">
        <f t="shared" si="80"/>
        <v>1.3724809811595222</v>
      </c>
      <c r="K78" s="22" t="s">
        <v>91</v>
      </c>
      <c r="L78" s="40">
        <f t="shared" si="83"/>
        <v>-20.374999999999996</v>
      </c>
      <c r="M78" s="96">
        <v>50956</v>
      </c>
      <c r="N78" s="99">
        <f t="shared" si="92"/>
        <v>50864</v>
      </c>
      <c r="O78" s="38">
        <f t="shared" si="93"/>
        <v>50956</v>
      </c>
      <c r="P78" s="88">
        <f t="shared" si="94"/>
        <v>92</v>
      </c>
      <c r="Q78" s="45">
        <v>10000000</v>
      </c>
      <c r="R78" s="105">
        <f t="shared" si="84"/>
        <v>3.0441908899218094E-3</v>
      </c>
      <c r="S78" s="45">
        <f t="shared" si="95"/>
        <v>7779.5989409112899</v>
      </c>
      <c r="T78" s="45">
        <f t="shared" si="96"/>
        <v>252.77777777832301</v>
      </c>
      <c r="V78" s="61">
        <f t="shared" si="85"/>
        <v>-13694739.166732682</v>
      </c>
      <c r="W78" s="47">
        <f t="shared" si="86"/>
        <v>-13724809.811595222</v>
      </c>
      <c r="X78" s="107">
        <f t="shared" si="87"/>
        <v>1.12814388578682E-2</v>
      </c>
      <c r="Y78" s="47">
        <f t="shared" si="88"/>
        <v>-39482.40377145329</v>
      </c>
      <c r="Z78" s="47">
        <f t="shared" si="89"/>
        <v>30070.644862540066</v>
      </c>
      <c r="AC78" s="122">
        <f t="shared" si="97"/>
        <v>19.283333333333335</v>
      </c>
      <c r="AD78" s="113">
        <f>BBG_EUR!V78/100</f>
        <v>3.4927000000000001E-3</v>
      </c>
      <c r="AE78" s="113">
        <f>BBG_EUR!J78/100</f>
        <v>1.1563200000000001E-2</v>
      </c>
      <c r="AF78" s="116">
        <f>BBG_EUR!X78</f>
        <v>1.0888899999999999</v>
      </c>
      <c r="AG78" s="116">
        <f>BBG_EUR!L78</f>
        <v>0.89165799999999995</v>
      </c>
      <c r="AH78" s="112">
        <f t="shared" si="98"/>
        <v>-4.4064511602881495E-3</v>
      </c>
      <c r="AI78" s="112">
        <f t="shared" si="99"/>
        <v>5.9644391360353932E-3</v>
      </c>
      <c r="AJ78" s="112">
        <f t="shared" si="100"/>
        <v>-3.9597283253264282E-3</v>
      </c>
      <c r="AK78" s="112">
        <f t="shared" si="101"/>
        <v>6.4381940483213551E-3</v>
      </c>
      <c r="AL78" s="143">
        <f t="shared" si="90"/>
        <v>1.3724809811595222</v>
      </c>
      <c r="AM78" s="143">
        <f>BBG_EUR!AA78</f>
        <v>1.371720735</v>
      </c>
      <c r="AN78" s="151">
        <f t="shared" si="91"/>
        <v>0.99944607891114101</v>
      </c>
      <c r="AO78" s="147"/>
    </row>
    <row r="79" spans="1:41" x14ac:dyDescent="0.25">
      <c r="A79" s="38">
        <v>51046</v>
      </c>
      <c r="B79" s="22">
        <v>2.44444444443825E-5</v>
      </c>
      <c r="C79" s="22">
        <v>7.6104128870002597E-4</v>
      </c>
      <c r="D79" s="22">
        <v>1.0093719012457301</v>
      </c>
      <c r="E79" s="22">
        <v>2.8202714185803202E-3</v>
      </c>
      <c r="F79" s="32">
        <v>0.88157235151177504</v>
      </c>
      <c r="G79" s="5">
        <f t="shared" si="79"/>
        <v>19.533333333333335</v>
      </c>
      <c r="H79" s="5">
        <f t="shared" si="81"/>
        <v>-3.8999236070817998E-3</v>
      </c>
      <c r="I79" s="5">
        <f t="shared" si="82"/>
        <v>1.0793159278506101</v>
      </c>
      <c r="J79" s="32">
        <f t="shared" si="80"/>
        <v>1.3753874100839245</v>
      </c>
      <c r="K79" s="22" t="s">
        <v>91</v>
      </c>
      <c r="L79" s="40">
        <f t="shared" si="83"/>
        <v>-20.374999999999996</v>
      </c>
      <c r="M79" s="96">
        <v>51046</v>
      </c>
      <c r="N79" s="99">
        <f t="shared" si="92"/>
        <v>50956</v>
      </c>
      <c r="O79" s="38">
        <f t="shared" si="93"/>
        <v>51046</v>
      </c>
      <c r="P79" s="88">
        <f t="shared" si="94"/>
        <v>90</v>
      </c>
      <c r="Q79" s="45">
        <v>10000000</v>
      </c>
      <c r="R79" s="105">
        <f t="shared" si="84"/>
        <v>3.0441651548001043E-3</v>
      </c>
      <c r="S79" s="45">
        <f t="shared" si="95"/>
        <v>7610.4128870002596</v>
      </c>
      <c r="T79" s="45">
        <f t="shared" si="96"/>
        <v>244.44444444382501</v>
      </c>
      <c r="V79" s="61">
        <f t="shared" si="85"/>
        <v>-13724809.811595222</v>
      </c>
      <c r="W79" s="47">
        <f t="shared" si="86"/>
        <v>-13753874.100839244</v>
      </c>
      <c r="X79" s="107">
        <f t="shared" si="87"/>
        <v>1.1281085674321279E-2</v>
      </c>
      <c r="Y79" s="47">
        <f t="shared" si="88"/>
        <v>-38707.688837092755</v>
      </c>
      <c r="Z79" s="47">
        <f t="shared" si="89"/>
        <v>29064.28924402222</v>
      </c>
      <c r="AC79" s="122">
        <f t="shared" si="97"/>
        <v>19.533333333333335</v>
      </c>
      <c r="AD79" s="113">
        <f>BBG_EUR!V79/100</f>
        <v>3.5721999999999998E-3</v>
      </c>
      <c r="AE79" s="113">
        <f>BBG_EUR!J79/100</f>
        <v>1.1624199999999999E-2</v>
      </c>
      <c r="AF79" s="116">
        <f>BBG_EUR!X79</f>
        <v>1.0889409999999999</v>
      </c>
      <c r="AG79" s="116">
        <f>BBG_EUR!L79</f>
        <v>0.88970300000000002</v>
      </c>
      <c r="AH79" s="112">
        <f t="shared" si="98"/>
        <v>-4.3525647410660451E-3</v>
      </c>
      <c r="AI79" s="112">
        <f t="shared" si="99"/>
        <v>6.0009156859541779E-3</v>
      </c>
      <c r="AJ79" s="112">
        <f t="shared" si="100"/>
        <v>-3.8999236070819121E-3</v>
      </c>
      <c r="AK79" s="112">
        <f t="shared" si="101"/>
        <v>6.4738449953651855E-3</v>
      </c>
      <c r="AL79" s="143">
        <f t="shared" si="90"/>
        <v>1.3753874100839245</v>
      </c>
      <c r="AM79" s="143">
        <f>BBG_EUR!AA79</f>
        <v>1.374834535</v>
      </c>
      <c r="AN79" s="151">
        <f t="shared" si="91"/>
        <v>0.99959802228821415</v>
      </c>
      <c r="AO79" s="147"/>
    </row>
    <row r="80" spans="1:41" x14ac:dyDescent="0.25">
      <c r="A80" s="38">
        <v>51138</v>
      </c>
      <c r="B80" s="22">
        <v>2.4999999999941702E-5</v>
      </c>
      <c r="C80" s="22">
        <v>7.7795989409090705E-4</v>
      </c>
      <c r="D80" s="22">
        <v>1.00876240127726</v>
      </c>
      <c r="E80" s="22">
        <v>2.8830343747885401E-3</v>
      </c>
      <c r="F80" s="32">
        <v>0.87950543432807304</v>
      </c>
      <c r="G80" s="5">
        <f t="shared" si="79"/>
        <v>19.788888888888888</v>
      </c>
      <c r="H80" s="5">
        <f t="shared" si="81"/>
        <v>-3.8387898950985443E-3</v>
      </c>
      <c r="I80" s="5">
        <f t="shared" si="82"/>
        <v>1.0790829591181257</v>
      </c>
      <c r="J80" s="32">
        <f t="shared" si="80"/>
        <v>1.3783221216812993</v>
      </c>
      <c r="K80" s="22" t="s">
        <v>91</v>
      </c>
      <c r="L80" s="40">
        <f t="shared" si="83"/>
        <v>-20.374999999999996</v>
      </c>
      <c r="M80" s="96">
        <v>51138</v>
      </c>
      <c r="N80" s="99">
        <f t="shared" si="92"/>
        <v>51046</v>
      </c>
      <c r="O80" s="38">
        <f t="shared" si="93"/>
        <v>51138</v>
      </c>
      <c r="P80" s="88">
        <f t="shared" si="94"/>
        <v>92</v>
      </c>
      <c r="Q80" s="45">
        <v>10000000</v>
      </c>
      <c r="R80" s="105">
        <f t="shared" si="84"/>
        <v>3.0441908899209403E-3</v>
      </c>
      <c r="S80" s="45">
        <f t="shared" si="95"/>
        <v>7779.5989409090707</v>
      </c>
      <c r="T80" s="45">
        <f t="shared" si="96"/>
        <v>249.99999999941701</v>
      </c>
      <c r="V80" s="61">
        <f t="shared" si="85"/>
        <v>-13753874.100839244</v>
      </c>
      <c r="W80" s="47">
        <f t="shared" si="86"/>
        <v>-13783221.216812992</v>
      </c>
      <c r="X80" s="107">
        <f t="shared" si="87"/>
        <v>1.12814388578682E-2</v>
      </c>
      <c r="Y80" s="47">
        <f t="shared" si="88"/>
        <v>-39652.891819233366</v>
      </c>
      <c r="Z80" s="47">
        <f t="shared" si="89"/>
        <v>29347.115973748267</v>
      </c>
      <c r="AC80" s="122">
        <f t="shared" si="97"/>
        <v>19.788888888888888</v>
      </c>
      <c r="AD80" s="113">
        <f>BBG_EUR!V80/100</f>
        <v>3.6515999999999996E-3</v>
      </c>
      <c r="AE80" s="113">
        <f>BBG_EUR!J80/100</f>
        <v>1.1685300000000001E-2</v>
      </c>
      <c r="AF80" s="116">
        <f>BBG_EUR!X80</f>
        <v>1.088965</v>
      </c>
      <c r="AG80" s="116">
        <f>BBG_EUR!L80</f>
        <v>0.88769500000000001</v>
      </c>
      <c r="AH80" s="112">
        <f t="shared" si="98"/>
        <v>-4.2975851862430137E-3</v>
      </c>
      <c r="AI80" s="112">
        <f t="shared" si="99"/>
        <v>6.0380525162695431E-3</v>
      </c>
      <c r="AJ80" s="112">
        <f t="shared" si="100"/>
        <v>-3.8387898950985599E-3</v>
      </c>
      <c r="AK80" s="112">
        <f t="shared" si="101"/>
        <v>6.5093584107620561E-3</v>
      </c>
      <c r="AL80" s="143">
        <f t="shared" si="90"/>
        <v>1.3783221216812993</v>
      </c>
      <c r="AM80" s="143">
        <f>BBG_EUR!AA80</f>
        <v>1.377941482</v>
      </c>
      <c r="AN80" s="151">
        <f t="shared" si="91"/>
        <v>0.99972383837180601</v>
      </c>
      <c r="AO80" s="147"/>
    </row>
    <row r="81" spans="1:41" x14ac:dyDescent="0.25">
      <c r="A81" s="38">
        <v>51229</v>
      </c>
      <c r="B81" s="22">
        <v>2.4999999999941702E-5</v>
      </c>
      <c r="C81" s="22">
        <v>7.6950055564295396E-4</v>
      </c>
      <c r="D81" s="22">
        <v>1.0081598883712899</v>
      </c>
      <c r="E81" s="22">
        <v>2.8516524056860699E-3</v>
      </c>
      <c r="F81" s="32">
        <v>0.87746575100390301</v>
      </c>
      <c r="G81" s="5">
        <f t="shared" si="79"/>
        <v>20.041666666666668</v>
      </c>
      <c r="H81" s="5">
        <f t="shared" si="81"/>
        <v>-3.7783206799846709E-3</v>
      </c>
      <c r="I81" s="5">
        <f t="shared" si="82"/>
        <v>1.078819361600263</v>
      </c>
      <c r="J81" s="32">
        <f t="shared" si="80"/>
        <v>1.3811885756625328</v>
      </c>
      <c r="K81" s="22" t="s">
        <v>91</v>
      </c>
      <c r="L81" s="40">
        <f t="shared" si="83"/>
        <v>-20.374999999999996</v>
      </c>
      <c r="M81" s="96">
        <v>51229</v>
      </c>
      <c r="N81" s="99">
        <f t="shared" si="92"/>
        <v>51138</v>
      </c>
      <c r="O81" s="38">
        <f t="shared" si="93"/>
        <v>51229</v>
      </c>
      <c r="P81" s="88">
        <f t="shared" si="94"/>
        <v>91</v>
      </c>
      <c r="Q81" s="45">
        <v>10000000</v>
      </c>
      <c r="R81" s="105">
        <f t="shared" si="84"/>
        <v>3.0441780223237742E-3</v>
      </c>
      <c r="S81" s="45">
        <f t="shared" si="95"/>
        <v>7695.0055564295399</v>
      </c>
      <c r="T81" s="45">
        <f t="shared" si="96"/>
        <v>249.99999999941701</v>
      </c>
      <c r="V81" s="61">
        <f t="shared" si="85"/>
        <v>-13783221.216812992</v>
      </c>
      <c r="W81" s="47">
        <f t="shared" si="86"/>
        <v>-13811885.756625328</v>
      </c>
      <c r="X81" s="107">
        <f t="shared" si="87"/>
        <v>1.1281262264252585E-2</v>
      </c>
      <c r="Y81" s="47">
        <f t="shared" si="88"/>
        <v>-39304.955941028049</v>
      </c>
      <c r="Z81" s="47">
        <f t="shared" si="89"/>
        <v>28664.539812335745</v>
      </c>
      <c r="AC81" s="122">
        <f t="shared" si="97"/>
        <v>20.041666666666668</v>
      </c>
      <c r="AD81" s="113">
        <f>BBG_EUR!V81/100</f>
        <v>3.7312000000000001E-3</v>
      </c>
      <c r="AE81" s="113">
        <f>BBG_EUR!J81/100</f>
        <v>1.17456E-2</v>
      </c>
      <c r="AF81" s="116">
        <f>BBG_EUR!X81</f>
        <v>1.0889599999999999</v>
      </c>
      <c r="AG81" s="116">
        <f>BBG_EUR!L81</f>
        <v>0.88569900000000001</v>
      </c>
      <c r="AH81" s="112">
        <f t="shared" si="98"/>
        <v>-4.2432684530823161E-3</v>
      </c>
      <c r="AI81" s="112">
        <f t="shared" si="99"/>
        <v>6.0746648871983222E-3</v>
      </c>
      <c r="AJ81" s="112">
        <f t="shared" si="100"/>
        <v>-3.7783206799846258E-3</v>
      </c>
      <c r="AK81" s="112">
        <f t="shared" si="101"/>
        <v>6.5435960318473985E-3</v>
      </c>
      <c r="AL81" s="143">
        <f t="shared" si="90"/>
        <v>1.3811885756625328</v>
      </c>
      <c r="AM81" s="143">
        <f>BBG_EUR!AA81</f>
        <v>1.3810074220000002</v>
      </c>
      <c r="AN81" s="151">
        <f t="shared" si="91"/>
        <v>0.99986884219452377</v>
      </c>
      <c r="AO81" s="147"/>
    </row>
    <row r="82" spans="1:41" x14ac:dyDescent="0.25">
      <c r="A82" s="39">
        <v>51319</v>
      </c>
      <c r="B82" s="11">
        <v>2.4722222222273099E-5</v>
      </c>
      <c r="C82" s="11">
        <v>7.6104128870002597E-4</v>
      </c>
      <c r="D82" s="11">
        <v>1.00756435044536</v>
      </c>
      <c r="E82" s="11">
        <v>2.8202714185803202E-3</v>
      </c>
      <c r="F82" s="33">
        <v>0.87545313441693096</v>
      </c>
      <c r="G82" s="11">
        <f t="shared" si="79"/>
        <v>20.291666666666668</v>
      </c>
      <c r="H82" s="11">
        <f t="shared" si="81"/>
        <v>-3.7185159617401805E-3</v>
      </c>
      <c r="I82" s="11">
        <f t="shared" si="82"/>
        <v>1.0785262492799703</v>
      </c>
      <c r="J82" s="33">
        <f t="shared" si="80"/>
        <v>1.383987721110941</v>
      </c>
      <c r="K82" s="11" t="s">
        <v>91</v>
      </c>
      <c r="L82" s="41">
        <f t="shared" si="83"/>
        <v>-20.374999999999996</v>
      </c>
      <c r="M82" s="95">
        <v>51319</v>
      </c>
      <c r="N82" s="9">
        <f t="shared" si="92"/>
        <v>51229</v>
      </c>
      <c r="O82" s="39">
        <f t="shared" si="93"/>
        <v>51319</v>
      </c>
      <c r="P82" s="87">
        <f t="shared" si="94"/>
        <v>90</v>
      </c>
      <c r="Q82" s="46">
        <v>10000000</v>
      </c>
      <c r="R82" s="106">
        <f t="shared" si="84"/>
        <v>3.0441651548001043E-3</v>
      </c>
      <c r="S82" s="46">
        <f t="shared" si="95"/>
        <v>7610.4128870002596</v>
      </c>
      <c r="T82" s="46">
        <f t="shared" si="96"/>
        <v>247.22222222273101</v>
      </c>
      <c r="U82" s="50">
        <f>Q82</f>
        <v>10000000</v>
      </c>
      <c r="V82" s="62">
        <f t="shared" si="85"/>
        <v>-13811885.756625328</v>
      </c>
      <c r="W82" s="46">
        <f t="shared" si="86"/>
        <v>-13839877.211109411</v>
      </c>
      <c r="X82" s="106">
        <f t="shared" si="87"/>
        <v>1.1281085674321279E-2</v>
      </c>
      <c r="Y82" s="46">
        <f t="shared" si="88"/>
        <v>-38953.266636107037</v>
      </c>
      <c r="Z82" s="46">
        <f t="shared" si="89"/>
        <v>27991.454484082758</v>
      </c>
      <c r="AA82" s="50">
        <f>W82</f>
        <v>-13839877.211109411</v>
      </c>
      <c r="AC82" s="122">
        <f t="shared" si="97"/>
        <v>20.291666666666668</v>
      </c>
      <c r="AD82" s="113">
        <f>BBG_EUR!V82/100</f>
        <v>3.8096999999999996E-3</v>
      </c>
      <c r="AE82" s="113">
        <f>BBG_EUR!J82/100</f>
        <v>1.18046E-2</v>
      </c>
      <c r="AF82" s="116">
        <f>BBG_EUR!X82</f>
        <v>1.0889279999999999</v>
      </c>
      <c r="AG82" s="116">
        <f>BBG_EUR!L82</f>
        <v>0.88371599999999995</v>
      </c>
      <c r="AH82" s="112">
        <f t="shared" si="98"/>
        <v>-4.1896575726813046E-3</v>
      </c>
      <c r="AI82" s="112">
        <f t="shared" si="99"/>
        <v>6.1107279227827771E-3</v>
      </c>
      <c r="AJ82" s="112">
        <f t="shared" si="100"/>
        <v>-3.7185159617402208E-3</v>
      </c>
      <c r="AK82" s="112">
        <f t="shared" si="101"/>
        <v>6.576619516588611E-3</v>
      </c>
      <c r="AL82" s="143">
        <f t="shared" si="90"/>
        <v>1.383987721110941</v>
      </c>
      <c r="AM82" s="143">
        <f>BBG_EUR!AA82</f>
        <v>1.3841343079999999</v>
      </c>
      <c r="AN82" s="151">
        <f t="shared" si="91"/>
        <v>1.0001059163219608</v>
      </c>
      <c r="AO82" s="147"/>
    </row>
    <row r="83" spans="1:41" x14ac:dyDescent="0.25">
      <c r="A83" s="38">
        <v>51411</v>
      </c>
      <c r="B83" s="22">
        <v>2.4999999999941702E-5</v>
      </c>
      <c r="C83" s="22">
        <v>1.41093245521028E-4</v>
      </c>
      <c r="D83" s="22">
        <v>1.00765185107343</v>
      </c>
      <c r="E83" s="22">
        <v>2.5865719820290498E-3</v>
      </c>
      <c r="F83" s="32">
        <v>0.87374866006129603</v>
      </c>
      <c r="G83" s="5">
        <f t="shared" si="79"/>
        <v>20.547222222222221</v>
      </c>
      <c r="H83" s="5">
        <f t="shared" si="81"/>
        <v>-3.7055741076665277E-3</v>
      </c>
      <c r="I83" s="5">
        <f t="shared" si="82"/>
        <v>1.0792654533419035</v>
      </c>
      <c r="J83" s="32">
        <f t="shared" si="80"/>
        <v>1.3876379623852442</v>
      </c>
      <c r="K83" s="22" t="s">
        <v>92</v>
      </c>
      <c r="L83" s="40">
        <f t="shared" si="83"/>
        <v>-11.75</v>
      </c>
      <c r="M83" s="96">
        <v>51411</v>
      </c>
      <c r="N83" s="99">
        <f t="shared" si="92"/>
        <v>51319</v>
      </c>
      <c r="O83" s="38">
        <f t="shared" si="93"/>
        <v>51411</v>
      </c>
      <c r="P83" s="88">
        <f t="shared" si="94"/>
        <v>92</v>
      </c>
      <c r="Q83" s="45">
        <v>10000000</v>
      </c>
      <c r="R83" s="105">
        <f t="shared" si="84"/>
        <v>5.5210400421271827E-4</v>
      </c>
      <c r="S83" s="45">
        <f t="shared" si="95"/>
        <v>1410.9324552102801</v>
      </c>
      <c r="T83" s="45">
        <f t="shared" si="96"/>
        <v>249.99999999941701</v>
      </c>
      <c r="V83" s="61">
        <f t="shared" si="85"/>
        <v>-13839877.211109411</v>
      </c>
      <c r="W83" s="47">
        <f t="shared" si="86"/>
        <v>-13876379.623852441</v>
      </c>
      <c r="X83" s="107">
        <f t="shared" si="87"/>
        <v>1.0121368625331065E-2</v>
      </c>
      <c r="Y83" s="47">
        <f t="shared" si="88"/>
        <v>-35797.838628977945</v>
      </c>
      <c r="Z83" s="47">
        <f t="shared" si="89"/>
        <v>36502.412743030116</v>
      </c>
      <c r="AC83" s="122">
        <f t="shared" si="97"/>
        <v>20.547222222222221</v>
      </c>
      <c r="AD83" s="113">
        <f>BBG_EUR!V83/100</f>
        <v>5.5049999999999999E-4</v>
      </c>
      <c r="AE83" s="113">
        <f>BBG_EUR!J83/100</f>
        <v>9.8872000000000005E-3</v>
      </c>
      <c r="AF83" s="116">
        <f>BBG_EUR!X83</f>
        <v>1.08969</v>
      </c>
      <c r="AG83" s="116">
        <f>BBG_EUR!L83</f>
        <v>0.88209599999999999</v>
      </c>
      <c r="AH83" s="112">
        <f t="shared" si="98"/>
        <v>-4.1715601233979216E-3</v>
      </c>
      <c r="AI83" s="112">
        <f t="shared" si="99"/>
        <v>6.1243391283247739E-3</v>
      </c>
      <c r="AJ83" s="112">
        <f t="shared" si="100"/>
        <v>-3.7055741076664761E-3</v>
      </c>
      <c r="AK83" s="112">
        <f t="shared" si="101"/>
        <v>6.5900263288747318E-3</v>
      </c>
      <c r="AL83" s="143">
        <f t="shared" si="90"/>
        <v>1.3876379623852442</v>
      </c>
      <c r="AM83" s="143">
        <f>BBG_EUR!AA83</f>
        <v>1.3876293789999998</v>
      </c>
      <c r="AN83" s="151">
        <f t="shared" si="91"/>
        <v>0.99999381439145008</v>
      </c>
      <c r="AO83" s="147"/>
    </row>
    <row r="84" spans="1:41" x14ac:dyDescent="0.25">
      <c r="A84" s="38">
        <v>51503</v>
      </c>
      <c r="B84" s="22">
        <v>2.4999999999941702E-5</v>
      </c>
      <c r="C84" s="22">
        <v>1.41093245521028E-4</v>
      </c>
      <c r="D84" s="22">
        <v>1.00773935930039</v>
      </c>
      <c r="E84" s="22">
        <v>2.5865719820292702E-3</v>
      </c>
      <c r="F84" s="32">
        <v>0.872047504253182</v>
      </c>
      <c r="G84" s="5">
        <f t="shared" si="79"/>
        <v>20.802777777777777</v>
      </c>
      <c r="H84" s="5">
        <f t="shared" si="81"/>
        <v>-3.6926322535928754E-3</v>
      </c>
      <c r="I84" s="5">
        <f t="shared" si="82"/>
        <v>1.0799979973019271</v>
      </c>
      <c r="J84" s="32">
        <f t="shared" si="80"/>
        <v>1.3912885986733305</v>
      </c>
      <c r="K84" s="22" t="s">
        <v>92</v>
      </c>
      <c r="L84" s="40">
        <f t="shared" si="83"/>
        <v>-11.75</v>
      </c>
      <c r="M84" s="96">
        <v>51503</v>
      </c>
      <c r="N84" s="99">
        <f t="shared" si="92"/>
        <v>51411</v>
      </c>
      <c r="O84" s="38">
        <f t="shared" si="93"/>
        <v>51503</v>
      </c>
      <c r="P84" s="88">
        <f t="shared" si="94"/>
        <v>92</v>
      </c>
      <c r="Q84" s="45">
        <v>10000000</v>
      </c>
      <c r="R84" s="105">
        <f t="shared" si="84"/>
        <v>5.5210400421271827E-4</v>
      </c>
      <c r="S84" s="45">
        <f t="shared" si="95"/>
        <v>1410.9324552102801</v>
      </c>
      <c r="T84" s="45">
        <f t="shared" si="96"/>
        <v>249.99999999941701</v>
      </c>
      <c r="V84" s="61">
        <f t="shared" si="85"/>
        <v>-13876379.623852441</v>
      </c>
      <c r="W84" s="47">
        <f t="shared" si="86"/>
        <v>-13912885.986733306</v>
      </c>
      <c r="X84" s="107">
        <f t="shared" si="87"/>
        <v>1.0121368625331927E-2</v>
      </c>
      <c r="Y84" s="47">
        <f t="shared" si="88"/>
        <v>-35892.254747058585</v>
      </c>
      <c r="Z84" s="47">
        <f t="shared" si="89"/>
        <v>36506.362880865112</v>
      </c>
      <c r="AC84" s="122">
        <f t="shared" si="97"/>
        <v>20.802777777777777</v>
      </c>
      <c r="AD84" s="113">
        <f>BBG_EUR!V84/100</f>
        <v>5.5059999999999994E-4</v>
      </c>
      <c r="AE84" s="113">
        <f>BBG_EUR!J84/100</f>
        <v>9.9080000000000001E-3</v>
      </c>
      <c r="AF84" s="116">
        <f>BBG_EUR!X84</f>
        <v>1.0904609999999999</v>
      </c>
      <c r="AG84" s="116">
        <f>BBG_EUR!L84</f>
        <v>0.88048899999999997</v>
      </c>
      <c r="AH84" s="112">
        <f t="shared" si="98"/>
        <v>-4.154278689699753E-3</v>
      </c>
      <c r="AI84" s="112">
        <f t="shared" si="99"/>
        <v>6.137065123763108E-3</v>
      </c>
      <c r="AJ84" s="112">
        <f t="shared" si="100"/>
        <v>-3.6926322535928424E-3</v>
      </c>
      <c r="AK84" s="112">
        <f t="shared" si="101"/>
        <v>6.6031039162917082E-3</v>
      </c>
      <c r="AL84" s="143">
        <f t="shared" si="90"/>
        <v>1.3912885986733305</v>
      </c>
      <c r="AM84" s="143">
        <f>BBG_EUR!AA84</f>
        <v>1.391108257</v>
      </c>
      <c r="AN84" s="151">
        <f t="shared" si="91"/>
        <v>0.99987037795501055</v>
      </c>
      <c r="AO84" s="147"/>
    </row>
    <row r="85" spans="1:41" x14ac:dyDescent="0.25">
      <c r="A85" s="38">
        <v>51593</v>
      </c>
      <c r="B85" s="22">
        <v>2.4999999999941702E-5</v>
      </c>
      <c r="C85" s="22">
        <v>1.3802578938371099E-4</v>
      </c>
      <c r="D85" s="22">
        <v>1.0078249725281101</v>
      </c>
      <c r="E85" s="22">
        <v>2.53027107857173E-3</v>
      </c>
      <c r="F85" s="32">
        <v>0.87038653500455199</v>
      </c>
      <c r="G85" s="5">
        <f t="shared" si="79"/>
        <v>21.052777777777777</v>
      </c>
      <c r="H85" s="5">
        <f t="shared" si="81"/>
        <v>-3.6799717441729969E-3</v>
      </c>
      <c r="I85" s="5">
        <f t="shared" si="82"/>
        <v>1.080708158343572</v>
      </c>
      <c r="J85" s="32">
        <f t="shared" si="80"/>
        <v>1.3948602100982863</v>
      </c>
      <c r="K85" s="22" t="s">
        <v>92</v>
      </c>
      <c r="L85" s="40">
        <f t="shared" si="83"/>
        <v>-11.75</v>
      </c>
      <c r="M85" s="96">
        <v>51593</v>
      </c>
      <c r="N85" s="99">
        <f t="shared" si="92"/>
        <v>51503</v>
      </c>
      <c r="O85" s="38">
        <f t="shared" si="93"/>
        <v>51593</v>
      </c>
      <c r="P85" s="88">
        <f t="shared" si="94"/>
        <v>90</v>
      </c>
      <c r="Q85" s="45">
        <v>10000000</v>
      </c>
      <c r="R85" s="105">
        <f t="shared" si="84"/>
        <v>5.5210315753484397E-4</v>
      </c>
      <c r="S85" s="45">
        <f t="shared" si="95"/>
        <v>1380.25789383711</v>
      </c>
      <c r="T85" s="45">
        <f t="shared" si="96"/>
        <v>249.99999999941701</v>
      </c>
      <c r="V85" s="61">
        <f t="shared" si="85"/>
        <v>-13912885.986733306</v>
      </c>
      <c r="W85" s="47">
        <f t="shared" si="86"/>
        <v>-13948602.100982863</v>
      </c>
      <c r="X85" s="107">
        <f t="shared" si="87"/>
        <v>1.012108431428692E-2</v>
      </c>
      <c r="Y85" s="47">
        <f t="shared" si="88"/>
        <v>-35203.373031697192</v>
      </c>
      <c r="Z85" s="47">
        <f t="shared" si="89"/>
        <v>35716.114249557257</v>
      </c>
      <c r="AC85" s="122">
        <f t="shared" si="97"/>
        <v>21.052777777777777</v>
      </c>
      <c r="AD85" s="113">
        <f>BBG_EUR!V85/100</f>
        <v>5.5079999999999994E-4</v>
      </c>
      <c r="AE85" s="113">
        <f>BBG_EUR!J85/100</f>
        <v>9.9281000000000005E-3</v>
      </c>
      <c r="AF85" s="116">
        <f>BBG_EUR!X85</f>
        <v>1.091207</v>
      </c>
      <c r="AG85" s="116">
        <f>BBG_EUR!L85</f>
        <v>0.87891399999999997</v>
      </c>
      <c r="AH85" s="112">
        <f t="shared" si="98"/>
        <v>-4.1373985878552233E-3</v>
      </c>
      <c r="AI85" s="112">
        <f t="shared" si="99"/>
        <v>6.1495292838389393E-3</v>
      </c>
      <c r="AJ85" s="112">
        <f t="shared" si="100"/>
        <v>-3.6799717441731161E-3</v>
      </c>
      <c r="AK85" s="112">
        <f t="shared" si="101"/>
        <v>6.615590152320161E-3</v>
      </c>
      <c r="AL85" s="143">
        <f t="shared" si="90"/>
        <v>1.3948602100982863</v>
      </c>
      <c r="AM85" s="143">
        <f>BBG_EUR!AA85</f>
        <v>1.3945922740000001</v>
      </c>
      <c r="AN85" s="151">
        <f t="shared" si="91"/>
        <v>0.99980791186360718</v>
      </c>
      <c r="AO85" s="147"/>
    </row>
    <row r="86" spans="1:41" x14ac:dyDescent="0.25">
      <c r="A86" s="38">
        <v>51684</v>
      </c>
      <c r="B86" s="22">
        <v>2.4999999999941702E-5</v>
      </c>
      <c r="C86" s="22">
        <v>1.3955951627630999E-4</v>
      </c>
      <c r="D86" s="22">
        <v>1.0079115444089199</v>
      </c>
      <c r="E86" s="22">
        <v>2.55842113508775E-3</v>
      </c>
      <c r="F86" s="32">
        <v>0.86871032705221196</v>
      </c>
      <c r="G86" s="5">
        <f t="shared" si="79"/>
        <v>21.305555555555557</v>
      </c>
      <c r="H86" s="5">
        <f t="shared" si="81"/>
        <v>-3.667170562426231E-3</v>
      </c>
      <c r="I86" s="5">
        <f t="shared" si="82"/>
        <v>1.0814197026769472</v>
      </c>
      <c r="J86" s="32">
        <f t="shared" si="80"/>
        <v>1.3984717991205202</v>
      </c>
      <c r="K86" s="22" t="s">
        <v>92</v>
      </c>
      <c r="L86" s="40">
        <f t="shared" si="83"/>
        <v>-11.75</v>
      </c>
      <c r="M86" s="96">
        <v>51684</v>
      </c>
      <c r="N86" s="99">
        <f t="shared" si="92"/>
        <v>51593</v>
      </c>
      <c r="O86" s="38">
        <f t="shared" si="93"/>
        <v>51684</v>
      </c>
      <c r="P86" s="88">
        <f t="shared" si="94"/>
        <v>91</v>
      </c>
      <c r="Q86" s="45">
        <v>10000000</v>
      </c>
      <c r="R86" s="105">
        <f t="shared" si="84"/>
        <v>5.5210358087331426E-4</v>
      </c>
      <c r="S86" s="45">
        <f t="shared" si="95"/>
        <v>1395.5951627630998</v>
      </c>
      <c r="T86" s="45">
        <f t="shared" si="96"/>
        <v>249.99999999941701</v>
      </c>
      <c r="V86" s="61">
        <f t="shared" si="85"/>
        <v>-13948602.100982863</v>
      </c>
      <c r="W86" s="47">
        <f t="shared" si="86"/>
        <v>-13984717.991205202</v>
      </c>
      <c r="X86" s="107">
        <f t="shared" si="87"/>
        <v>1.012122646847901E-2</v>
      </c>
      <c r="Y86" s="47">
        <f t="shared" si="88"/>
        <v>-35686.398420083955</v>
      </c>
      <c r="Z86" s="47">
        <f t="shared" si="89"/>
        <v>36115.89022233896</v>
      </c>
      <c r="AC86" s="122">
        <f t="shared" si="97"/>
        <v>21.305555555555557</v>
      </c>
      <c r="AD86" s="113">
        <f>BBG_EUR!V86/100</f>
        <v>5.5100000000000006E-4</v>
      </c>
      <c r="AE86" s="113">
        <f>BBG_EUR!J86/100</f>
        <v>9.9483000000000002E-3</v>
      </c>
      <c r="AF86" s="116">
        <f>BBG_EUR!X86</f>
        <v>1.091953</v>
      </c>
      <c r="AG86" s="116">
        <f>BBG_EUR!L86</f>
        <v>0.87732100000000002</v>
      </c>
      <c r="AH86" s="112">
        <f t="shared" si="98"/>
        <v>-4.1203563898941642E-3</v>
      </c>
      <c r="AI86" s="112">
        <f t="shared" si="99"/>
        <v>6.1620157872090964E-3</v>
      </c>
      <c r="AJ86" s="112">
        <f t="shared" si="100"/>
        <v>-3.6671705624263806E-3</v>
      </c>
      <c r="AK86" s="112">
        <f t="shared" si="101"/>
        <v>6.6279173466519126E-3</v>
      </c>
      <c r="AL86" s="143">
        <f t="shared" si="90"/>
        <v>1.3984717991205202</v>
      </c>
      <c r="AM86" s="143">
        <f>BBG_EUR!AA86</f>
        <v>1.3980814099999999</v>
      </c>
      <c r="AN86" s="151">
        <f t="shared" si="91"/>
        <v>0.99972084591139709</v>
      </c>
      <c r="AO86" s="147"/>
    </row>
    <row r="87" spans="1:41" x14ac:dyDescent="0.25">
      <c r="A87" s="38">
        <v>51776</v>
      </c>
      <c r="B87" s="22">
        <v>2.4999999999941702E-5</v>
      </c>
      <c r="C87" s="22">
        <v>1.41093245521028E-4</v>
      </c>
      <c r="D87" s="22">
        <v>1.0079990751886101</v>
      </c>
      <c r="E87" s="22">
        <v>2.5865719820290498E-3</v>
      </c>
      <c r="F87" s="32">
        <v>0.86701898068913996</v>
      </c>
      <c r="G87" s="5">
        <f t="shared" si="79"/>
        <v>21.56111111111111</v>
      </c>
      <c r="H87" s="5">
        <f t="shared" si="81"/>
        <v>-3.6542287083525791E-3</v>
      </c>
      <c r="I87" s="5">
        <f t="shared" si="82"/>
        <v>1.0821324009516473</v>
      </c>
      <c r="J87" s="32">
        <f t="shared" si="80"/>
        <v>1.4021233286759436</v>
      </c>
      <c r="K87" s="22" t="s">
        <v>92</v>
      </c>
      <c r="L87" s="40">
        <f t="shared" si="83"/>
        <v>-11.75</v>
      </c>
      <c r="M87" s="96">
        <v>51776</v>
      </c>
      <c r="N87" s="99">
        <f t="shared" si="92"/>
        <v>51684</v>
      </c>
      <c r="O87" s="38">
        <f t="shared" si="93"/>
        <v>51776</v>
      </c>
      <c r="P87" s="88">
        <f t="shared" si="94"/>
        <v>92</v>
      </c>
      <c r="Q87" s="45">
        <v>10000000</v>
      </c>
      <c r="R87" s="105">
        <f t="shared" si="84"/>
        <v>5.5210400421271827E-4</v>
      </c>
      <c r="S87" s="45">
        <f t="shared" si="95"/>
        <v>1410.9324552102801</v>
      </c>
      <c r="T87" s="45">
        <f t="shared" si="96"/>
        <v>249.99999999941701</v>
      </c>
      <c r="V87" s="61">
        <f t="shared" si="85"/>
        <v>-13984717.991205202</v>
      </c>
      <c r="W87" s="47">
        <f t="shared" si="86"/>
        <v>-14021233.286759436</v>
      </c>
      <c r="X87" s="107">
        <f t="shared" si="87"/>
        <v>1.0121368625331065E-2</v>
      </c>
      <c r="Y87" s="47">
        <f t="shared" si="88"/>
        <v>-36172.479732628955</v>
      </c>
      <c r="Z87" s="47">
        <f t="shared" si="89"/>
        <v>36515.295554233715</v>
      </c>
      <c r="AC87" s="122">
        <f t="shared" si="97"/>
        <v>21.56111111111111</v>
      </c>
      <c r="AD87" s="113">
        <f>BBG_EUR!V87/100</f>
        <v>5.5110000000000001E-4</v>
      </c>
      <c r="AE87" s="113">
        <f>BBG_EUR!J87/100</f>
        <v>9.9684999999999999E-3</v>
      </c>
      <c r="AF87" s="116">
        <f>BBG_EUR!X87</f>
        <v>1.0927</v>
      </c>
      <c r="AG87" s="116">
        <f>BBG_EUR!L87</f>
        <v>0.87570800000000004</v>
      </c>
      <c r="AH87" s="112">
        <f t="shared" si="98"/>
        <v>-4.103206666110748E-3</v>
      </c>
      <c r="AI87" s="112">
        <f t="shared" si="99"/>
        <v>6.1746313707475853E-3</v>
      </c>
      <c r="AJ87" s="112">
        <f t="shared" si="100"/>
        <v>-3.6542287083524139E-3</v>
      </c>
      <c r="AK87" s="112">
        <f t="shared" si="101"/>
        <v>6.6400863281386169E-3</v>
      </c>
      <c r="AL87" s="143">
        <f t="shared" si="90"/>
        <v>1.4021233286759436</v>
      </c>
      <c r="AM87" s="143">
        <f>BBG_EUR!AA87</f>
        <v>1.4016909289999999</v>
      </c>
      <c r="AN87" s="151">
        <f t="shared" si="91"/>
        <v>0.99969161081118874</v>
      </c>
      <c r="AO87" s="147"/>
    </row>
    <row r="88" spans="1:41" x14ac:dyDescent="0.25">
      <c r="A88" s="38">
        <v>51868</v>
      </c>
      <c r="B88" s="22">
        <v>2.4999999999941702E-5</v>
      </c>
      <c r="C88" s="22">
        <v>1.41093245521028E-4</v>
      </c>
      <c r="D88" s="22">
        <v>1.0080866135697899</v>
      </c>
      <c r="E88" s="22">
        <v>2.5865719820292702E-3</v>
      </c>
      <c r="F88" s="32">
        <v>0.86533092731388095</v>
      </c>
      <c r="G88" s="5">
        <f t="shared" si="79"/>
        <v>21.816666666666666</v>
      </c>
      <c r="H88" s="5">
        <f t="shared" si="81"/>
        <v>-3.6412868542789259E-3</v>
      </c>
      <c r="I88" s="5">
        <f t="shared" si="82"/>
        <v>1.0828383838893647</v>
      </c>
      <c r="J88" s="32">
        <f t="shared" si="80"/>
        <v>1.4057750648499199</v>
      </c>
      <c r="K88" s="22" t="s">
        <v>92</v>
      </c>
      <c r="L88" s="40">
        <f t="shared" si="83"/>
        <v>-11.75</v>
      </c>
      <c r="M88" s="96">
        <v>51868</v>
      </c>
      <c r="N88" s="99">
        <f t="shared" si="92"/>
        <v>51776</v>
      </c>
      <c r="O88" s="38">
        <f t="shared" si="93"/>
        <v>51868</v>
      </c>
      <c r="P88" s="88">
        <f t="shared" si="94"/>
        <v>92</v>
      </c>
      <c r="Q88" s="45">
        <v>10000000</v>
      </c>
      <c r="R88" s="105">
        <f t="shared" si="84"/>
        <v>5.5210400421271827E-4</v>
      </c>
      <c r="S88" s="45">
        <f t="shared" si="95"/>
        <v>1410.9324552102801</v>
      </c>
      <c r="T88" s="45">
        <f t="shared" si="96"/>
        <v>249.99999999941701</v>
      </c>
      <c r="V88" s="61">
        <f t="shared" si="85"/>
        <v>-14021233.286759436</v>
      </c>
      <c r="W88" s="47">
        <f t="shared" si="86"/>
        <v>-14057750.648499198</v>
      </c>
      <c r="X88" s="107">
        <f t="shared" si="87"/>
        <v>1.0121368625331927E-2</v>
      </c>
      <c r="Y88" s="47">
        <f t="shared" si="88"/>
        <v>-36266.929173028133</v>
      </c>
      <c r="Z88" s="47">
        <f t="shared" si="89"/>
        <v>36517.361739762127</v>
      </c>
      <c r="AC88" s="122">
        <f t="shared" si="97"/>
        <v>21.816666666666666</v>
      </c>
      <c r="AD88" s="113">
        <f>BBG_EUR!V88/100</f>
        <v>5.5130000000000001E-4</v>
      </c>
      <c r="AE88" s="113">
        <f>BBG_EUR!J88/100</f>
        <v>9.9883999999999997E-3</v>
      </c>
      <c r="AF88" s="116">
        <f>BBG_EUR!X88</f>
        <v>1.0934379999999999</v>
      </c>
      <c r="AG88" s="116">
        <f>BBG_EUR!L88</f>
        <v>0.87409300000000001</v>
      </c>
      <c r="AH88" s="112">
        <f t="shared" si="98"/>
        <v>-4.086061365859095E-3</v>
      </c>
      <c r="AI88" s="112">
        <f t="shared" si="99"/>
        <v>6.1872135549982943E-3</v>
      </c>
      <c r="AJ88" s="112">
        <f t="shared" si="100"/>
        <v>-3.6412868542788912E-3</v>
      </c>
      <c r="AK88" s="112">
        <f t="shared" si="101"/>
        <v>6.6519703621485959E-3</v>
      </c>
      <c r="AL88" s="143">
        <f t="shared" si="90"/>
        <v>1.4057750648499199</v>
      </c>
      <c r="AM88" s="143">
        <f>BBG_EUR!AA88</f>
        <v>1.4051904150000001</v>
      </c>
      <c r="AN88" s="151">
        <f t="shared" si="91"/>
        <v>0.99958410853589708</v>
      </c>
      <c r="AO88" s="147"/>
    </row>
    <row r="89" spans="1:41" x14ac:dyDescent="0.25">
      <c r="A89" s="38">
        <v>51958</v>
      </c>
      <c r="B89" s="22">
        <v>2.4999999999941702E-5</v>
      </c>
      <c r="C89" s="22">
        <v>1.3802578938371099E-4</v>
      </c>
      <c r="D89" s="22">
        <v>1.0081722562987501</v>
      </c>
      <c r="E89" s="22">
        <v>2.5302710785719499E-3</v>
      </c>
      <c r="F89" s="32">
        <v>0.86368275097813496</v>
      </c>
      <c r="G89" s="5">
        <f t="shared" si="79"/>
        <v>22.066666666666666</v>
      </c>
      <c r="H89" s="5">
        <f t="shared" si="81"/>
        <v>-3.6286263448590482E-3</v>
      </c>
      <c r="I89" s="5">
        <f t="shared" si="82"/>
        <v>1.083522508349051</v>
      </c>
      <c r="J89" s="32">
        <f t="shared" si="80"/>
        <v>1.4093475694643567</v>
      </c>
      <c r="K89" s="22" t="s">
        <v>92</v>
      </c>
      <c r="L89" s="40">
        <f t="shared" si="83"/>
        <v>-11.75</v>
      </c>
      <c r="M89" s="96">
        <v>51958</v>
      </c>
      <c r="N89" s="99">
        <f t="shared" si="92"/>
        <v>51868</v>
      </c>
      <c r="O89" s="38">
        <f t="shared" si="93"/>
        <v>51958</v>
      </c>
      <c r="P89" s="88">
        <f t="shared" si="94"/>
        <v>90</v>
      </c>
      <c r="Q89" s="45">
        <v>10000000</v>
      </c>
      <c r="R89" s="105">
        <f t="shared" si="84"/>
        <v>5.5210315753484397E-4</v>
      </c>
      <c r="S89" s="45">
        <f t="shared" si="95"/>
        <v>1380.25789383711</v>
      </c>
      <c r="T89" s="45">
        <f t="shared" si="96"/>
        <v>249.99999999941701</v>
      </c>
      <c r="V89" s="61">
        <f t="shared" si="85"/>
        <v>-14057750.648499198</v>
      </c>
      <c r="W89" s="47">
        <f t="shared" si="86"/>
        <v>-14093475.694643566</v>
      </c>
      <c r="X89" s="107">
        <f t="shared" si="87"/>
        <v>1.01210843142878E-2</v>
      </c>
      <c r="Y89" s="47">
        <f t="shared" si="88"/>
        <v>-35569.919895673593</v>
      </c>
      <c r="Z89" s="47">
        <f t="shared" si="89"/>
        <v>35725.046144368127</v>
      </c>
      <c r="AC89" s="122">
        <f t="shared" si="97"/>
        <v>22.066666666666666</v>
      </c>
      <c r="AD89" s="113">
        <f>BBG_EUR!V89/100</f>
        <v>5.5150000000000002E-4</v>
      </c>
      <c r="AE89" s="113">
        <f>BBG_EUR!J89/100</f>
        <v>1.00077E-2</v>
      </c>
      <c r="AF89" s="116">
        <f>BBG_EUR!X89</f>
        <v>1.094152</v>
      </c>
      <c r="AG89" s="116">
        <f>BBG_EUR!L89</f>
        <v>0.87251199999999995</v>
      </c>
      <c r="AH89" s="112">
        <f t="shared" si="98"/>
        <v>-4.0693246869683009E-3</v>
      </c>
      <c r="AI89" s="112">
        <f t="shared" si="99"/>
        <v>6.1994489230310368E-3</v>
      </c>
      <c r="AJ89" s="112">
        <f t="shared" si="100"/>
        <v>-3.6286263448589429E-3</v>
      </c>
      <c r="AK89" s="112">
        <f t="shared" si="101"/>
        <v>6.6633298299514365E-3</v>
      </c>
      <c r="AL89" s="143">
        <f t="shared" si="90"/>
        <v>1.4093475694643567</v>
      </c>
      <c r="AM89" s="143">
        <f>BBG_EUR!AA89</f>
        <v>1.4086949640000002</v>
      </c>
      <c r="AN89" s="151">
        <f t="shared" si="91"/>
        <v>0.99953694498185108</v>
      </c>
      <c r="AO89" s="147"/>
    </row>
    <row r="90" spans="1:41" x14ac:dyDescent="0.25">
      <c r="A90" s="38">
        <v>52049</v>
      </c>
      <c r="B90" s="22">
        <v>2.4999999999941702E-5</v>
      </c>
      <c r="C90" s="22">
        <v>1.3955951627630999E-4</v>
      </c>
      <c r="D90" s="22">
        <v>1.00825885801114</v>
      </c>
      <c r="E90" s="22">
        <v>2.55842113508775E-3</v>
      </c>
      <c r="F90" s="32">
        <v>0.86201945330834595</v>
      </c>
      <c r="G90" s="5">
        <f t="shared" si="79"/>
        <v>22.319444444444443</v>
      </c>
      <c r="H90" s="5">
        <f t="shared" si="81"/>
        <v>-3.6158251631122833E-3</v>
      </c>
      <c r="I90" s="5">
        <f t="shared" si="82"/>
        <v>1.084207674014009</v>
      </c>
      <c r="J90" s="32">
        <f t="shared" si="80"/>
        <v>1.4129598773122549</v>
      </c>
      <c r="K90" s="22" t="s">
        <v>92</v>
      </c>
      <c r="L90" s="40">
        <f t="shared" si="83"/>
        <v>-11.75</v>
      </c>
      <c r="M90" s="96">
        <v>52049</v>
      </c>
      <c r="N90" s="99">
        <f t="shared" si="92"/>
        <v>51958</v>
      </c>
      <c r="O90" s="38">
        <f t="shared" si="93"/>
        <v>52049</v>
      </c>
      <c r="P90" s="88">
        <f t="shared" si="94"/>
        <v>91</v>
      </c>
      <c r="Q90" s="45">
        <v>10000000</v>
      </c>
      <c r="R90" s="105">
        <f t="shared" si="84"/>
        <v>5.5210358087331426E-4</v>
      </c>
      <c r="S90" s="45">
        <f t="shared" si="95"/>
        <v>1395.5951627630998</v>
      </c>
      <c r="T90" s="45">
        <f t="shared" si="96"/>
        <v>249.99999999941701</v>
      </c>
      <c r="V90" s="61">
        <f t="shared" si="85"/>
        <v>-14093475.694643566</v>
      </c>
      <c r="W90" s="47">
        <f t="shared" si="86"/>
        <v>-14129598.773122549</v>
      </c>
      <c r="X90" s="107">
        <f t="shared" si="87"/>
        <v>1.012122646847901E-2</v>
      </c>
      <c r="Y90" s="47">
        <f t="shared" si="88"/>
        <v>-36057.046084021611</v>
      </c>
      <c r="Z90" s="47">
        <f t="shared" si="89"/>
        <v>36123.078478982672</v>
      </c>
      <c r="AC90" s="122">
        <f t="shared" si="97"/>
        <v>22.319444444444443</v>
      </c>
      <c r="AD90" s="113">
        <f>BBG_EUR!V90/100</f>
        <v>5.5159999999999996E-4</v>
      </c>
      <c r="AE90" s="113">
        <f>BBG_EUR!J90/100</f>
        <v>1.0026999999999999E-2</v>
      </c>
      <c r="AF90" s="116">
        <f>BBG_EUR!X90</f>
        <v>1.0948659999999999</v>
      </c>
      <c r="AG90" s="116">
        <f>BBG_EUR!L90</f>
        <v>0.87091099999999999</v>
      </c>
      <c r="AH90" s="112">
        <f t="shared" si="98"/>
        <v>-4.0524403259277753E-3</v>
      </c>
      <c r="AI90" s="112">
        <f t="shared" si="99"/>
        <v>6.2118181647992099E-3</v>
      </c>
      <c r="AJ90" s="112">
        <f t="shared" si="100"/>
        <v>-3.6158251631123184E-3</v>
      </c>
      <c r="AK90" s="112">
        <f t="shared" si="101"/>
        <v>6.6745569083617173E-3</v>
      </c>
      <c r="AL90" s="143">
        <f t="shared" si="90"/>
        <v>1.4129598773122549</v>
      </c>
      <c r="AM90" s="143">
        <f>BBG_EUR!AA90</f>
        <v>1.412204555</v>
      </c>
      <c r="AN90" s="151">
        <f t="shared" si="91"/>
        <v>0.99946543258277676</v>
      </c>
      <c r="AO90" s="147"/>
    </row>
    <row r="91" spans="1:41" x14ac:dyDescent="0.25">
      <c r="A91" s="38">
        <v>52141</v>
      </c>
      <c r="B91" s="22">
        <v>2.4999999999941702E-5</v>
      </c>
      <c r="C91" s="22">
        <v>1.41093245521028E-4</v>
      </c>
      <c r="D91" s="22">
        <v>1.0083464189528299</v>
      </c>
      <c r="E91" s="22">
        <v>2.5865719820290498E-3</v>
      </c>
      <c r="F91" s="32">
        <v>0.86034113382502897</v>
      </c>
      <c r="G91" s="5">
        <f t="shared" si="79"/>
        <v>22.574999999999999</v>
      </c>
      <c r="H91" s="5">
        <f t="shared" si="81"/>
        <v>-3.6028833090386296E-3</v>
      </c>
      <c r="I91" s="5">
        <f t="shared" si="82"/>
        <v>1.0848936502724862</v>
      </c>
      <c r="J91" s="32">
        <f t="shared" si="80"/>
        <v>1.4166119447265404</v>
      </c>
      <c r="K91" s="22" t="s">
        <v>92</v>
      </c>
      <c r="L91" s="40">
        <f t="shared" si="83"/>
        <v>-11.75</v>
      </c>
      <c r="M91" s="96">
        <v>52141</v>
      </c>
      <c r="N91" s="99">
        <f t="shared" si="92"/>
        <v>52049</v>
      </c>
      <c r="O91" s="38">
        <f t="shared" si="93"/>
        <v>52141</v>
      </c>
      <c r="P91" s="88">
        <f t="shared" si="94"/>
        <v>92</v>
      </c>
      <c r="Q91" s="45">
        <v>10000000</v>
      </c>
      <c r="R91" s="105">
        <f t="shared" si="84"/>
        <v>5.5210400421271827E-4</v>
      </c>
      <c r="S91" s="45">
        <f t="shared" si="95"/>
        <v>1410.9324552102801</v>
      </c>
      <c r="T91" s="45">
        <f t="shared" si="96"/>
        <v>249.99999999941701</v>
      </c>
      <c r="V91" s="61">
        <f t="shared" si="85"/>
        <v>-14129598.773122549</v>
      </c>
      <c r="W91" s="47">
        <f t="shared" si="86"/>
        <v>-14166119.447265403</v>
      </c>
      <c r="X91" s="107">
        <f t="shared" si="87"/>
        <v>1.0121368625331065E-2</v>
      </c>
      <c r="Y91" s="47">
        <f t="shared" si="88"/>
        <v>-36547.224303870826</v>
      </c>
      <c r="Z91" s="47">
        <f t="shared" si="89"/>
        <v>36520.674142854288</v>
      </c>
      <c r="AC91" s="122">
        <f t="shared" si="97"/>
        <v>22.574999999999999</v>
      </c>
      <c r="AD91" s="113">
        <f>BBG_EUR!V91/100</f>
        <v>5.5179999999999997E-4</v>
      </c>
      <c r="AE91" s="113">
        <f>BBG_EUR!J91/100</f>
        <v>1.0046299999999999E-2</v>
      </c>
      <c r="AF91" s="116">
        <f>BBG_EUR!X91</f>
        <v>1.0955790000000001</v>
      </c>
      <c r="AG91" s="116">
        <f>BBG_EUR!L91</f>
        <v>0.86929199999999995</v>
      </c>
      <c r="AH91" s="112">
        <f t="shared" si="98"/>
        <v>-4.0353792149876444E-3</v>
      </c>
      <c r="AI91" s="112">
        <f t="shared" si="99"/>
        <v>6.2242158650249735E-3</v>
      </c>
      <c r="AJ91" s="112">
        <f t="shared" si="100"/>
        <v>-3.6028833090386847E-3</v>
      </c>
      <c r="AK91" s="112">
        <f t="shared" si="101"/>
        <v>6.6856519000593195E-3</v>
      </c>
      <c r="AL91" s="143">
        <f t="shared" si="90"/>
        <v>1.4166119447265404</v>
      </c>
      <c r="AM91" s="143">
        <f>BBG_EUR!AA91</f>
        <v>1.415757819</v>
      </c>
      <c r="AN91" s="151">
        <f t="shared" si="91"/>
        <v>0.99939706443269805</v>
      </c>
      <c r="AO91" s="147"/>
    </row>
    <row r="92" spans="1:41" x14ac:dyDescent="0.25">
      <c r="A92" s="38">
        <v>52233</v>
      </c>
      <c r="B92" s="22">
        <v>2.4999999999941702E-5</v>
      </c>
      <c r="C92" s="22">
        <v>1.41093245521028E-4</v>
      </c>
      <c r="D92" s="22">
        <v>1.0084339874986401</v>
      </c>
      <c r="E92" s="22">
        <v>2.5865719820292702E-3</v>
      </c>
      <c r="F92" s="32">
        <v>0.85866608196667904</v>
      </c>
      <c r="G92" s="5">
        <f t="shared" si="79"/>
        <v>22.830555555555556</v>
      </c>
      <c r="H92" s="5">
        <f t="shared" si="81"/>
        <v>-3.5899414549649773E-3</v>
      </c>
      <c r="I92" s="5">
        <f t="shared" si="82"/>
        <v>1.0855728579260557</v>
      </c>
      <c r="J92" s="32">
        <f t="shared" si="80"/>
        <v>1.4202640283647021</v>
      </c>
      <c r="K92" s="22" t="s">
        <v>92</v>
      </c>
      <c r="L92" s="40">
        <f t="shared" si="83"/>
        <v>-11.75</v>
      </c>
      <c r="M92" s="96">
        <v>52233</v>
      </c>
      <c r="N92" s="99">
        <f t="shared" si="92"/>
        <v>52141</v>
      </c>
      <c r="O92" s="38">
        <f t="shared" si="93"/>
        <v>52233</v>
      </c>
      <c r="P92" s="88">
        <f t="shared" si="94"/>
        <v>92</v>
      </c>
      <c r="Q92" s="45">
        <v>10000000</v>
      </c>
      <c r="R92" s="105">
        <f t="shared" si="84"/>
        <v>5.5210400421271827E-4</v>
      </c>
      <c r="S92" s="45">
        <f t="shared" si="95"/>
        <v>1410.9324552102801</v>
      </c>
      <c r="T92" s="45">
        <f t="shared" si="96"/>
        <v>249.99999999941701</v>
      </c>
      <c r="V92" s="61">
        <f t="shared" si="85"/>
        <v>-14166119.447265403</v>
      </c>
      <c r="W92" s="47">
        <f t="shared" si="86"/>
        <v>-14202640.283647021</v>
      </c>
      <c r="X92" s="107">
        <f t="shared" si="87"/>
        <v>1.0121368625331927E-2</v>
      </c>
      <c r="Y92" s="47">
        <f t="shared" si="88"/>
        <v>-36641.687656376664</v>
      </c>
      <c r="Z92" s="47">
        <f t="shared" si="89"/>
        <v>36520.836381617934</v>
      </c>
      <c r="AC92" s="122">
        <f t="shared" si="97"/>
        <v>22.830555555555556</v>
      </c>
      <c r="AD92" s="113">
        <f>BBG_EUR!V92/100</f>
        <v>5.5199999999999997E-4</v>
      </c>
      <c r="AE92" s="113">
        <f>BBG_EUR!J92/100</f>
        <v>1.00654E-2</v>
      </c>
      <c r="AF92" s="116">
        <f>BBG_EUR!X92</f>
        <v>1.096285</v>
      </c>
      <c r="AG92" s="116">
        <f>BBG_EUR!L92</f>
        <v>0.86767099999999997</v>
      </c>
      <c r="AH92" s="112">
        <f t="shared" si="98"/>
        <v>-4.0184027413410206E-3</v>
      </c>
      <c r="AI92" s="112">
        <f t="shared" si="99"/>
        <v>6.2365906339461041E-3</v>
      </c>
      <c r="AJ92" s="112">
        <f t="shared" si="100"/>
        <v>-3.58994145496494E-3</v>
      </c>
      <c r="AK92" s="112">
        <f t="shared" si="101"/>
        <v>6.6964986247013414E-3</v>
      </c>
      <c r="AL92" s="143">
        <f t="shared" si="90"/>
        <v>1.4202640283647021</v>
      </c>
      <c r="AM92" s="143">
        <f>BBG_EUR!AA92</f>
        <v>1.4192774910000001</v>
      </c>
      <c r="AN92" s="151">
        <f t="shared" si="91"/>
        <v>0.9993053845306229</v>
      </c>
      <c r="AO92" s="147"/>
    </row>
    <row r="93" spans="1:41" x14ac:dyDescent="0.25">
      <c r="A93" s="38">
        <v>52323</v>
      </c>
      <c r="B93" s="22">
        <v>2.4999999999941702E-5</v>
      </c>
      <c r="C93" s="22">
        <v>1.38025789383489E-4</v>
      </c>
      <c r="D93" s="22">
        <v>1.008519659739</v>
      </c>
      <c r="E93" s="22">
        <v>2.5302710785719499E-3</v>
      </c>
      <c r="F93" s="32">
        <v>0.85703060001181797</v>
      </c>
      <c r="G93" s="5">
        <f t="shared" si="79"/>
        <v>23.080555555555556</v>
      </c>
      <c r="H93" s="5">
        <f t="shared" si="81"/>
        <v>-3.5772809455450988E-3</v>
      </c>
      <c r="I93" s="5">
        <f t="shared" si="82"/>
        <v>1.0862307381099006</v>
      </c>
      <c r="J93" s="32">
        <f t="shared" si="80"/>
        <v>1.4238366881834037</v>
      </c>
      <c r="K93" s="22" t="s">
        <v>92</v>
      </c>
      <c r="L93" s="40">
        <f t="shared" si="83"/>
        <v>-11.75</v>
      </c>
      <c r="M93" s="96">
        <v>52323</v>
      </c>
      <c r="N93" s="99">
        <f t="shared" si="92"/>
        <v>52233</v>
      </c>
      <c r="O93" s="38">
        <f t="shared" si="93"/>
        <v>52323</v>
      </c>
      <c r="P93" s="88">
        <f t="shared" si="94"/>
        <v>90</v>
      </c>
      <c r="Q93" s="45">
        <v>10000000</v>
      </c>
      <c r="R93" s="105">
        <f t="shared" si="84"/>
        <v>5.5210315753395601E-4</v>
      </c>
      <c r="S93" s="45">
        <f t="shared" si="95"/>
        <v>1380.25789383489</v>
      </c>
      <c r="T93" s="45">
        <f t="shared" si="96"/>
        <v>249.99999999941701</v>
      </c>
      <c r="V93" s="61">
        <f t="shared" si="85"/>
        <v>-14202640.283647021</v>
      </c>
      <c r="W93" s="47">
        <f t="shared" si="86"/>
        <v>-14238366.881834038</v>
      </c>
      <c r="X93" s="107">
        <f t="shared" si="87"/>
        <v>1.01210843142878E-2</v>
      </c>
      <c r="Y93" s="47">
        <f t="shared" si="88"/>
        <v>-35936.529949072974</v>
      </c>
      <c r="Z93" s="47">
        <f t="shared" si="89"/>
        <v>35726.598187016323</v>
      </c>
      <c r="AC93" s="122">
        <f t="shared" si="97"/>
        <v>23.080555555555556</v>
      </c>
      <c r="AD93" s="113">
        <f>BBG_EUR!V93/100</f>
        <v>5.5210000000000003E-4</v>
      </c>
      <c r="AE93" s="113">
        <f>BBG_EUR!J93/100</f>
        <v>1.00838E-2</v>
      </c>
      <c r="AF93" s="116">
        <f>BBG_EUR!X93</f>
        <v>1.096967</v>
      </c>
      <c r="AG93" s="116">
        <f>BBG_EUR!L93</f>
        <v>0.86608300000000005</v>
      </c>
      <c r="AH93" s="112">
        <f t="shared" si="98"/>
        <v>-4.0018011383734509E-3</v>
      </c>
      <c r="AI93" s="112">
        <f t="shared" si="99"/>
        <v>6.2486913141972522E-3</v>
      </c>
      <c r="AJ93" s="112">
        <f t="shared" si="100"/>
        <v>-3.5772809455449917E-3</v>
      </c>
      <c r="AK93" s="112">
        <f t="shared" si="101"/>
        <v>6.7068772390928011E-3</v>
      </c>
      <c r="AL93" s="143">
        <f t="shared" si="90"/>
        <v>1.4238366881834037</v>
      </c>
      <c r="AM93" s="143">
        <f>BBG_EUR!AA93</f>
        <v>1.422802146</v>
      </c>
      <c r="AN93" s="151">
        <f t="shared" si="91"/>
        <v>0.99927341232882294</v>
      </c>
      <c r="AO93" s="147"/>
    </row>
    <row r="94" spans="1:41" x14ac:dyDescent="0.25">
      <c r="A94" s="38">
        <v>52414</v>
      </c>
      <c r="B94" s="22">
        <v>2.4999999999941702E-5</v>
      </c>
      <c r="C94" s="22">
        <v>1.3955951627630999E-4</v>
      </c>
      <c r="D94" s="22">
        <v>1.0086062912932401</v>
      </c>
      <c r="E94" s="22">
        <v>2.5584211350875201E-3</v>
      </c>
      <c r="F94" s="32">
        <v>0.85538011318859197</v>
      </c>
      <c r="G94" s="5">
        <f t="shared" si="79"/>
        <v>23.333333333333332</v>
      </c>
      <c r="H94" s="5">
        <f t="shared" si="81"/>
        <v>-3.5644797637983338E-3</v>
      </c>
      <c r="I94" s="5">
        <f t="shared" si="82"/>
        <v>1.086889317032123</v>
      </c>
      <c r="J94" s="32">
        <f t="shared" si="80"/>
        <v>1.4274489667550658</v>
      </c>
      <c r="K94" s="22" t="s">
        <v>92</v>
      </c>
      <c r="L94" s="40">
        <f t="shared" si="83"/>
        <v>-11.75</v>
      </c>
      <c r="M94" s="96">
        <v>52414</v>
      </c>
      <c r="N94" s="99">
        <f t="shared" si="92"/>
        <v>52323</v>
      </c>
      <c r="O94" s="38">
        <f t="shared" si="93"/>
        <v>52414</v>
      </c>
      <c r="P94" s="88">
        <f t="shared" si="94"/>
        <v>91</v>
      </c>
      <c r="Q94" s="45">
        <v>10000000</v>
      </c>
      <c r="R94" s="105">
        <f t="shared" si="84"/>
        <v>5.5210358087331426E-4</v>
      </c>
      <c r="S94" s="45">
        <f t="shared" si="95"/>
        <v>1395.5951627630998</v>
      </c>
      <c r="T94" s="45">
        <f t="shared" si="96"/>
        <v>249.99999999941701</v>
      </c>
      <c r="V94" s="61">
        <f t="shared" si="85"/>
        <v>-14238366.881834038</v>
      </c>
      <c r="W94" s="47">
        <f t="shared" si="86"/>
        <v>-14274489.667550659</v>
      </c>
      <c r="X94" s="107">
        <f t="shared" si="87"/>
        <v>1.0121226468478102E-2</v>
      </c>
      <c r="Y94" s="47">
        <f t="shared" si="88"/>
        <v>-36427.738759614396</v>
      </c>
      <c r="Z94" s="47">
        <f t="shared" si="89"/>
        <v>36122.785716621205</v>
      </c>
      <c r="AC94" s="122">
        <f t="shared" si="97"/>
        <v>23.333333333333332</v>
      </c>
      <c r="AD94" s="113">
        <f>BBG_EUR!V94/100</f>
        <v>5.5230000000000003E-4</v>
      </c>
      <c r="AE94" s="113">
        <f>BBG_EUR!J94/100</f>
        <v>1.01023E-2</v>
      </c>
      <c r="AF94" s="116">
        <f>BBG_EUR!X94</f>
        <v>1.0976490000000001</v>
      </c>
      <c r="AG94" s="116">
        <f>BBG_EUR!L94</f>
        <v>0.86447700000000005</v>
      </c>
      <c r="AH94" s="112">
        <f t="shared" si="98"/>
        <v>-3.9850650348248751E-3</v>
      </c>
      <c r="AI94" s="112">
        <f t="shared" si="99"/>
        <v>6.2608280991074405E-3</v>
      </c>
      <c r="AJ94" s="112">
        <f t="shared" si="100"/>
        <v>-3.5644797637984782E-3</v>
      </c>
      <c r="AK94" s="112">
        <f t="shared" si="101"/>
        <v>6.7171451574576935E-3</v>
      </c>
      <c r="AL94" s="143">
        <f t="shared" si="90"/>
        <v>1.4274489667550658</v>
      </c>
      <c r="AM94" s="143">
        <f>BBG_EUR!AA94</f>
        <v>1.426331762</v>
      </c>
      <c r="AN94" s="151">
        <f t="shared" si="91"/>
        <v>0.99921734171862864</v>
      </c>
      <c r="AO94" s="147"/>
    </row>
    <row r="95" spans="1:41" x14ac:dyDescent="0.25">
      <c r="A95" s="38">
        <v>52506</v>
      </c>
      <c r="B95" s="22">
        <v>2.4999999999941702E-5</v>
      </c>
      <c r="C95" s="22">
        <v>1.41093245521028E-4</v>
      </c>
      <c r="D95" s="22">
        <v>1.0086938824073299</v>
      </c>
      <c r="E95" s="22">
        <v>2.5865719820290498E-3</v>
      </c>
      <c r="F95" s="32">
        <v>0.85371472025100004</v>
      </c>
      <c r="G95" s="5">
        <f t="shared" si="79"/>
        <v>23.588888888888889</v>
      </c>
      <c r="H95" s="5">
        <f t="shared" si="81"/>
        <v>-3.5515379097246806E-3</v>
      </c>
      <c r="I95" s="5">
        <f t="shared" si="82"/>
        <v>1.087548362890167</v>
      </c>
      <c r="J95" s="32">
        <f t="shared" si="80"/>
        <v>1.4311008137608394</v>
      </c>
      <c r="K95" s="22" t="s">
        <v>92</v>
      </c>
      <c r="L95" s="40">
        <f t="shared" si="83"/>
        <v>-11.75</v>
      </c>
      <c r="M95" s="96">
        <v>52506</v>
      </c>
      <c r="N95" s="99">
        <f t="shared" si="92"/>
        <v>52414</v>
      </c>
      <c r="O95" s="38">
        <f t="shared" si="93"/>
        <v>52506</v>
      </c>
      <c r="P95" s="88">
        <f t="shared" si="94"/>
        <v>92</v>
      </c>
      <c r="Q95" s="45">
        <v>10000000</v>
      </c>
      <c r="R95" s="105">
        <f t="shared" si="84"/>
        <v>5.5210400421271827E-4</v>
      </c>
      <c r="S95" s="45">
        <f t="shared" si="95"/>
        <v>1410.9324552102801</v>
      </c>
      <c r="T95" s="45">
        <f t="shared" si="96"/>
        <v>249.99999999941701</v>
      </c>
      <c r="V95" s="61">
        <f t="shared" si="85"/>
        <v>-14274489.667550659</v>
      </c>
      <c r="W95" s="47">
        <f t="shared" si="86"/>
        <v>-14311008.137608394</v>
      </c>
      <c r="X95" s="107">
        <f t="shared" si="87"/>
        <v>1.0121368625331065E-2</v>
      </c>
      <c r="Y95" s="47">
        <f t="shared" si="88"/>
        <v>-36921.995031849699</v>
      </c>
      <c r="Z95" s="47">
        <f t="shared" si="89"/>
        <v>36518.47005773522</v>
      </c>
      <c r="AC95" s="122">
        <f t="shared" si="97"/>
        <v>23.588888888888889</v>
      </c>
      <c r="AD95" s="113">
        <f>BBG_EUR!V95/100</f>
        <v>5.5250000000000004E-4</v>
      </c>
      <c r="AE95" s="113">
        <f>BBG_EUR!J95/100</f>
        <v>1.0120800000000001E-2</v>
      </c>
      <c r="AF95" s="116">
        <f>BBG_EUR!X95</f>
        <v>1.09833</v>
      </c>
      <c r="AG95" s="116">
        <f>BBG_EUR!L95</f>
        <v>0.86285199999999995</v>
      </c>
      <c r="AH95" s="112">
        <f t="shared" si="98"/>
        <v>-3.9681662274996254E-3</v>
      </c>
      <c r="AI95" s="112">
        <f t="shared" si="99"/>
        <v>6.2730504723882419E-3</v>
      </c>
      <c r="AJ95" s="112">
        <f t="shared" si="100"/>
        <v>-3.5515379097247335E-3</v>
      </c>
      <c r="AK95" s="112">
        <f t="shared" si="101"/>
        <v>6.7273023110872021E-3</v>
      </c>
      <c r="AL95" s="143">
        <f t="shared" si="90"/>
        <v>1.4311008137608394</v>
      </c>
      <c r="AM95" s="143">
        <f>BBG_EUR!AA95</f>
        <v>1.429905188</v>
      </c>
      <c r="AN95" s="151">
        <f t="shared" si="91"/>
        <v>0.99916454120538345</v>
      </c>
      <c r="AO95" s="147"/>
    </row>
    <row r="96" spans="1:41" x14ac:dyDescent="0.25">
      <c r="A96" s="38">
        <v>52600</v>
      </c>
      <c r="B96" s="22">
        <v>2.55555555555009E-5</v>
      </c>
      <c r="C96" s="22">
        <v>1.44160711066376E-4</v>
      </c>
      <c r="D96" s="22">
        <v>1.00878338553266</v>
      </c>
      <c r="E96" s="22">
        <v>2.6428760472782999E-3</v>
      </c>
      <c r="F96" s="32">
        <v>0.85201647202779496</v>
      </c>
      <c r="G96" s="5">
        <f t="shared" si="79"/>
        <v>23.85</v>
      </c>
      <c r="H96" s="5">
        <f t="shared" si="81"/>
        <v>-3.5383147109972527E-3</v>
      </c>
      <c r="I96" s="5">
        <f t="shared" si="82"/>
        <v>1.0882146918599456</v>
      </c>
      <c r="J96" s="32">
        <f t="shared" si="80"/>
        <v>1.4348318664848321</v>
      </c>
      <c r="K96" s="22" t="s">
        <v>92</v>
      </c>
      <c r="L96" s="40">
        <f t="shared" si="83"/>
        <v>-11.75</v>
      </c>
      <c r="M96" s="96">
        <v>52600</v>
      </c>
      <c r="N96" s="99">
        <f t="shared" si="92"/>
        <v>52506</v>
      </c>
      <c r="O96" s="38">
        <f t="shared" si="93"/>
        <v>52600</v>
      </c>
      <c r="P96" s="88">
        <f t="shared" si="94"/>
        <v>94</v>
      </c>
      <c r="Q96" s="45">
        <v>10000000</v>
      </c>
      <c r="R96" s="105">
        <f t="shared" si="84"/>
        <v>5.5210485089250379E-4</v>
      </c>
      <c r="S96" s="45">
        <f t="shared" si="95"/>
        <v>1441.6071106637601</v>
      </c>
      <c r="T96" s="45">
        <f t="shared" si="96"/>
        <v>255.55555555500899</v>
      </c>
      <c r="V96" s="61">
        <f t="shared" si="85"/>
        <v>-14311008.137608394</v>
      </c>
      <c r="W96" s="47">
        <f t="shared" si="86"/>
        <v>-14348318.66484832</v>
      </c>
      <c r="X96" s="107">
        <f t="shared" si="87"/>
        <v>1.0121652947023276E-2</v>
      </c>
      <c r="Y96" s="47">
        <f t="shared" si="88"/>
        <v>-37822.220619290056</v>
      </c>
      <c r="Z96" s="47">
        <f t="shared" si="89"/>
        <v>37310.527239926159</v>
      </c>
      <c r="AC96" s="122">
        <f t="shared" si="97"/>
        <v>23.85</v>
      </c>
      <c r="AD96" s="113">
        <f>BBG_EUR!V96/100</f>
        <v>5.5270000000000004E-4</v>
      </c>
      <c r="AE96" s="113">
        <f>BBG_EUR!J96/100</f>
        <v>1.01396E-2</v>
      </c>
      <c r="AF96" s="116">
        <f>BBG_EUR!X96</f>
        <v>1.0990169999999999</v>
      </c>
      <c r="AG96" s="116">
        <f>BBG_EUR!L96</f>
        <v>0.86119000000000001</v>
      </c>
      <c r="AH96" s="112">
        <f t="shared" si="98"/>
        <v>-3.9509226585857649E-3</v>
      </c>
      <c r="AI96" s="112">
        <f t="shared" si="99"/>
        <v>6.2855047425889321E-3</v>
      </c>
      <c r="AJ96" s="112">
        <f t="shared" si="100"/>
        <v>-3.5383147109974145E-3</v>
      </c>
      <c r="AK96" s="112">
        <f t="shared" si="101"/>
        <v>6.7374555552555115E-3</v>
      </c>
      <c r="AL96" s="143">
        <f t="shared" si="90"/>
        <v>1.4348318664848321</v>
      </c>
      <c r="AM96" s="143">
        <f>BBG_EUR!AA96</f>
        <v>1.43344472</v>
      </c>
      <c r="AN96" s="151">
        <f t="shared" si="91"/>
        <v>0.99903323412503342</v>
      </c>
      <c r="AO96" s="147"/>
    </row>
    <row r="97" spans="1:41" x14ac:dyDescent="0.25">
      <c r="A97" s="38">
        <v>52691</v>
      </c>
      <c r="B97" s="22">
        <v>2.4999999999941702E-5</v>
      </c>
      <c r="C97" s="22">
        <v>1.3955951627630999E-4</v>
      </c>
      <c r="D97" s="22">
        <v>1.0088700397408701</v>
      </c>
      <c r="E97" s="22">
        <v>2.55842113508775E-3</v>
      </c>
      <c r="F97" s="32">
        <v>0.85037564151341904</v>
      </c>
      <c r="G97" s="5">
        <f t="shared" si="79"/>
        <v>24.102777777777778</v>
      </c>
      <c r="H97" s="5">
        <f t="shared" si="81"/>
        <v>-3.5255135292504873E-3</v>
      </c>
      <c r="I97" s="5">
        <f t="shared" si="82"/>
        <v>1.0888529599280321</v>
      </c>
      <c r="J97" s="32">
        <f t="shared" si="80"/>
        <v>1.4384436188766923</v>
      </c>
      <c r="K97" s="22" t="s">
        <v>92</v>
      </c>
      <c r="L97" s="40">
        <f t="shared" si="83"/>
        <v>-11.75</v>
      </c>
      <c r="M97" s="96">
        <v>52691</v>
      </c>
      <c r="N97" s="99">
        <f t="shared" si="92"/>
        <v>52600</v>
      </c>
      <c r="O97" s="38">
        <f t="shared" si="93"/>
        <v>52691</v>
      </c>
      <c r="P97" s="88">
        <f t="shared" si="94"/>
        <v>91</v>
      </c>
      <c r="Q97" s="45">
        <v>10000000</v>
      </c>
      <c r="R97" s="105">
        <f t="shared" si="84"/>
        <v>5.5210358087331426E-4</v>
      </c>
      <c r="S97" s="45">
        <f t="shared" si="95"/>
        <v>1395.5951627630998</v>
      </c>
      <c r="T97" s="45">
        <f t="shared" si="96"/>
        <v>249.99999999941701</v>
      </c>
      <c r="V97" s="61">
        <f t="shared" si="85"/>
        <v>-14348318.66484832</v>
      </c>
      <c r="W97" s="47">
        <f t="shared" si="86"/>
        <v>-14384436.188766923</v>
      </c>
      <c r="X97" s="107">
        <f t="shared" si="87"/>
        <v>1.012122646847901E-2</v>
      </c>
      <c r="Y97" s="47">
        <f t="shared" si="88"/>
        <v>-36709.041725121991</v>
      </c>
      <c r="Z97" s="47">
        <f t="shared" si="89"/>
        <v>36117.523918602616</v>
      </c>
      <c r="AC97" s="122">
        <f t="shared" si="97"/>
        <v>24.102777777777778</v>
      </c>
      <c r="AD97" s="113">
        <f>BBG_EUR!V97/100</f>
        <v>5.5279999999999999E-4</v>
      </c>
      <c r="AE97" s="113">
        <f>BBG_EUR!J97/100</f>
        <v>1.0157300000000001E-2</v>
      </c>
      <c r="AF97" s="116">
        <f>BBG_EUR!X97</f>
        <v>1.099674</v>
      </c>
      <c r="AG97" s="116">
        <f>BBG_EUR!L97</f>
        <v>0.85958000000000001</v>
      </c>
      <c r="AH97" s="112">
        <f t="shared" si="98"/>
        <v>-3.9342662320011046E-3</v>
      </c>
      <c r="AI97" s="112">
        <f t="shared" si="99"/>
        <v>6.2975033827754601E-3</v>
      </c>
      <c r="AJ97" s="112">
        <f t="shared" si="100"/>
        <v>-3.5255135292505679E-3</v>
      </c>
      <c r="AK97" s="112">
        <f t="shared" si="101"/>
        <v>6.7470752883411755E-3</v>
      </c>
      <c r="AL97" s="143">
        <f t="shared" si="90"/>
        <v>1.4384436188766923</v>
      </c>
      <c r="AM97" s="143">
        <f>BBG_EUR!AA97</f>
        <v>1.4370281279999999</v>
      </c>
      <c r="AN97" s="151">
        <f t="shared" si="91"/>
        <v>0.99901595665056531</v>
      </c>
      <c r="AO97" s="147"/>
    </row>
    <row r="98" spans="1:41" x14ac:dyDescent="0.25">
      <c r="A98" s="38">
        <v>52783</v>
      </c>
      <c r="B98" s="22">
        <v>2.5277777777832301E-5</v>
      </c>
      <c r="C98" s="22">
        <v>1.41093245521028E-4</v>
      </c>
      <c r="D98" s="22">
        <v>1.0089576537598599</v>
      </c>
      <c r="E98" s="22">
        <v>2.5865719820290498E-3</v>
      </c>
      <c r="F98" s="32">
        <v>0.84871999209412496</v>
      </c>
      <c r="G98" s="5">
        <f t="shared" si="79"/>
        <v>24.358333333333334</v>
      </c>
      <c r="H98" s="5">
        <f t="shared" si="81"/>
        <v>-3.5125716751768345E-3</v>
      </c>
      <c r="I98" s="5">
        <f t="shared" si="82"/>
        <v>1.0894914339907569</v>
      </c>
      <c r="J98" s="32">
        <f t="shared" si="80"/>
        <v>1.4420947878525749</v>
      </c>
      <c r="K98" s="22" t="s">
        <v>92</v>
      </c>
      <c r="L98" s="40">
        <f t="shared" si="83"/>
        <v>-11.75</v>
      </c>
      <c r="M98" s="96">
        <v>52783</v>
      </c>
      <c r="N98" s="99">
        <f t="shared" si="92"/>
        <v>52691</v>
      </c>
      <c r="O98" s="38">
        <f t="shared" si="93"/>
        <v>52783</v>
      </c>
      <c r="P98" s="88">
        <f t="shared" si="94"/>
        <v>92</v>
      </c>
      <c r="Q98" s="45">
        <v>10000000</v>
      </c>
      <c r="R98" s="105">
        <f t="shared" si="84"/>
        <v>5.5210400421271827E-4</v>
      </c>
      <c r="S98" s="45">
        <f t="shared" si="95"/>
        <v>1410.9324552102801</v>
      </c>
      <c r="T98" s="45">
        <f t="shared" si="96"/>
        <v>252.77777777832301</v>
      </c>
      <c r="V98" s="61">
        <f t="shared" si="85"/>
        <v>-14384436.188766923</v>
      </c>
      <c r="W98" s="47">
        <f t="shared" si="86"/>
        <v>-14420947.878525749</v>
      </c>
      <c r="X98" s="107">
        <f t="shared" si="87"/>
        <v>1.0121368625331065E-2</v>
      </c>
      <c r="Y98" s="47">
        <f t="shared" si="88"/>
        <v>-37206.379623149252</v>
      </c>
      <c r="Z98" s="47">
        <f t="shared" si="89"/>
        <v>36511.689758826047</v>
      </c>
      <c r="AC98" s="122">
        <f t="shared" si="97"/>
        <v>24.358333333333334</v>
      </c>
      <c r="AD98" s="113">
        <f>BBG_EUR!V98/100</f>
        <v>5.53E-4</v>
      </c>
      <c r="AE98" s="113">
        <f>BBG_EUR!J98/100</f>
        <v>1.0175099999999999E-2</v>
      </c>
      <c r="AF98" s="116">
        <f>BBG_EUR!X98</f>
        <v>1.1003309999999999</v>
      </c>
      <c r="AG98" s="116">
        <f>BBG_EUR!L98</f>
        <v>0.85795100000000002</v>
      </c>
      <c r="AH98" s="112">
        <f t="shared" si="98"/>
        <v>-3.9174947615365774E-3</v>
      </c>
      <c r="AI98" s="112">
        <f t="shared" si="99"/>
        <v>6.3095911667809812E-3</v>
      </c>
      <c r="AJ98" s="112">
        <f t="shared" si="100"/>
        <v>-3.5125716751769342E-3</v>
      </c>
      <c r="AK98" s="112">
        <f t="shared" si="101"/>
        <v>6.7565978632995183E-3</v>
      </c>
      <c r="AL98" s="143">
        <f t="shared" si="90"/>
        <v>1.4420947878525749</v>
      </c>
      <c r="AM98" s="143">
        <f>BBG_EUR!AA98</f>
        <v>1.4405774900000001</v>
      </c>
      <c r="AN98" s="151">
        <f t="shared" si="91"/>
        <v>0.99894785151062493</v>
      </c>
      <c r="AO98" s="147"/>
    </row>
    <row r="99" spans="1:41" x14ac:dyDescent="0.25">
      <c r="A99" s="38">
        <v>52873</v>
      </c>
      <c r="B99" s="22">
        <v>2.44444444443825E-5</v>
      </c>
      <c r="C99" s="22">
        <v>1.38025789383489E-4</v>
      </c>
      <c r="D99" s="22">
        <v>1.0090433704886601</v>
      </c>
      <c r="E99" s="22">
        <v>2.5302710785719499E-3</v>
      </c>
      <c r="F99" s="32">
        <v>0.84710345423272404</v>
      </c>
      <c r="G99" s="5">
        <f t="shared" si="79"/>
        <v>24.608333333333334</v>
      </c>
      <c r="H99" s="5">
        <f t="shared" ref="H99:H130" si="102">RE_MATH_LinearInterpolation($BY$3:$BY$35,$CA$3:$CA$35,$G99)</f>
        <v>-3.4999111657569569E-3</v>
      </c>
      <c r="I99" s="5">
        <f t="shared" ref="I99:I130" si="103">(1+H99)^-$G99</f>
        <v>1.0901093928166805</v>
      </c>
      <c r="J99" s="32">
        <f t="shared" si="80"/>
        <v>1.4456662710689614</v>
      </c>
      <c r="K99" s="22" t="s">
        <v>92</v>
      </c>
      <c r="L99" s="40">
        <f t="shared" ref="L99:L130" si="104">VLOOKUP($K99,$BG$21:$BI$35,3,FALSE)*10000</f>
        <v>-11.75</v>
      </c>
      <c r="M99" s="96">
        <v>52873</v>
      </c>
      <c r="N99" s="99">
        <f t="shared" si="92"/>
        <v>52783</v>
      </c>
      <c r="O99" s="38">
        <f t="shared" si="93"/>
        <v>52873</v>
      </c>
      <c r="P99" s="88">
        <f t="shared" si="94"/>
        <v>90</v>
      </c>
      <c r="Q99" s="45">
        <v>10000000</v>
      </c>
      <c r="R99" s="105">
        <f t="shared" ref="R99:R130" si="105">C99*360/P99</f>
        <v>5.5210315753395601E-4</v>
      </c>
      <c r="S99" s="45">
        <f t="shared" si="95"/>
        <v>1380.25789383489</v>
      </c>
      <c r="T99" s="45">
        <f t="shared" si="96"/>
        <v>244.44444444382501</v>
      </c>
      <c r="V99" s="61">
        <f t="shared" ref="V99:V130" si="106">W98</f>
        <v>-14420947.878525749</v>
      </c>
      <c r="W99" s="47">
        <f t="shared" si="86"/>
        <v>-14456662.710689614</v>
      </c>
      <c r="X99" s="107">
        <f t="shared" ref="X99:X130" si="107">E99*360/P99</f>
        <v>1.01210843142878E-2</v>
      </c>
      <c r="Y99" s="47">
        <f t="shared" ref="Y99:Y130" si="108">V99*E99</f>
        <v>-36488.907342627223</v>
      </c>
      <c r="Z99" s="47">
        <f t="shared" ref="Z99:Z130" si="109">V99-W99</f>
        <v>35714.832163864747</v>
      </c>
      <c r="AC99" s="122">
        <f t="shared" si="97"/>
        <v>24.608333333333334</v>
      </c>
      <c r="AD99" s="113">
        <f>BBG_EUR!V99/100</f>
        <v>5.532E-4</v>
      </c>
      <c r="AE99" s="113">
        <f>BBG_EUR!J99/100</f>
        <v>1.0192300000000001E-2</v>
      </c>
      <c r="AF99" s="116">
        <f>BBG_EUR!X99</f>
        <v>1.100965</v>
      </c>
      <c r="AG99" s="116">
        <f>BBG_EUR!L99</f>
        <v>0.85635600000000001</v>
      </c>
      <c r="AH99" s="112">
        <f t="shared" si="98"/>
        <v>-3.9010902206800813E-3</v>
      </c>
      <c r="AI99" s="112">
        <f t="shared" si="99"/>
        <v>6.3213835011426411E-3</v>
      </c>
      <c r="AJ99" s="112">
        <f t="shared" si="100"/>
        <v>-3.4999111657570969E-3</v>
      </c>
      <c r="AK99" s="112">
        <f t="shared" si="101"/>
        <v>6.7657221306016702E-3</v>
      </c>
      <c r="AL99" s="143">
        <f t="shared" si="90"/>
        <v>1.4456662710689614</v>
      </c>
      <c r="AM99" s="143">
        <f>BBG_EUR!AA99</f>
        <v>1.4441317069999999</v>
      </c>
      <c r="AN99" s="151">
        <f t="shared" si="91"/>
        <v>0.99893850738606027</v>
      </c>
      <c r="AO99" s="147"/>
    </row>
    <row r="100" spans="1:41" x14ac:dyDescent="0.25">
      <c r="A100" s="38">
        <v>52965</v>
      </c>
      <c r="B100" s="22">
        <v>2.4999999999941702E-5</v>
      </c>
      <c r="C100" s="22">
        <v>1.41093245521028E-4</v>
      </c>
      <c r="D100" s="22">
        <v>1.0091309995603299</v>
      </c>
      <c r="E100" s="22">
        <v>2.5865719820290498E-3</v>
      </c>
      <c r="F100" s="32">
        <v>0.84545417563910596</v>
      </c>
      <c r="G100" s="5">
        <f t="shared" si="79"/>
        <v>24.863888888888887</v>
      </c>
      <c r="H100" s="5">
        <f t="shared" si="102"/>
        <v>-3.4869693116833041E-3</v>
      </c>
      <c r="I100" s="5">
        <f t="shared" si="103"/>
        <v>1.0907342892443117</v>
      </c>
      <c r="J100" s="32">
        <f t="shared" si="80"/>
        <v>1.4493167528692996</v>
      </c>
      <c r="K100" s="22" t="s">
        <v>92</v>
      </c>
      <c r="L100" s="40">
        <f t="shared" si="104"/>
        <v>-11.75</v>
      </c>
      <c r="M100" s="96">
        <v>52965</v>
      </c>
      <c r="N100" s="99">
        <f t="shared" si="92"/>
        <v>52873</v>
      </c>
      <c r="O100" s="38">
        <f t="shared" si="93"/>
        <v>52965</v>
      </c>
      <c r="P100" s="88">
        <f t="shared" si="94"/>
        <v>92</v>
      </c>
      <c r="Q100" s="45">
        <v>10000000</v>
      </c>
      <c r="R100" s="105">
        <f t="shared" si="105"/>
        <v>5.5210400421271827E-4</v>
      </c>
      <c r="S100" s="45">
        <f t="shared" si="95"/>
        <v>1410.9324552102801</v>
      </c>
      <c r="T100" s="45">
        <f t="shared" si="96"/>
        <v>249.99999999941701</v>
      </c>
      <c r="V100" s="61">
        <f t="shared" si="106"/>
        <v>-14456662.710689614</v>
      </c>
      <c r="W100" s="47">
        <f t="shared" si="86"/>
        <v>-14493167.528692996</v>
      </c>
      <c r="X100" s="107">
        <f t="shared" si="107"/>
        <v>1.0121368625331065E-2</v>
      </c>
      <c r="Y100" s="47">
        <f t="shared" si="108"/>
        <v>-37393.198721113891</v>
      </c>
      <c r="Z100" s="47">
        <f t="shared" si="109"/>
        <v>36504.818003382534</v>
      </c>
      <c r="AC100" s="122">
        <f t="shared" si="97"/>
        <v>24.863888888888887</v>
      </c>
      <c r="AD100" s="113">
        <f>BBG_EUR!V100/100</f>
        <v>5.5329999999999995E-4</v>
      </c>
      <c r="AE100" s="113">
        <f>BBG_EUR!J100/100</f>
        <v>1.02098E-2</v>
      </c>
      <c r="AF100" s="116">
        <f>BBG_EUR!X100</f>
        <v>1.1016060000000001</v>
      </c>
      <c r="AG100" s="116">
        <f>BBG_EUR!L100</f>
        <v>0.85472400000000004</v>
      </c>
      <c r="AH100" s="112">
        <f t="shared" si="98"/>
        <v>-3.8843902920731033E-3</v>
      </c>
      <c r="AI100" s="112">
        <f t="shared" si="99"/>
        <v>6.3334117100661835E-3</v>
      </c>
      <c r="AJ100" s="112">
        <f t="shared" si="100"/>
        <v>-3.4869693116833522E-3</v>
      </c>
      <c r="AK100" s="112">
        <f t="shared" si="101"/>
        <v>6.7748595965062552E-3</v>
      </c>
      <c r="AL100" s="143">
        <f t="shared" si="90"/>
        <v>1.4493167528692996</v>
      </c>
      <c r="AM100" s="143">
        <f>BBG_EUR!AA100</f>
        <v>1.4476907569999999</v>
      </c>
      <c r="AN100" s="151">
        <f t="shared" si="91"/>
        <v>0.99887809489120949</v>
      </c>
      <c r="AO100" s="147"/>
    </row>
    <row r="101" spans="1:41" x14ac:dyDescent="0.25">
      <c r="A101" s="38">
        <v>53055</v>
      </c>
      <c r="B101" s="22">
        <v>2.4999999999941702E-5</v>
      </c>
      <c r="C101" s="22">
        <v>1.38025789383489E-4</v>
      </c>
      <c r="D101" s="22">
        <v>1.00921673101585</v>
      </c>
      <c r="E101" s="22">
        <v>2.5302710785719499E-3</v>
      </c>
      <c r="F101" s="32">
        <v>0.84384385810478202</v>
      </c>
      <c r="G101" s="5">
        <f t="shared" si="79"/>
        <v>25.113888888888887</v>
      </c>
      <c r="H101" s="5">
        <f t="shared" si="102"/>
        <v>-3.4743088022634264E-3</v>
      </c>
      <c r="I101" s="5">
        <f t="shared" si="103"/>
        <v>1.0913389423346274</v>
      </c>
      <c r="J101" s="32">
        <f t="shared" si="80"/>
        <v>1.4528874696940484</v>
      </c>
      <c r="K101" s="22" t="s">
        <v>92</v>
      </c>
      <c r="L101" s="40">
        <f t="shared" si="104"/>
        <v>-11.75</v>
      </c>
      <c r="M101" s="96">
        <v>53055</v>
      </c>
      <c r="N101" s="99">
        <f t="shared" si="92"/>
        <v>52965</v>
      </c>
      <c r="O101" s="38">
        <f t="shared" si="93"/>
        <v>53055</v>
      </c>
      <c r="P101" s="88">
        <f t="shared" si="94"/>
        <v>90</v>
      </c>
      <c r="Q101" s="45">
        <v>10000000</v>
      </c>
      <c r="R101" s="105">
        <f t="shared" si="105"/>
        <v>5.5210315753395601E-4</v>
      </c>
      <c r="S101" s="45">
        <f t="shared" si="95"/>
        <v>1380.25789383489</v>
      </c>
      <c r="T101" s="45">
        <f t="shared" si="96"/>
        <v>249.99999999941701</v>
      </c>
      <c r="V101" s="61">
        <f t="shared" si="106"/>
        <v>-14493167.528692996</v>
      </c>
      <c r="W101" s="47">
        <f t="shared" si="86"/>
        <v>-14528874.696940484</v>
      </c>
      <c r="X101" s="107">
        <f t="shared" si="107"/>
        <v>1.01210843142878E-2</v>
      </c>
      <c r="Y101" s="47">
        <f t="shared" si="108"/>
        <v>-36671.642634749987</v>
      </c>
      <c r="Z101" s="47">
        <f t="shared" si="109"/>
        <v>35707.168247487396</v>
      </c>
      <c r="AC101" s="122">
        <f t="shared" si="97"/>
        <v>25.113888888888887</v>
      </c>
      <c r="AD101" s="113">
        <f>BBG_EUR!V101/100</f>
        <v>5.5350000000000006E-4</v>
      </c>
      <c r="AE101" s="113">
        <f>BBG_EUR!J101/100</f>
        <v>1.0226599999999999E-2</v>
      </c>
      <c r="AF101" s="116">
        <f>BBG_EUR!X101</f>
        <v>1.1022240000000001</v>
      </c>
      <c r="AG101" s="116">
        <f>BBG_EUR!L101</f>
        <v>0.85312699999999997</v>
      </c>
      <c r="AH101" s="112">
        <f t="shared" si="98"/>
        <v>-3.8680427983652788E-3</v>
      </c>
      <c r="AI101" s="112">
        <f t="shared" si="99"/>
        <v>6.3451055220764552E-3</v>
      </c>
      <c r="AJ101" s="112">
        <f t="shared" si="100"/>
        <v>-3.4743088022635149E-3</v>
      </c>
      <c r="AK101" s="112">
        <f t="shared" si="101"/>
        <v>6.7836185565257612E-3</v>
      </c>
      <c r="AL101" s="143">
        <f t="shared" si="90"/>
        <v>1.4528874696940484</v>
      </c>
      <c r="AM101" s="143">
        <f>BBG_EUR!AA101</f>
        <v>1.451254619</v>
      </c>
      <c r="AN101" s="151">
        <f t="shared" si="91"/>
        <v>0.99887613409289555</v>
      </c>
      <c r="AO101" s="147"/>
    </row>
    <row r="102" spans="1:41" x14ac:dyDescent="0.25">
      <c r="A102" s="38">
        <v>53146</v>
      </c>
      <c r="B102" s="22">
        <v>2.4999999999941702E-5</v>
      </c>
      <c r="C102" s="22">
        <v>1.3955951627630999E-4</v>
      </c>
      <c r="D102" s="22">
        <v>1.0093034224483199</v>
      </c>
      <c r="E102" s="22">
        <v>2.55842113508775E-3</v>
      </c>
      <c r="F102" s="32">
        <v>0.842218766575211</v>
      </c>
      <c r="G102" s="5">
        <f t="shared" si="79"/>
        <v>25.366666666666667</v>
      </c>
      <c r="H102" s="5">
        <f t="shared" si="102"/>
        <v>-3.461507620516661E-3</v>
      </c>
      <c r="I102" s="5">
        <f t="shared" si="103"/>
        <v>1.0919436066557822</v>
      </c>
      <c r="J102" s="32">
        <f t="shared" si="80"/>
        <v>1.4564974047126755</v>
      </c>
      <c r="K102" s="22" t="s">
        <v>92</v>
      </c>
      <c r="L102" s="40">
        <f t="shared" si="104"/>
        <v>-11.75</v>
      </c>
      <c r="M102" s="96">
        <v>53146</v>
      </c>
      <c r="N102" s="99">
        <f t="shared" si="92"/>
        <v>53055</v>
      </c>
      <c r="O102" s="38">
        <f t="shared" si="93"/>
        <v>53146</v>
      </c>
      <c r="P102" s="88">
        <f t="shared" si="94"/>
        <v>91</v>
      </c>
      <c r="Q102" s="45">
        <v>10000000</v>
      </c>
      <c r="R102" s="105">
        <f t="shared" si="105"/>
        <v>5.5210358087331426E-4</v>
      </c>
      <c r="S102" s="45">
        <f t="shared" si="95"/>
        <v>1395.5951627630998</v>
      </c>
      <c r="T102" s="45">
        <f t="shared" si="96"/>
        <v>249.99999999941701</v>
      </c>
      <c r="V102" s="61">
        <f t="shared" si="106"/>
        <v>-14528874.696940484</v>
      </c>
      <c r="W102" s="47">
        <f t="shared" si="86"/>
        <v>-14564974.047126755</v>
      </c>
      <c r="X102" s="107">
        <f t="shared" si="107"/>
        <v>1.012122646847901E-2</v>
      </c>
      <c r="Y102" s="47">
        <f t="shared" si="108"/>
        <v>-37170.980093694161</v>
      </c>
      <c r="Z102" s="47">
        <f t="shared" si="109"/>
        <v>36099.350186271593</v>
      </c>
      <c r="AC102" s="122">
        <f t="shared" si="97"/>
        <v>25.366666666666667</v>
      </c>
      <c r="AD102" s="113">
        <f>BBG_EUR!V102/100</f>
        <v>5.5370000000000007E-4</v>
      </c>
      <c r="AE102" s="113">
        <f>BBG_EUR!J102/100</f>
        <v>1.0243500000000001E-2</v>
      </c>
      <c r="AF102" s="116">
        <f>BBG_EUR!X102</f>
        <v>1.1028420000000001</v>
      </c>
      <c r="AG102" s="116">
        <f>BBG_EUR!L102</f>
        <v>0.85151100000000002</v>
      </c>
      <c r="AH102" s="112">
        <f t="shared" si="98"/>
        <v>-3.8515839563514342E-3</v>
      </c>
      <c r="AI102" s="112">
        <f t="shared" si="99"/>
        <v>6.3568948907466449E-3</v>
      </c>
      <c r="AJ102" s="112">
        <f t="shared" si="100"/>
        <v>-3.4615076205167794E-3</v>
      </c>
      <c r="AK102" s="112">
        <f t="shared" si="101"/>
        <v>6.792299378356903E-3</v>
      </c>
      <c r="AL102" s="143">
        <f t="shared" si="90"/>
        <v>1.4564974047126755</v>
      </c>
      <c r="AM102" s="143">
        <f>BBG_EUR!AA102</f>
        <v>1.4548232699999999</v>
      </c>
      <c r="AN102" s="151">
        <f t="shared" si="91"/>
        <v>0.99885057487417506</v>
      </c>
      <c r="AO102" s="147"/>
    </row>
    <row r="103" spans="1:41" x14ac:dyDescent="0.25">
      <c r="A103" s="38">
        <v>53237</v>
      </c>
      <c r="B103" s="22">
        <v>2.4722222222273099E-5</v>
      </c>
      <c r="C103" s="22">
        <v>-2.7934977270882501E-4</v>
      </c>
      <c r="D103" s="22">
        <v>1.00994016907563</v>
      </c>
      <c r="E103" s="22">
        <v>2.4322106196452602E-3</v>
      </c>
      <c r="F103" s="32">
        <v>0.84066266514325805</v>
      </c>
      <c r="G103" s="5">
        <f t="shared" si="79"/>
        <v>25.619444444444444</v>
      </c>
      <c r="H103" s="5">
        <f t="shared" si="102"/>
        <v>-3.4487064387698956E-3</v>
      </c>
      <c r="I103" s="5">
        <f t="shared" si="103"/>
        <v>1.0925415153754918</v>
      </c>
      <c r="J103" s="32">
        <f t="shared" si="80"/>
        <v>1.4599924431801332</v>
      </c>
      <c r="K103" s="22" t="s">
        <v>92</v>
      </c>
      <c r="L103" s="40">
        <f t="shared" si="104"/>
        <v>-11.75</v>
      </c>
      <c r="M103" s="96">
        <v>53237</v>
      </c>
      <c r="N103" s="99">
        <f t="shared" si="92"/>
        <v>53146</v>
      </c>
      <c r="O103" s="38">
        <f t="shared" si="93"/>
        <v>53237</v>
      </c>
      <c r="P103" s="88">
        <f t="shared" si="94"/>
        <v>91</v>
      </c>
      <c r="Q103" s="45">
        <v>10000000</v>
      </c>
      <c r="R103" s="105">
        <f t="shared" si="105"/>
        <v>-1.105119979947E-3</v>
      </c>
      <c r="S103" s="45">
        <f t="shared" si="95"/>
        <v>-2793.49772708825</v>
      </c>
      <c r="T103" s="45">
        <f t="shared" si="96"/>
        <v>247.22222222273101</v>
      </c>
      <c r="V103" s="61">
        <f t="shared" si="106"/>
        <v>-14564974.047126755</v>
      </c>
      <c r="W103" s="47">
        <f t="shared" si="86"/>
        <v>-14599924.431801332</v>
      </c>
      <c r="X103" s="107">
        <f t="shared" si="107"/>
        <v>9.6219321216735564E-3</v>
      </c>
      <c r="Y103" s="47">
        <f t="shared" si="108"/>
        <v>-35425.084552279295</v>
      </c>
      <c r="Z103" s="47">
        <f t="shared" si="109"/>
        <v>34950.384674577042</v>
      </c>
      <c r="AC103" s="122">
        <f t="shared" si="97"/>
        <v>25.619444444444444</v>
      </c>
      <c r="AD103" s="113">
        <f>BBG_EUR!V103/100</f>
        <v>-8.4390000000000008E-4</v>
      </c>
      <c r="AE103" s="113">
        <f>BBG_EUR!J103/100</f>
        <v>9.5454000000000008E-3</v>
      </c>
      <c r="AF103" s="116">
        <f>BBG_EUR!X103</f>
        <v>1.1036790000000001</v>
      </c>
      <c r="AG103" s="116">
        <f>BBG_EUR!L103</f>
        <v>0.85006999999999999</v>
      </c>
      <c r="AH103" s="112">
        <f t="shared" si="98"/>
        <v>-3.8431536389027521E-3</v>
      </c>
      <c r="AI103" s="112">
        <f t="shared" si="99"/>
        <v>6.3605057403441911E-3</v>
      </c>
      <c r="AJ103" s="112">
        <f t="shared" si="100"/>
        <v>-3.4487064387699329E-3</v>
      </c>
      <c r="AK103" s="112">
        <f t="shared" si="101"/>
        <v>6.7977300885482261E-3</v>
      </c>
      <c r="AL103" s="143">
        <f t="shared" si="90"/>
        <v>1.4599924431801332</v>
      </c>
      <c r="AM103" s="143">
        <f>BBG_EUR!AA103</f>
        <v>1.4583966859999999</v>
      </c>
      <c r="AN103" s="151">
        <f t="shared" si="91"/>
        <v>0.99890700997283421</v>
      </c>
      <c r="AO103" s="147"/>
    </row>
    <row r="104" spans="1:41" x14ac:dyDescent="0.25">
      <c r="A104" s="38">
        <v>53329</v>
      </c>
      <c r="B104" s="22">
        <v>2.4999999999941702E-5</v>
      </c>
      <c r="C104" s="22">
        <v>-2.8241911690829398E-4</v>
      </c>
      <c r="D104" s="22">
        <v>1.0105843212743999</v>
      </c>
      <c r="E104" s="22">
        <v>2.4589710433004998E-3</v>
      </c>
      <c r="F104" s="32">
        <v>0.83909238632724403</v>
      </c>
      <c r="G104" s="5">
        <f t="shared" si="79"/>
        <v>25.875</v>
      </c>
      <c r="H104" s="5">
        <f t="shared" si="102"/>
        <v>-3.4357645846962419E-3</v>
      </c>
      <c r="I104" s="5">
        <f t="shared" si="103"/>
        <v>1.0931391156006807</v>
      </c>
      <c r="J104" s="32">
        <f t="shared" si="80"/>
        <v>1.463524758985091</v>
      </c>
      <c r="K104" s="22" t="s">
        <v>92</v>
      </c>
      <c r="L104" s="40">
        <f t="shared" si="104"/>
        <v>-11.75</v>
      </c>
      <c r="M104" s="96">
        <v>53329</v>
      </c>
      <c r="N104" s="99">
        <f t="shared" si="92"/>
        <v>53237</v>
      </c>
      <c r="O104" s="38">
        <f t="shared" si="93"/>
        <v>53329</v>
      </c>
      <c r="P104" s="88">
        <f t="shared" si="94"/>
        <v>92</v>
      </c>
      <c r="Q104" s="45">
        <v>10000000</v>
      </c>
      <c r="R104" s="105">
        <f t="shared" si="105"/>
        <v>-1.105118283554194E-3</v>
      </c>
      <c r="S104" s="45">
        <f t="shared" si="95"/>
        <v>-2824.1911690829397</v>
      </c>
      <c r="T104" s="45">
        <f t="shared" si="96"/>
        <v>249.99999999941701</v>
      </c>
      <c r="V104" s="61">
        <f t="shared" si="106"/>
        <v>-14599924.431801332</v>
      </c>
      <c r="W104" s="47">
        <f t="shared" si="86"/>
        <v>-14635247.58985091</v>
      </c>
      <c r="X104" s="107">
        <f t="shared" si="107"/>
        <v>9.6220606042193464E-3</v>
      </c>
      <c r="Y104" s="47">
        <f t="shared" si="108"/>
        <v>-35900.791412174978</v>
      </c>
      <c r="Z104" s="47">
        <f t="shared" si="109"/>
        <v>35323.158049577847</v>
      </c>
      <c r="AC104" s="122">
        <f t="shared" si="97"/>
        <v>25.875</v>
      </c>
      <c r="AD104" s="113">
        <f>BBG_EUR!V104/100</f>
        <v>-8.7160000000000004E-4</v>
      </c>
      <c r="AE104" s="113">
        <f>BBG_EUR!J104/100</f>
        <v>9.551500000000001E-3</v>
      </c>
      <c r="AF104" s="116">
        <f>BBG_EUR!X104</f>
        <v>1.1045290000000001</v>
      </c>
      <c r="AG104" s="116">
        <f>BBG_EUR!L104</f>
        <v>0.84862000000000004</v>
      </c>
      <c r="AH104" s="112">
        <f t="shared" si="98"/>
        <v>-3.8349080703048433E-3</v>
      </c>
      <c r="AI104" s="112">
        <f t="shared" si="99"/>
        <v>6.363884912162332E-3</v>
      </c>
      <c r="AJ104" s="112">
        <f t="shared" si="100"/>
        <v>-3.4357645846960772E-3</v>
      </c>
      <c r="AK104" s="112">
        <f t="shared" si="101"/>
        <v>6.8031126430769806E-3</v>
      </c>
      <c r="AL104" s="143">
        <f t="shared" si="90"/>
        <v>1.463524758985091</v>
      </c>
      <c r="AM104" s="143">
        <f>BBG_EUR!AA104</f>
        <v>1.4619748460000002</v>
      </c>
      <c r="AN104" s="151">
        <f t="shared" si="91"/>
        <v>0.99894097248743119</v>
      </c>
      <c r="AO104" s="147"/>
    </row>
    <row r="105" spans="1:41" x14ac:dyDescent="0.25">
      <c r="A105" s="38">
        <v>53419</v>
      </c>
      <c r="B105" s="22">
        <v>2.4999999999941702E-5</v>
      </c>
      <c r="C105" s="22">
        <v>-2.7628041908589398E-4</v>
      </c>
      <c r="D105" s="22">
        <v>1.01121486771067</v>
      </c>
      <c r="E105" s="22">
        <v>2.4054509103537099E-3</v>
      </c>
      <c r="F105" s="32">
        <v>0.83755908222628594</v>
      </c>
      <c r="G105" s="5">
        <f t="shared" si="79"/>
        <v>26.125</v>
      </c>
      <c r="H105" s="5">
        <f t="shared" si="102"/>
        <v>-3.4231040752763643E-3</v>
      </c>
      <c r="I105" s="5">
        <f t="shared" si="103"/>
        <v>1.0937170208347597</v>
      </c>
      <c r="J105" s="32">
        <f t="shared" si="80"/>
        <v>1.466979138880393</v>
      </c>
      <c r="K105" s="22" t="s">
        <v>92</v>
      </c>
      <c r="L105" s="40">
        <f t="shared" si="104"/>
        <v>-11.75</v>
      </c>
      <c r="M105" s="96">
        <v>53419</v>
      </c>
      <c r="N105" s="99">
        <f t="shared" si="92"/>
        <v>53329</v>
      </c>
      <c r="O105" s="38">
        <f t="shared" si="93"/>
        <v>53419</v>
      </c>
      <c r="P105" s="88">
        <f t="shared" si="94"/>
        <v>90</v>
      </c>
      <c r="Q105" s="45">
        <v>10000000</v>
      </c>
      <c r="R105" s="105">
        <f t="shared" si="105"/>
        <v>-1.1051216763435759E-3</v>
      </c>
      <c r="S105" s="45">
        <f t="shared" si="95"/>
        <v>-2762.8041908589398</v>
      </c>
      <c r="T105" s="45">
        <f t="shared" si="96"/>
        <v>249.99999999941701</v>
      </c>
      <c r="V105" s="61">
        <f t="shared" si="106"/>
        <v>-14635247.58985091</v>
      </c>
      <c r="W105" s="47">
        <f t="shared" si="86"/>
        <v>-14669791.388803929</v>
      </c>
      <c r="X105" s="107">
        <f t="shared" si="107"/>
        <v>9.6218036414148396E-3</v>
      </c>
      <c r="Y105" s="47">
        <f t="shared" si="108"/>
        <v>-35204.36963825881</v>
      </c>
      <c r="Z105" s="47">
        <f t="shared" si="109"/>
        <v>34543.798953019083</v>
      </c>
      <c r="AC105" s="122">
        <f t="shared" si="97"/>
        <v>26.125</v>
      </c>
      <c r="AD105" s="113">
        <f>BBG_EUR!V105/100</f>
        <v>-8.9910000000000001E-4</v>
      </c>
      <c r="AE105" s="113">
        <f>BBG_EUR!J105/100</f>
        <v>9.5570999999999989E-3</v>
      </c>
      <c r="AF105" s="116">
        <f>BBG_EUR!X105</f>
        <v>1.1053569999999999</v>
      </c>
      <c r="AG105" s="116">
        <f>BBG_EUR!L105</f>
        <v>0.84720300000000004</v>
      </c>
      <c r="AH105" s="112">
        <f t="shared" si="98"/>
        <v>-3.8268544447201958E-3</v>
      </c>
      <c r="AI105" s="112">
        <f t="shared" si="99"/>
        <v>6.3671682692876264E-3</v>
      </c>
      <c r="AJ105" s="112">
        <f t="shared" si="100"/>
        <v>-3.4231040752764619E-3</v>
      </c>
      <c r="AK105" s="112">
        <f t="shared" si="101"/>
        <v>6.8082763169303728E-3</v>
      </c>
      <c r="AL105" s="143">
        <f t="shared" si="90"/>
        <v>1.466979138880393</v>
      </c>
      <c r="AM105" s="143">
        <f>BBG_EUR!AA105</f>
        <v>1.465557725</v>
      </c>
      <c r="AN105" s="151">
        <f t="shared" si="91"/>
        <v>0.99903106060425795</v>
      </c>
      <c r="AO105" s="147"/>
    </row>
    <row r="106" spans="1:41" x14ac:dyDescent="0.25">
      <c r="A106" s="38">
        <v>53510</v>
      </c>
      <c r="B106" s="22">
        <v>2.4999999999941702E-5</v>
      </c>
      <c r="C106" s="22">
        <v>-2.7934977270882501E-4</v>
      </c>
      <c r="D106" s="22">
        <v>1.01185282022543</v>
      </c>
      <c r="E106" s="22">
        <v>2.4322106196452602E-3</v>
      </c>
      <c r="F106" s="32">
        <v>0.83601159012693804</v>
      </c>
      <c r="G106" s="5">
        <f t="shared" si="79"/>
        <v>26.377777777777776</v>
      </c>
      <c r="H106" s="5">
        <f t="shared" si="102"/>
        <v>-3.4103028935295993E-3</v>
      </c>
      <c r="I106" s="5">
        <f t="shared" si="103"/>
        <v>1.094294595301365</v>
      </c>
      <c r="J106" s="32">
        <f t="shared" si="80"/>
        <v>1.4704707002625341</v>
      </c>
      <c r="K106" s="22" t="s">
        <v>92</v>
      </c>
      <c r="L106" s="40">
        <f t="shared" si="104"/>
        <v>-11.75</v>
      </c>
      <c r="M106" s="96">
        <v>53510</v>
      </c>
      <c r="N106" s="99">
        <f t="shared" si="92"/>
        <v>53419</v>
      </c>
      <c r="O106" s="38">
        <f t="shared" si="93"/>
        <v>53510</v>
      </c>
      <c r="P106" s="88">
        <f t="shared" si="94"/>
        <v>91</v>
      </c>
      <c r="Q106" s="45">
        <v>10000000</v>
      </c>
      <c r="R106" s="105">
        <f t="shared" si="105"/>
        <v>-1.105119979947E-3</v>
      </c>
      <c r="S106" s="45">
        <f t="shared" si="95"/>
        <v>-2793.49772708825</v>
      </c>
      <c r="T106" s="45">
        <f t="shared" si="96"/>
        <v>249.99999999941701</v>
      </c>
      <c r="V106" s="61">
        <f t="shared" si="106"/>
        <v>-14669791.388803929</v>
      </c>
      <c r="W106" s="47">
        <f t="shared" si="86"/>
        <v>-14704707.002625341</v>
      </c>
      <c r="X106" s="107">
        <f t="shared" si="107"/>
        <v>9.6219321216735564E-3</v>
      </c>
      <c r="Y106" s="47">
        <f t="shared" si="108"/>
        <v>-35680.022403829505</v>
      </c>
      <c r="Z106" s="47">
        <f t="shared" si="109"/>
        <v>34915.613821411505</v>
      </c>
      <c r="AC106" s="122">
        <f t="shared" si="97"/>
        <v>26.377777777777776</v>
      </c>
      <c r="AD106" s="113">
        <f>BBG_EUR!V106/100</f>
        <v>-9.2649999999999991E-4</v>
      </c>
      <c r="AE106" s="113">
        <f>BBG_EUR!J106/100</f>
        <v>9.5630000000000003E-3</v>
      </c>
      <c r="AF106" s="116">
        <f>BBG_EUR!X106</f>
        <v>1.1061909999999999</v>
      </c>
      <c r="AG106" s="116">
        <f>BBG_EUR!L106</f>
        <v>0.84577199999999997</v>
      </c>
      <c r="AH106" s="112">
        <f t="shared" si="98"/>
        <v>-3.8187356880604595E-3</v>
      </c>
      <c r="AI106" s="112">
        <f t="shared" si="99"/>
        <v>6.3704546660228178E-3</v>
      </c>
      <c r="AJ106" s="112">
        <f t="shared" si="100"/>
        <v>-3.4103028935295043E-3</v>
      </c>
      <c r="AK106" s="112">
        <f t="shared" si="101"/>
        <v>6.8133978744917556E-3</v>
      </c>
      <c r="AL106" s="143">
        <f t="shared" si="90"/>
        <v>1.4704707002625341</v>
      </c>
      <c r="AM106" s="143">
        <f>BBG_EUR!AA106</f>
        <v>1.469145301</v>
      </c>
      <c r="AN106" s="151">
        <f t="shared" si="91"/>
        <v>0.99909865646265683</v>
      </c>
      <c r="AO106" s="147"/>
    </row>
    <row r="107" spans="1:41" x14ac:dyDescent="0.25">
      <c r="A107" s="38">
        <v>53602</v>
      </c>
      <c r="B107" s="22">
        <v>2.4999999999941702E-5</v>
      </c>
      <c r="C107" s="22">
        <v>-2.8241911690829398E-4</v>
      </c>
      <c r="D107" s="22">
        <v>1.0124981923365</v>
      </c>
      <c r="E107" s="22">
        <v>2.4589710433004998E-3</v>
      </c>
      <c r="F107" s="32">
        <v>0.834449999081741</v>
      </c>
      <c r="G107" s="5">
        <f t="shared" si="79"/>
        <v>26.633333333333333</v>
      </c>
      <c r="H107" s="5">
        <f t="shared" si="102"/>
        <v>-3.3973610394559461E-3</v>
      </c>
      <c r="I107" s="5">
        <f t="shared" si="103"/>
        <v>1.0948716040521542</v>
      </c>
      <c r="J107" s="32">
        <f t="shared" si="80"/>
        <v>1.4739993544798409</v>
      </c>
      <c r="K107" s="22" t="s">
        <v>92</v>
      </c>
      <c r="L107" s="40">
        <f t="shared" si="104"/>
        <v>-11.75</v>
      </c>
      <c r="M107" s="96">
        <v>53602</v>
      </c>
      <c r="N107" s="99">
        <f t="shared" si="92"/>
        <v>53510</v>
      </c>
      <c r="O107" s="38">
        <f t="shared" si="93"/>
        <v>53602</v>
      </c>
      <c r="P107" s="88">
        <f t="shared" si="94"/>
        <v>92</v>
      </c>
      <c r="Q107" s="45">
        <v>10000000</v>
      </c>
      <c r="R107" s="105">
        <f t="shared" si="105"/>
        <v>-1.105118283554194E-3</v>
      </c>
      <c r="S107" s="45">
        <f t="shared" si="95"/>
        <v>-2824.1911690829397</v>
      </c>
      <c r="T107" s="45">
        <f t="shared" si="96"/>
        <v>249.99999999941701</v>
      </c>
      <c r="V107" s="61">
        <f t="shared" si="106"/>
        <v>-14704707.002625341</v>
      </c>
      <c r="W107" s="47">
        <f t="shared" si="86"/>
        <v>-14739993.54479841</v>
      </c>
      <c r="X107" s="107">
        <f t="shared" si="107"/>
        <v>9.6220606042193464E-3</v>
      </c>
      <c r="Y107" s="47">
        <f t="shared" si="108"/>
        <v>-36158.448719673797</v>
      </c>
      <c r="Z107" s="47">
        <f t="shared" si="109"/>
        <v>35286.54217306897</v>
      </c>
      <c r="AC107" s="122">
        <f t="shared" si="97"/>
        <v>26.633333333333333</v>
      </c>
      <c r="AD107" s="113">
        <f>BBG_EUR!V107/100</f>
        <v>-9.5430000000000005E-4</v>
      </c>
      <c r="AE107" s="113">
        <f>BBG_EUR!J107/100</f>
        <v>9.5687999999999988E-3</v>
      </c>
      <c r="AF107" s="116">
        <f>BBG_EUR!X107</f>
        <v>1.107029</v>
      </c>
      <c r="AG107" s="116">
        <f>BBG_EUR!L107</f>
        <v>0.84432600000000002</v>
      </c>
      <c r="AH107" s="112">
        <f t="shared" si="98"/>
        <v>-3.8104881894207576E-3</v>
      </c>
      <c r="AI107" s="112">
        <f t="shared" si="99"/>
        <v>6.3737912756056669E-3</v>
      </c>
      <c r="AJ107" s="112">
        <f t="shared" si="100"/>
        <v>-3.3973610394558706E-3</v>
      </c>
      <c r="AK107" s="112">
        <f t="shared" si="101"/>
        <v>6.8184769125572142E-3</v>
      </c>
      <c r="AL107" s="143">
        <f t="shared" si="90"/>
        <v>1.4739993544798409</v>
      </c>
      <c r="AM107" s="143">
        <f>BBG_EUR!AA107</f>
        <v>1.4727770499999999</v>
      </c>
      <c r="AN107" s="151">
        <f t="shared" si="91"/>
        <v>0.99917075643477993</v>
      </c>
      <c r="AO107" s="147"/>
    </row>
    <row r="108" spans="1:41" x14ac:dyDescent="0.25">
      <c r="A108" s="38">
        <v>53694</v>
      </c>
      <c r="B108" s="22">
        <v>2.4999999999941702E-5</v>
      </c>
      <c r="C108" s="22">
        <v>-2.82419116908405E-4</v>
      </c>
      <c r="D108" s="22">
        <v>1.0131439760738099</v>
      </c>
      <c r="E108" s="22">
        <v>2.4589710433004998E-3</v>
      </c>
      <c r="F108" s="32">
        <v>0.83289132494178997</v>
      </c>
      <c r="G108" s="5">
        <f t="shared" si="79"/>
        <v>26.888888888888889</v>
      </c>
      <c r="H108" s="5">
        <f t="shared" si="102"/>
        <v>-3.3844191853822933E-3</v>
      </c>
      <c r="I108" s="5">
        <f t="shared" si="103"/>
        <v>1.0954416512017173</v>
      </c>
      <c r="J108" s="32">
        <f t="shared" si="80"/>
        <v>1.4775266761795318</v>
      </c>
      <c r="K108" s="22" t="s">
        <v>92</v>
      </c>
      <c r="L108" s="40">
        <f t="shared" si="104"/>
        <v>-11.75</v>
      </c>
      <c r="M108" s="96">
        <v>53694</v>
      </c>
      <c r="N108" s="99">
        <f t="shared" si="92"/>
        <v>53602</v>
      </c>
      <c r="O108" s="38">
        <f t="shared" si="93"/>
        <v>53694</v>
      </c>
      <c r="P108" s="88">
        <f t="shared" si="94"/>
        <v>92</v>
      </c>
      <c r="Q108" s="45">
        <v>10000000</v>
      </c>
      <c r="R108" s="105">
        <f t="shared" si="105"/>
        <v>-1.1051182835546283E-3</v>
      </c>
      <c r="S108" s="45">
        <f t="shared" si="95"/>
        <v>-2824.1911690840502</v>
      </c>
      <c r="T108" s="45">
        <f t="shared" si="96"/>
        <v>249.99999999941701</v>
      </c>
      <c r="V108" s="61">
        <f t="shared" si="106"/>
        <v>-14739993.54479841</v>
      </c>
      <c r="W108" s="47">
        <f t="shared" si="86"/>
        <v>-14775266.761795318</v>
      </c>
      <c r="X108" s="107">
        <f t="shared" si="107"/>
        <v>9.6220606042193464E-3</v>
      </c>
      <c r="Y108" s="47">
        <f t="shared" si="108"/>
        <v>-36245.217305095575</v>
      </c>
      <c r="Z108" s="47">
        <f t="shared" si="109"/>
        <v>35273.216996908188</v>
      </c>
      <c r="AC108" s="122">
        <f t="shared" si="97"/>
        <v>26.888888888888889</v>
      </c>
      <c r="AD108" s="113">
        <f>BBG_EUR!V108/100</f>
        <v>-9.8219999999999991E-4</v>
      </c>
      <c r="AE108" s="113">
        <f>BBG_EUR!J108/100</f>
        <v>9.5744000000000003E-3</v>
      </c>
      <c r="AF108" s="116">
        <f>BBG_EUR!X108</f>
        <v>1.107864</v>
      </c>
      <c r="AG108" s="116">
        <f>BBG_EUR!L108</f>
        <v>0.84288099999999999</v>
      </c>
      <c r="AH108" s="112">
        <f t="shared" si="98"/>
        <v>-3.8022758409482771E-3</v>
      </c>
      <c r="AI108" s="112">
        <f t="shared" si="99"/>
        <v>6.3771298441406277E-3</v>
      </c>
      <c r="AJ108" s="112">
        <f t="shared" si="100"/>
        <v>-3.384419185382459E-3</v>
      </c>
      <c r="AK108" s="112">
        <f t="shared" si="101"/>
        <v>6.8234594318201669E-3</v>
      </c>
      <c r="AL108" s="143">
        <f t="shared" si="90"/>
        <v>1.4775266761795318</v>
      </c>
      <c r="AM108" s="143">
        <f>BBG_EUR!AA108</f>
        <v>1.476373997</v>
      </c>
      <c r="AN108" s="151">
        <f t="shared" si="91"/>
        <v>0.99921985897235222</v>
      </c>
      <c r="AO108" s="147"/>
    </row>
    <row r="109" spans="1:41" x14ac:dyDescent="0.25">
      <c r="A109" s="38">
        <v>53784</v>
      </c>
      <c r="B109" s="22">
        <v>2.4999999999941702E-5</v>
      </c>
      <c r="C109" s="22">
        <v>-2.7628041908578301E-4</v>
      </c>
      <c r="D109" s="22">
        <v>1.0137761195873201</v>
      </c>
      <c r="E109" s="22">
        <v>2.4054509103537099E-3</v>
      </c>
      <c r="F109" s="32">
        <v>0.83136935226631903</v>
      </c>
      <c r="G109" s="5">
        <f t="shared" si="79"/>
        <v>27.138888888888889</v>
      </c>
      <c r="H109" s="5">
        <f t="shared" si="102"/>
        <v>-3.3717586759624157E-3</v>
      </c>
      <c r="I109" s="5">
        <f t="shared" si="103"/>
        <v>1.0959925591718929</v>
      </c>
      <c r="J109" s="32">
        <f t="shared" si="80"/>
        <v>1.4809759797102702</v>
      </c>
      <c r="K109" s="22" t="s">
        <v>92</v>
      </c>
      <c r="L109" s="40">
        <f t="shared" si="104"/>
        <v>-11.75</v>
      </c>
      <c r="M109" s="96">
        <v>53784</v>
      </c>
      <c r="N109" s="99">
        <f t="shared" si="92"/>
        <v>53694</v>
      </c>
      <c r="O109" s="38">
        <f t="shared" si="93"/>
        <v>53784</v>
      </c>
      <c r="P109" s="88">
        <f t="shared" si="94"/>
        <v>90</v>
      </c>
      <c r="Q109" s="45">
        <v>10000000</v>
      </c>
      <c r="R109" s="105">
        <f t="shared" si="105"/>
        <v>-1.105121676343132E-3</v>
      </c>
      <c r="S109" s="45">
        <f t="shared" si="95"/>
        <v>-2762.8041908578302</v>
      </c>
      <c r="T109" s="45">
        <f t="shared" si="96"/>
        <v>249.99999999941701</v>
      </c>
      <c r="V109" s="61">
        <f t="shared" si="106"/>
        <v>-14775266.761795318</v>
      </c>
      <c r="W109" s="47">
        <f t="shared" si="86"/>
        <v>-14809759.797102701</v>
      </c>
      <c r="X109" s="107">
        <f t="shared" si="107"/>
        <v>9.6218036414148396E-3</v>
      </c>
      <c r="Y109" s="47">
        <f t="shared" si="108"/>
        <v>-35541.17888287946</v>
      </c>
      <c r="Z109" s="47">
        <f t="shared" si="109"/>
        <v>34493.035307383165</v>
      </c>
      <c r="AC109" s="122">
        <f t="shared" si="97"/>
        <v>27.138888888888889</v>
      </c>
      <c r="AD109" s="113">
        <f>BBG_EUR!V109/100</f>
        <v>-1.0097999999999999E-3</v>
      </c>
      <c r="AE109" s="113">
        <f>BBG_EUR!J109/100</f>
        <v>9.5796000000000006E-3</v>
      </c>
      <c r="AF109" s="116">
        <f>BBG_EUR!X109</f>
        <v>1.1086769999999999</v>
      </c>
      <c r="AG109" s="116">
        <f>BBG_EUR!L109</f>
        <v>0.84147000000000005</v>
      </c>
      <c r="AH109" s="112">
        <f t="shared" si="98"/>
        <v>-3.7942440389312493E-3</v>
      </c>
      <c r="AI109" s="112">
        <f t="shared" si="99"/>
        <v>6.3803264568609297E-3</v>
      </c>
      <c r="AJ109" s="112">
        <f t="shared" si="100"/>
        <v>-3.3717586759623996E-3</v>
      </c>
      <c r="AK109" s="112">
        <f t="shared" si="101"/>
        <v>6.8282428597656875E-3</v>
      </c>
      <c r="AL109" s="143">
        <f t="shared" si="90"/>
        <v>1.4809759797102702</v>
      </c>
      <c r="AM109" s="143">
        <f>BBG_EUR!AA109</f>
        <v>1.479975568</v>
      </c>
      <c r="AN109" s="151">
        <f t="shared" si="91"/>
        <v>0.99932449160285108</v>
      </c>
      <c r="AO109" s="147"/>
    </row>
    <row r="110" spans="1:41" x14ac:dyDescent="0.25">
      <c r="A110" s="38">
        <v>53875</v>
      </c>
      <c r="B110" s="22">
        <v>2.4999999999941702E-5</v>
      </c>
      <c r="C110" s="22">
        <v>-2.7934977270882501E-4</v>
      </c>
      <c r="D110" s="22">
        <v>1.0144156879377599</v>
      </c>
      <c r="E110" s="22">
        <v>2.4322106196452602E-3</v>
      </c>
      <c r="F110" s="32">
        <v>0.82983329644461901</v>
      </c>
      <c r="G110" s="5">
        <f t="shared" si="79"/>
        <v>27.391666666666666</v>
      </c>
      <c r="H110" s="5">
        <f t="shared" si="102"/>
        <v>-3.3589574942156503E-3</v>
      </c>
      <c r="I110" s="5">
        <f t="shared" si="103"/>
        <v>1.0965427935038361</v>
      </c>
      <c r="J110" s="32">
        <f t="shared" si="80"/>
        <v>1.4844622160860961</v>
      </c>
      <c r="K110" s="22" t="s">
        <v>92</v>
      </c>
      <c r="L110" s="40">
        <f t="shared" si="104"/>
        <v>-11.75</v>
      </c>
      <c r="M110" s="96">
        <v>53875</v>
      </c>
      <c r="N110" s="99">
        <f t="shared" si="92"/>
        <v>53784</v>
      </c>
      <c r="O110" s="38">
        <f t="shared" si="93"/>
        <v>53875</v>
      </c>
      <c r="P110" s="88">
        <f t="shared" si="94"/>
        <v>91</v>
      </c>
      <c r="Q110" s="45">
        <v>10000000</v>
      </c>
      <c r="R110" s="105">
        <f t="shared" si="105"/>
        <v>-1.105119979947E-3</v>
      </c>
      <c r="S110" s="45">
        <f t="shared" si="95"/>
        <v>-2793.49772708825</v>
      </c>
      <c r="T110" s="45">
        <f t="shared" si="96"/>
        <v>249.99999999941701</v>
      </c>
      <c r="V110" s="61">
        <f t="shared" si="106"/>
        <v>-14809759.797102701</v>
      </c>
      <c r="W110" s="47">
        <f t="shared" si="86"/>
        <v>-14844622.160860961</v>
      </c>
      <c r="X110" s="107">
        <f t="shared" si="107"/>
        <v>9.6219321216735564E-3</v>
      </c>
      <c r="Y110" s="47">
        <f t="shared" si="108"/>
        <v>-36020.455052908626</v>
      </c>
      <c r="Z110" s="47">
        <f t="shared" si="109"/>
        <v>34862.363758260384</v>
      </c>
      <c r="AC110" s="122">
        <f t="shared" si="97"/>
        <v>27.391666666666666</v>
      </c>
      <c r="AD110" s="113">
        <f>BBG_EUR!V110/100</f>
        <v>-1.0373000000000001E-3</v>
      </c>
      <c r="AE110" s="113">
        <f>BBG_EUR!J110/100</f>
        <v>9.5849999999999998E-3</v>
      </c>
      <c r="AF110" s="116">
        <f>BBG_EUR!X110</f>
        <v>1.1094949999999999</v>
      </c>
      <c r="AG110" s="116">
        <f>BBG_EUR!L110</f>
        <v>0.84004400000000001</v>
      </c>
      <c r="AH110" s="112">
        <f t="shared" si="98"/>
        <v>-3.7861198969588727E-3</v>
      </c>
      <c r="AI110" s="112">
        <f t="shared" si="99"/>
        <v>6.383574662466529E-3</v>
      </c>
      <c r="AJ110" s="112">
        <f t="shared" si="100"/>
        <v>-3.3589574942156641E-3</v>
      </c>
      <c r="AK110" s="112">
        <f t="shared" si="101"/>
        <v>6.832990683350415E-3</v>
      </c>
      <c r="AL110" s="143">
        <f t="shared" si="90"/>
        <v>1.4844622160860961</v>
      </c>
      <c r="AM110" s="143">
        <f>BBG_EUR!AA110</f>
        <v>1.4835817390000001</v>
      </c>
      <c r="AN110" s="151">
        <f t="shared" si="91"/>
        <v>0.99940687133929385</v>
      </c>
      <c r="AO110" s="147"/>
    </row>
    <row r="111" spans="1:41" x14ac:dyDescent="0.25">
      <c r="A111" s="38">
        <v>53967</v>
      </c>
      <c r="B111" s="22">
        <v>2.4999999999941702E-5</v>
      </c>
      <c r="C111" s="22">
        <v>-2.8241911690829398E-4</v>
      </c>
      <c r="D111" s="22">
        <v>1.0150626946772301</v>
      </c>
      <c r="E111" s="22">
        <v>2.4589710433007201E-3</v>
      </c>
      <c r="F111" s="32">
        <v>0.82828324587111302</v>
      </c>
      <c r="G111" s="5">
        <f t="shared" si="79"/>
        <v>27.647222222222222</v>
      </c>
      <c r="H111" s="5">
        <f t="shared" si="102"/>
        <v>-3.3460156401419975E-3</v>
      </c>
      <c r="I111" s="5">
        <f t="shared" si="103"/>
        <v>1.0970921183465214</v>
      </c>
      <c r="J111" s="32">
        <f t="shared" si="80"/>
        <v>1.4879852899285422</v>
      </c>
      <c r="K111" s="22" t="s">
        <v>92</v>
      </c>
      <c r="L111" s="40">
        <f t="shared" si="104"/>
        <v>-11.75</v>
      </c>
      <c r="M111" s="96">
        <v>53967</v>
      </c>
      <c r="N111" s="99">
        <f t="shared" si="92"/>
        <v>53875</v>
      </c>
      <c r="O111" s="38">
        <f t="shared" si="93"/>
        <v>53967</v>
      </c>
      <c r="P111" s="88">
        <f t="shared" si="94"/>
        <v>92</v>
      </c>
      <c r="Q111" s="45">
        <v>10000000</v>
      </c>
      <c r="R111" s="105">
        <f t="shared" si="105"/>
        <v>-1.105118283554194E-3</v>
      </c>
      <c r="S111" s="45">
        <f t="shared" si="95"/>
        <v>-2824.1911690829397</v>
      </c>
      <c r="T111" s="45">
        <f t="shared" si="96"/>
        <v>249.99999999941701</v>
      </c>
      <c r="V111" s="61">
        <f t="shared" si="106"/>
        <v>-14844622.160860961</v>
      </c>
      <c r="W111" s="47">
        <f t="shared" si="86"/>
        <v>-14879852.899285423</v>
      </c>
      <c r="X111" s="107">
        <f t="shared" si="107"/>
        <v>9.6220606042202086E-3</v>
      </c>
      <c r="Y111" s="47">
        <f t="shared" si="108"/>
        <v>-36502.496042297265</v>
      </c>
      <c r="Z111" s="47">
        <f t="shared" si="109"/>
        <v>35230.738424461335</v>
      </c>
      <c r="AC111" s="122">
        <f t="shared" si="97"/>
        <v>27.647222222222222</v>
      </c>
      <c r="AD111" s="113">
        <f>BBG_EUR!V111/100</f>
        <v>-1.0651E-3</v>
      </c>
      <c r="AE111" s="113">
        <f>BBG_EUR!J111/100</f>
        <v>9.5905000000000001E-3</v>
      </c>
      <c r="AF111" s="116">
        <f>BBG_EUR!X111</f>
        <v>1.1103179999999999</v>
      </c>
      <c r="AG111" s="116">
        <f>BBG_EUR!L111</f>
        <v>0.83860400000000002</v>
      </c>
      <c r="AH111" s="112">
        <f t="shared" si="98"/>
        <v>-3.7779080620655714E-3</v>
      </c>
      <c r="AI111" s="112">
        <f t="shared" si="99"/>
        <v>6.3868323206111022E-3</v>
      </c>
      <c r="AJ111" s="112">
        <f t="shared" si="100"/>
        <v>-3.3460156401419194E-3</v>
      </c>
      <c r="AK111" s="112">
        <f t="shared" si="101"/>
        <v>6.8377024482038085E-3</v>
      </c>
      <c r="AL111" s="143">
        <f t="shared" si="90"/>
        <v>1.4879852899285422</v>
      </c>
      <c r="AM111" s="143">
        <f>BBG_EUR!AA111</f>
        <v>1.4873115970000002</v>
      </c>
      <c r="AN111" s="151">
        <f t="shared" si="91"/>
        <v>0.99954724490013314</v>
      </c>
      <c r="AO111" s="147"/>
    </row>
    <row r="112" spans="1:41" x14ac:dyDescent="0.25">
      <c r="A112" s="38">
        <v>54059</v>
      </c>
      <c r="B112" s="22">
        <v>2.4999999999941702E-5</v>
      </c>
      <c r="C112" s="22">
        <v>-2.82419116908405E-4</v>
      </c>
      <c r="D112" s="22">
        <v>1.01571011408551</v>
      </c>
      <c r="E112" s="22">
        <v>2.4589710433004998E-3</v>
      </c>
      <c r="F112" s="32">
        <v>0.82673609064633602</v>
      </c>
      <c r="G112" s="5">
        <f t="shared" si="79"/>
        <v>27.902777777777779</v>
      </c>
      <c r="H112" s="5">
        <f t="shared" si="102"/>
        <v>-3.3330737860683447E-3</v>
      </c>
      <c r="I112" s="5">
        <f t="shared" si="103"/>
        <v>1.0976344385463048</v>
      </c>
      <c r="J112" s="32">
        <f t="shared" si="80"/>
        <v>1.4915068329712136</v>
      </c>
      <c r="K112" s="22" t="s">
        <v>92</v>
      </c>
      <c r="L112" s="40">
        <f t="shared" si="104"/>
        <v>-11.75</v>
      </c>
      <c r="M112" s="96">
        <v>54059</v>
      </c>
      <c r="N112" s="99">
        <f t="shared" si="92"/>
        <v>53967</v>
      </c>
      <c r="O112" s="38">
        <f t="shared" si="93"/>
        <v>54059</v>
      </c>
      <c r="P112" s="88">
        <f t="shared" si="94"/>
        <v>92</v>
      </c>
      <c r="Q112" s="45">
        <v>10000000</v>
      </c>
      <c r="R112" s="105">
        <f t="shared" si="105"/>
        <v>-1.1051182835546283E-3</v>
      </c>
      <c r="S112" s="45">
        <f t="shared" si="95"/>
        <v>-2824.1911690840502</v>
      </c>
      <c r="T112" s="45">
        <f t="shared" si="96"/>
        <v>249.99999999941701</v>
      </c>
      <c r="V112" s="61">
        <f t="shared" si="106"/>
        <v>-14879852.899285423</v>
      </c>
      <c r="W112" s="47">
        <f t="shared" si="86"/>
        <v>-14915068.329712136</v>
      </c>
      <c r="X112" s="107">
        <f t="shared" si="107"/>
        <v>9.6220606042193464E-3</v>
      </c>
      <c r="Y112" s="47">
        <f t="shared" si="108"/>
        <v>-36589.127407913846</v>
      </c>
      <c r="Z112" s="47">
        <f t="shared" si="109"/>
        <v>35215.430426713079</v>
      </c>
      <c r="AC112" s="122">
        <f t="shared" si="97"/>
        <v>27.902777777777779</v>
      </c>
      <c r="AD112" s="113">
        <f>BBG_EUR!V112/100</f>
        <v>-1.0931000000000001E-3</v>
      </c>
      <c r="AE112" s="113">
        <f>BBG_EUR!J112/100</f>
        <v>9.5957000000000004E-3</v>
      </c>
      <c r="AF112" s="116">
        <f>BBG_EUR!X112</f>
        <v>1.111137</v>
      </c>
      <c r="AG112" s="116">
        <f>BBG_EUR!L112</f>
        <v>0.83716500000000005</v>
      </c>
      <c r="AH112" s="112">
        <f t="shared" si="98"/>
        <v>-3.7696984360763297E-3</v>
      </c>
      <c r="AI112" s="112">
        <f t="shared" si="99"/>
        <v>6.390093581742029E-3</v>
      </c>
      <c r="AJ112" s="112">
        <f t="shared" si="100"/>
        <v>-3.3330737860683968E-3</v>
      </c>
      <c r="AK112" s="112">
        <f t="shared" si="101"/>
        <v>6.8423279264182568E-3</v>
      </c>
      <c r="AL112" s="143">
        <f t="shared" si="90"/>
        <v>1.4915068329712136</v>
      </c>
      <c r="AM112" s="143">
        <f>BBG_EUR!AA112</f>
        <v>1.490927041</v>
      </c>
      <c r="AN112" s="151">
        <f t="shared" si="91"/>
        <v>0.99961127099226321</v>
      </c>
      <c r="AO112" s="147"/>
    </row>
    <row r="113" spans="1:41" x14ac:dyDescent="0.25">
      <c r="A113" s="38">
        <v>54150</v>
      </c>
      <c r="B113" s="22">
        <v>2.4999999999941702E-5</v>
      </c>
      <c r="C113" s="22">
        <v>-2.7934977270871399E-4</v>
      </c>
      <c r="D113" s="22">
        <v>1.0163509025491999</v>
      </c>
      <c r="E113" s="22">
        <v>2.4322106196452602E-3</v>
      </c>
      <c r="F113" s="32">
        <v>0.82520859533804103</v>
      </c>
      <c r="G113" s="5">
        <f t="shared" si="79"/>
        <v>28.155555555555555</v>
      </c>
      <c r="H113" s="5">
        <f t="shared" si="102"/>
        <v>-3.3202726043215793E-3</v>
      </c>
      <c r="I113" s="5">
        <f t="shared" si="103"/>
        <v>1.0981639628025837</v>
      </c>
      <c r="J113" s="32">
        <f t="shared" si="80"/>
        <v>1.4949885432386403</v>
      </c>
      <c r="K113" s="22" t="s">
        <v>92</v>
      </c>
      <c r="L113" s="40">
        <f t="shared" si="104"/>
        <v>-11.75</v>
      </c>
      <c r="M113" s="96">
        <v>54150</v>
      </c>
      <c r="N113" s="99">
        <f t="shared" si="92"/>
        <v>54059</v>
      </c>
      <c r="O113" s="38">
        <f t="shared" si="93"/>
        <v>54150</v>
      </c>
      <c r="P113" s="88">
        <f t="shared" si="94"/>
        <v>91</v>
      </c>
      <c r="Q113" s="45">
        <v>10000000</v>
      </c>
      <c r="R113" s="105">
        <f t="shared" si="105"/>
        <v>-1.1051199799465609E-3</v>
      </c>
      <c r="S113" s="45">
        <f t="shared" si="95"/>
        <v>-2793.49772708714</v>
      </c>
      <c r="T113" s="45">
        <f t="shared" si="96"/>
        <v>249.99999999941701</v>
      </c>
      <c r="V113" s="61">
        <f t="shared" si="106"/>
        <v>-14915068.329712136</v>
      </c>
      <c r="W113" s="47">
        <f t="shared" si="86"/>
        <v>-14949885.432386402</v>
      </c>
      <c r="X113" s="107">
        <f t="shared" si="107"/>
        <v>9.6219321216735564E-3</v>
      </c>
      <c r="Y113" s="47">
        <f t="shared" si="108"/>
        <v>-36276.587584260553</v>
      </c>
      <c r="Z113" s="47">
        <f t="shared" si="109"/>
        <v>34817.102674266323</v>
      </c>
      <c r="AC113" s="122">
        <f t="shared" si="97"/>
        <v>28.155555555555555</v>
      </c>
      <c r="AD113" s="113">
        <f>BBG_EUR!V113/100</f>
        <v>-1.1209E-3</v>
      </c>
      <c r="AE113" s="113">
        <f>BBG_EUR!J113/100</f>
        <v>9.6007000000000002E-3</v>
      </c>
      <c r="AF113" s="116">
        <f>BBG_EUR!X113</f>
        <v>1.111944</v>
      </c>
      <c r="AG113" s="116">
        <f>BBG_EUR!L113</f>
        <v>0.83574300000000001</v>
      </c>
      <c r="AH113" s="112">
        <f t="shared" si="98"/>
        <v>-3.7616071020371011E-3</v>
      </c>
      <c r="AI113" s="112">
        <f t="shared" si="99"/>
        <v>6.3933069465835768E-3</v>
      </c>
      <c r="AJ113" s="112">
        <f t="shared" si="100"/>
        <v>-3.3202726043216613E-3</v>
      </c>
      <c r="AK113" s="112">
        <f t="shared" si="101"/>
        <v>6.8468205452529851E-3</v>
      </c>
      <c r="AL113" s="143">
        <f t="shared" si="90"/>
        <v>1.4949885432386403</v>
      </c>
      <c r="AM113" s="143">
        <f>BBG_EUR!AA113</f>
        <v>1.4945868130000002</v>
      </c>
      <c r="AN113" s="151">
        <f t="shared" si="91"/>
        <v>0.99973128206202178</v>
      </c>
      <c r="AO113" s="147"/>
    </row>
    <row r="114" spans="1:41" x14ac:dyDescent="0.25">
      <c r="A114" s="38">
        <v>54241</v>
      </c>
      <c r="B114" s="22">
        <v>2.4999999999941702E-5</v>
      </c>
      <c r="C114" s="22">
        <v>-2.7934977270882501E-4</v>
      </c>
      <c r="D114" s="22">
        <v>1.0169920952717899</v>
      </c>
      <c r="E114" s="22">
        <v>2.4322106196452602E-3</v>
      </c>
      <c r="F114" s="32">
        <v>0.82368392226279297</v>
      </c>
      <c r="G114" s="5">
        <f t="shared" si="79"/>
        <v>28.408333333333335</v>
      </c>
      <c r="H114" s="5">
        <f t="shared" si="102"/>
        <v>-3.3074714225748134E-3</v>
      </c>
      <c r="I114" s="5">
        <f t="shared" si="103"/>
        <v>1.0986866135269118</v>
      </c>
      <c r="J114" s="32">
        <f t="shared" si="80"/>
        <v>1.4984686580325719</v>
      </c>
      <c r="K114" s="22" t="s">
        <v>92</v>
      </c>
      <c r="L114" s="40">
        <f t="shared" si="104"/>
        <v>-11.75</v>
      </c>
      <c r="M114" s="96">
        <v>54241</v>
      </c>
      <c r="N114" s="99">
        <f t="shared" si="92"/>
        <v>54150</v>
      </c>
      <c r="O114" s="38">
        <f t="shared" si="93"/>
        <v>54241</v>
      </c>
      <c r="P114" s="88">
        <f t="shared" si="94"/>
        <v>91</v>
      </c>
      <c r="Q114" s="45">
        <v>10000000</v>
      </c>
      <c r="R114" s="105">
        <f t="shared" si="105"/>
        <v>-1.105119979947E-3</v>
      </c>
      <c r="S114" s="45">
        <f t="shared" si="95"/>
        <v>-2793.49772708825</v>
      </c>
      <c r="T114" s="45">
        <f t="shared" si="96"/>
        <v>249.99999999941701</v>
      </c>
      <c r="V114" s="61">
        <f t="shared" si="106"/>
        <v>-14949885.432386402</v>
      </c>
      <c r="W114" s="47">
        <f t="shared" si="86"/>
        <v>-14984686.580325719</v>
      </c>
      <c r="X114" s="107">
        <f t="shared" si="107"/>
        <v>9.6219321216735564E-3</v>
      </c>
      <c r="Y114" s="47">
        <f t="shared" si="108"/>
        <v>-36361.270111130179</v>
      </c>
      <c r="Z114" s="47">
        <f t="shared" si="109"/>
        <v>34801.147939316928</v>
      </c>
      <c r="AC114" s="122">
        <f t="shared" si="97"/>
        <v>28.408333333333335</v>
      </c>
      <c r="AD114" s="113">
        <f>BBG_EUR!V114/100</f>
        <v>-1.1486999999999999E-3</v>
      </c>
      <c r="AE114" s="113">
        <f>BBG_EUR!J114/100</f>
        <v>9.6055999999999989E-3</v>
      </c>
      <c r="AF114" s="116">
        <f>BBG_EUR!X114</f>
        <v>1.112746</v>
      </c>
      <c r="AG114" s="116">
        <f>BBG_EUR!L114</f>
        <v>0.83432300000000004</v>
      </c>
      <c r="AH114" s="112">
        <f t="shared" si="98"/>
        <v>-3.7534836487113088E-3</v>
      </c>
      <c r="AI114" s="112">
        <f t="shared" si="99"/>
        <v>6.3964807743059904E-3</v>
      </c>
      <c r="AJ114" s="112">
        <f t="shared" si="100"/>
        <v>-3.3074714225748147E-3</v>
      </c>
      <c r="AK114" s="112">
        <f t="shared" si="101"/>
        <v>6.8512332328221071E-3</v>
      </c>
      <c r="AL114" s="143">
        <f t="shared" si="90"/>
        <v>1.4984686580325719</v>
      </c>
      <c r="AM114" s="143">
        <f>BBG_EUR!AA114</f>
        <v>1.4982113260000001</v>
      </c>
      <c r="AN114" s="151">
        <f t="shared" si="91"/>
        <v>0.9998282699933746</v>
      </c>
      <c r="AO114" s="147"/>
    </row>
    <row r="115" spans="1:41" x14ac:dyDescent="0.25">
      <c r="A115" s="38">
        <v>54333</v>
      </c>
      <c r="B115" s="22">
        <v>2.4999999999941702E-5</v>
      </c>
      <c r="C115" s="22">
        <v>-2.8241911690829398E-4</v>
      </c>
      <c r="D115" s="22">
        <v>1.0176407452753899</v>
      </c>
      <c r="E115" s="22">
        <v>2.4589710433004998E-3</v>
      </c>
      <c r="F115" s="32">
        <v>0.82214535814207002</v>
      </c>
      <c r="G115" s="5">
        <f t="shared" si="79"/>
        <v>28.663888888888888</v>
      </c>
      <c r="H115" s="5">
        <f t="shared" si="102"/>
        <v>-3.2945295685011611E-3</v>
      </c>
      <c r="I115" s="5">
        <f t="shared" si="103"/>
        <v>1.0992080103000754</v>
      </c>
      <c r="J115" s="32">
        <f t="shared" si="80"/>
        <v>1.501985344248234</v>
      </c>
      <c r="K115" s="22" t="s">
        <v>92</v>
      </c>
      <c r="L115" s="40">
        <f t="shared" si="104"/>
        <v>-11.75</v>
      </c>
      <c r="M115" s="96">
        <v>54333</v>
      </c>
      <c r="N115" s="99">
        <f t="shared" si="92"/>
        <v>54241</v>
      </c>
      <c r="O115" s="38">
        <f t="shared" si="93"/>
        <v>54333</v>
      </c>
      <c r="P115" s="88">
        <f t="shared" si="94"/>
        <v>92</v>
      </c>
      <c r="Q115" s="45">
        <v>10000000</v>
      </c>
      <c r="R115" s="105">
        <f t="shared" si="105"/>
        <v>-1.105118283554194E-3</v>
      </c>
      <c r="S115" s="45">
        <f t="shared" si="95"/>
        <v>-2824.1911690829397</v>
      </c>
      <c r="T115" s="45">
        <f t="shared" si="96"/>
        <v>249.99999999941701</v>
      </c>
      <c r="V115" s="61">
        <f t="shared" si="106"/>
        <v>-14984686.580325719</v>
      </c>
      <c r="W115" s="47">
        <f t="shared" si="86"/>
        <v>-15019853.442482341</v>
      </c>
      <c r="X115" s="107">
        <f t="shared" si="107"/>
        <v>9.6220606042193464E-3</v>
      </c>
      <c r="Y115" s="47">
        <f t="shared" si="108"/>
        <v>-36846.910393954531</v>
      </c>
      <c r="Z115" s="47">
        <f t="shared" si="109"/>
        <v>35166.862156622112</v>
      </c>
      <c r="AC115" s="122">
        <f t="shared" si="97"/>
        <v>28.663888888888888</v>
      </c>
      <c r="AD115" s="113">
        <f>BBG_EUR!V115/100</f>
        <v>-1.1766000000000001E-3</v>
      </c>
      <c r="AE115" s="113">
        <f>BBG_EUR!J115/100</f>
        <v>9.6106999999999998E-3</v>
      </c>
      <c r="AF115" s="116">
        <f>BBG_EUR!X115</f>
        <v>1.1135539999999999</v>
      </c>
      <c r="AG115" s="116">
        <f>BBG_EUR!L115</f>
        <v>0.83288899999999999</v>
      </c>
      <c r="AH115" s="112">
        <f t="shared" si="98"/>
        <v>-3.7453103488749306E-3</v>
      </c>
      <c r="AI115" s="112">
        <f t="shared" si="99"/>
        <v>6.3996683412228528E-3</v>
      </c>
      <c r="AJ115" s="112">
        <f t="shared" si="100"/>
        <v>-3.29452956850107E-3</v>
      </c>
      <c r="AK115" s="112">
        <f t="shared" si="101"/>
        <v>6.8556153148260357E-3</v>
      </c>
      <c r="AL115" s="143">
        <f t="shared" si="90"/>
        <v>1.501985344248234</v>
      </c>
      <c r="AM115" s="143">
        <f>BBG_EUR!AA115</f>
        <v>1.5018802150000001</v>
      </c>
      <c r="AN115" s="151">
        <f t="shared" si="91"/>
        <v>0.99993000647533847</v>
      </c>
      <c r="AO115" s="147"/>
    </row>
    <row r="116" spans="1:41" x14ac:dyDescent="0.25">
      <c r="A116" s="38">
        <v>54427</v>
      </c>
      <c r="B116" s="22">
        <v>2.55555555555009E-5</v>
      </c>
      <c r="C116" s="22">
        <v>-2.8855777703695702E-4</v>
      </c>
      <c r="D116" s="22">
        <v>1.0183039236734299</v>
      </c>
      <c r="E116" s="22">
        <v>2.5124940337783999E-3</v>
      </c>
      <c r="F116" s="32">
        <v>0.82057631522115604</v>
      </c>
      <c r="G116" s="5">
        <f t="shared" si="79"/>
        <v>28.925000000000001</v>
      </c>
      <c r="H116" s="5">
        <f t="shared" si="102"/>
        <v>-3.2813063697737332E-3</v>
      </c>
      <c r="I116" s="5">
        <f t="shared" si="103"/>
        <v>1.0997334646156889</v>
      </c>
      <c r="J116" s="32">
        <f t="shared" si="80"/>
        <v>1.5055766919330318</v>
      </c>
      <c r="K116" s="22" t="s">
        <v>92</v>
      </c>
      <c r="L116" s="40">
        <f t="shared" si="104"/>
        <v>-11.75</v>
      </c>
      <c r="M116" s="96">
        <v>54427</v>
      </c>
      <c r="N116" s="99">
        <f t="shared" si="92"/>
        <v>54333</v>
      </c>
      <c r="O116" s="38">
        <f t="shared" si="93"/>
        <v>54427</v>
      </c>
      <c r="P116" s="88">
        <f t="shared" si="94"/>
        <v>94</v>
      </c>
      <c r="Q116" s="45">
        <v>10000000</v>
      </c>
      <c r="R116" s="105">
        <f t="shared" si="105"/>
        <v>-1.1051148907798355E-3</v>
      </c>
      <c r="S116" s="45">
        <f t="shared" si="95"/>
        <v>-2885.5777703695703</v>
      </c>
      <c r="T116" s="45">
        <f t="shared" si="96"/>
        <v>255.55555555500899</v>
      </c>
      <c r="V116" s="61">
        <f t="shared" si="106"/>
        <v>-15019853.442482341</v>
      </c>
      <c r="W116" s="47">
        <f t="shared" si="86"/>
        <v>-15055766.919330318</v>
      </c>
      <c r="X116" s="107">
        <f t="shared" si="107"/>
        <v>9.6223175761725958E-3</v>
      </c>
      <c r="Y116" s="47">
        <f t="shared" si="108"/>
        <v>-37737.292162462843</v>
      </c>
      <c r="Z116" s="47">
        <f t="shared" si="109"/>
        <v>35913.476847976446</v>
      </c>
      <c r="AC116" s="122">
        <f t="shared" si="97"/>
        <v>28.925000000000001</v>
      </c>
      <c r="AD116" s="113">
        <f>BBG_EUR!V116/100</f>
        <v>-1.2049999999999999E-3</v>
      </c>
      <c r="AE116" s="113">
        <f>BBG_EUR!J116/100</f>
        <v>9.6159000000000001E-3</v>
      </c>
      <c r="AF116" s="116">
        <f>BBG_EUR!X116</f>
        <v>1.114374</v>
      </c>
      <c r="AG116" s="116">
        <f>BBG_EUR!L116</f>
        <v>0.83142499999999997</v>
      </c>
      <c r="AH116" s="112">
        <f t="shared" si="98"/>
        <v>-3.7369177302676304E-3</v>
      </c>
      <c r="AI116" s="112">
        <f t="shared" si="99"/>
        <v>6.4029244415209075E-3</v>
      </c>
      <c r="AJ116" s="112">
        <f t="shared" si="100"/>
        <v>-3.28130636977364E-3</v>
      </c>
      <c r="AK116" s="112">
        <f t="shared" si="101"/>
        <v>6.8600127030364888E-3</v>
      </c>
      <c r="AL116" s="143">
        <f t="shared" si="90"/>
        <v>1.5055766919330318</v>
      </c>
      <c r="AM116" s="143">
        <f>BBG_EUR!AA116</f>
        <v>1.505513694</v>
      </c>
      <c r="AN116" s="151">
        <f t="shared" si="91"/>
        <v>0.99995815694187529</v>
      </c>
      <c r="AO116" s="147"/>
    </row>
    <row r="117" spans="1:41" x14ac:dyDescent="0.25">
      <c r="A117" s="38">
        <v>54515</v>
      </c>
      <c r="B117" s="22">
        <v>2.44444444443825E-5</v>
      </c>
      <c r="C117" s="22">
        <v>-2.7014168356898001E-4</v>
      </c>
      <c r="D117" s="22">
        <v>1.01892516321289</v>
      </c>
      <c r="E117" s="22">
        <v>2.3519336347854699E-3</v>
      </c>
      <c r="F117" s="32">
        <v>0.81911013795852206</v>
      </c>
      <c r="G117" s="5">
        <f t="shared" si="79"/>
        <v>29.169444444444444</v>
      </c>
      <c r="H117" s="5">
        <f t="shared" si="102"/>
        <v>-3.2689272050076298E-3</v>
      </c>
      <c r="I117" s="5">
        <f t="shared" si="103"/>
        <v>1.1002187037608937</v>
      </c>
      <c r="J117" s="32">
        <f t="shared" si="80"/>
        <v>1.5089371191100744</v>
      </c>
      <c r="K117" s="22" t="s">
        <v>92</v>
      </c>
      <c r="L117" s="40">
        <f t="shared" si="104"/>
        <v>-11.75</v>
      </c>
      <c r="M117" s="96">
        <v>54515</v>
      </c>
      <c r="N117" s="99">
        <f t="shared" si="92"/>
        <v>54427</v>
      </c>
      <c r="O117" s="38">
        <f t="shared" si="93"/>
        <v>54515</v>
      </c>
      <c r="P117" s="88">
        <f t="shared" si="94"/>
        <v>88</v>
      </c>
      <c r="Q117" s="45">
        <v>10000000</v>
      </c>
      <c r="R117" s="105">
        <f t="shared" si="105"/>
        <v>-1.1051250691458273E-3</v>
      </c>
      <c r="S117" s="45">
        <f t="shared" si="95"/>
        <v>-2701.4168356898003</v>
      </c>
      <c r="T117" s="45">
        <f t="shared" si="96"/>
        <v>244.44444444382501</v>
      </c>
      <c r="V117" s="61">
        <f t="shared" si="106"/>
        <v>-15055766.919330318</v>
      </c>
      <c r="W117" s="47">
        <f t="shared" si="86"/>
        <v>-15089371.191100745</v>
      </c>
      <c r="X117" s="107">
        <f t="shared" si="107"/>
        <v>9.6215466877587405E-3</v>
      </c>
      <c r="Y117" s="47">
        <f t="shared" si="108"/>
        <v>-35410.16461506339</v>
      </c>
      <c r="Z117" s="47">
        <f t="shared" si="109"/>
        <v>33604.271770427004</v>
      </c>
      <c r="AC117" s="122">
        <f t="shared" si="97"/>
        <v>29.169444444444444</v>
      </c>
      <c r="AD117" s="113">
        <f>BBG_EUR!V117/100</f>
        <v>-1.2328E-3</v>
      </c>
      <c r="AE117" s="113">
        <f>BBG_EUR!J117/100</f>
        <v>9.6197999999999995E-3</v>
      </c>
      <c r="AF117" s="116">
        <f>BBG_EUR!X117</f>
        <v>1.1151390000000001</v>
      </c>
      <c r="AG117" s="116">
        <f>BBG_EUR!L117</f>
        <v>0.83005600000000002</v>
      </c>
      <c r="AH117" s="112">
        <f t="shared" si="98"/>
        <v>-3.7290987033745671E-3</v>
      </c>
      <c r="AI117" s="112">
        <f t="shared" si="99"/>
        <v>6.4059522666850555E-3</v>
      </c>
      <c r="AJ117" s="112">
        <f t="shared" si="100"/>
        <v>-3.268927205007488E-3</v>
      </c>
      <c r="AK117" s="112">
        <f t="shared" si="101"/>
        <v>6.8640580744490087E-3</v>
      </c>
      <c r="AL117" s="143">
        <f t="shared" si="90"/>
        <v>1.5089371191100744</v>
      </c>
      <c r="AM117" s="143">
        <f>BBG_EUR!AA117</f>
        <v>1.509151591</v>
      </c>
      <c r="AN117" s="151">
        <f t="shared" si="91"/>
        <v>1.0001421344118382</v>
      </c>
      <c r="AO117" s="147"/>
    </row>
    <row r="118" spans="1:41" x14ac:dyDescent="0.25">
      <c r="A118" s="38">
        <v>54606</v>
      </c>
      <c r="B118" s="22">
        <v>2.4999999999941702E-5</v>
      </c>
      <c r="C118" s="22">
        <v>-2.7934977270882501E-4</v>
      </c>
      <c r="D118" s="22">
        <v>1.0195679799781201</v>
      </c>
      <c r="E118" s="22">
        <v>2.4322106196452602E-3</v>
      </c>
      <c r="F118" s="32">
        <v>0.81759673252374698</v>
      </c>
      <c r="G118" s="5">
        <f t="shared" si="79"/>
        <v>29.422222222222221</v>
      </c>
      <c r="H118" s="5">
        <f t="shared" si="102"/>
        <v>-3.2561260232608648E-3</v>
      </c>
      <c r="I118" s="5">
        <f t="shared" si="103"/>
        <v>1.1007136864598561</v>
      </c>
      <c r="J118" s="32">
        <f t="shared" si="80"/>
        <v>1.5124103438526</v>
      </c>
      <c r="K118" s="22" t="s">
        <v>92</v>
      </c>
      <c r="L118" s="40">
        <f t="shared" si="104"/>
        <v>-11.75</v>
      </c>
      <c r="M118" s="96">
        <v>54606</v>
      </c>
      <c r="N118" s="99">
        <f t="shared" si="92"/>
        <v>54515</v>
      </c>
      <c r="O118" s="38">
        <f t="shared" si="93"/>
        <v>54606</v>
      </c>
      <c r="P118" s="88">
        <f t="shared" si="94"/>
        <v>91</v>
      </c>
      <c r="Q118" s="45">
        <v>10000000</v>
      </c>
      <c r="R118" s="105">
        <f t="shared" si="105"/>
        <v>-1.105119979947E-3</v>
      </c>
      <c r="S118" s="45">
        <f t="shared" si="95"/>
        <v>-2793.49772708825</v>
      </c>
      <c r="T118" s="45">
        <f t="shared" si="96"/>
        <v>249.99999999941701</v>
      </c>
      <c r="V118" s="61">
        <f t="shared" si="106"/>
        <v>-15089371.191100745</v>
      </c>
      <c r="W118" s="47">
        <f t="shared" si="86"/>
        <v>-15124103.438525999</v>
      </c>
      <c r="X118" s="107">
        <f t="shared" si="107"/>
        <v>9.6219321216735564E-3</v>
      </c>
      <c r="Y118" s="47">
        <f t="shared" si="108"/>
        <v>-36700.528854764481</v>
      </c>
      <c r="Z118" s="47">
        <f t="shared" si="109"/>
        <v>34732.247425254434</v>
      </c>
      <c r="AC118" s="122">
        <f t="shared" si="97"/>
        <v>29.422222222222221</v>
      </c>
      <c r="AD118" s="113">
        <f>BBG_EUR!V118/100</f>
        <v>-1.2601000000000001E-3</v>
      </c>
      <c r="AE118" s="113">
        <f>BBG_EUR!J118/100</f>
        <v>9.6246999999999999E-3</v>
      </c>
      <c r="AF118" s="116">
        <f>BBG_EUR!X118</f>
        <v>1.115926</v>
      </c>
      <c r="AG118" s="116">
        <f>BBG_EUR!L118</f>
        <v>0.82864199999999999</v>
      </c>
      <c r="AH118" s="112">
        <f t="shared" si="98"/>
        <v>-3.721009150277288E-3</v>
      </c>
      <c r="AI118" s="112">
        <f t="shared" si="99"/>
        <v>6.4090593144368047E-3</v>
      </c>
      <c r="AJ118" s="112">
        <f t="shared" si="100"/>
        <v>-3.2561260232608635E-3</v>
      </c>
      <c r="AK118" s="112">
        <f t="shared" si="101"/>
        <v>6.8681706773445761E-3</v>
      </c>
      <c r="AL118" s="143">
        <f t="shared" si="90"/>
        <v>1.5124103438526</v>
      </c>
      <c r="AM118" s="143">
        <f>BBG_EUR!AA118</f>
        <v>1.51279388</v>
      </c>
      <c r="AN118" s="151">
        <f t="shared" si="91"/>
        <v>1.0002535926502745</v>
      </c>
      <c r="AO118" s="147"/>
    </row>
    <row r="119" spans="1:41" x14ac:dyDescent="0.25">
      <c r="A119" s="38">
        <v>54700</v>
      </c>
      <c r="B119" s="22">
        <v>2.55555555555009E-5</v>
      </c>
      <c r="C119" s="22">
        <v>-2.8855777703695702E-4</v>
      </c>
      <c r="D119" s="22">
        <v>1.0202324143207899</v>
      </c>
      <c r="E119" s="22">
        <v>2.5124940337783999E-3</v>
      </c>
      <c r="F119" s="32">
        <v>0.81603637053590194</v>
      </c>
      <c r="G119" s="5">
        <f t="shared" si="79"/>
        <v>29.683333333333334</v>
      </c>
      <c r="H119" s="5">
        <f t="shared" si="102"/>
        <v>-3.2429028245334374E-3</v>
      </c>
      <c r="I119" s="5">
        <f t="shared" si="103"/>
        <v>1.1012177191811718</v>
      </c>
      <c r="J119" s="32">
        <f t="shared" si="80"/>
        <v>1.5159961374217954</v>
      </c>
      <c r="K119" s="22" t="s">
        <v>92</v>
      </c>
      <c r="L119" s="40">
        <f t="shared" si="104"/>
        <v>-11.75</v>
      </c>
      <c r="M119" s="96">
        <v>54700</v>
      </c>
      <c r="N119" s="99">
        <f t="shared" si="92"/>
        <v>54606</v>
      </c>
      <c r="O119" s="38">
        <f t="shared" si="93"/>
        <v>54700</v>
      </c>
      <c r="P119" s="88">
        <f t="shared" si="94"/>
        <v>94</v>
      </c>
      <c r="Q119" s="45">
        <v>10000000</v>
      </c>
      <c r="R119" s="105">
        <f t="shared" si="105"/>
        <v>-1.1051148907798355E-3</v>
      </c>
      <c r="S119" s="45">
        <f t="shared" si="95"/>
        <v>-2885.5777703695703</v>
      </c>
      <c r="T119" s="45">
        <f t="shared" si="96"/>
        <v>255.55555555500899</v>
      </c>
      <c r="V119" s="61">
        <f t="shared" si="106"/>
        <v>-15124103.438525999</v>
      </c>
      <c r="W119" s="47">
        <f t="shared" si="86"/>
        <v>-15159961.374217954</v>
      </c>
      <c r="X119" s="107">
        <f t="shared" si="107"/>
        <v>9.6223175761725958E-3</v>
      </c>
      <c r="Y119" s="47">
        <f t="shared" si="108"/>
        <v>-37999.219655543959</v>
      </c>
      <c r="Z119" s="47">
        <f t="shared" si="109"/>
        <v>35857.935691954568</v>
      </c>
      <c r="AC119" s="122">
        <f t="shared" si="97"/>
        <v>29.683333333333334</v>
      </c>
      <c r="AD119" s="113">
        <f>BBG_EUR!V119/100</f>
        <v>-1.2884000000000001E-3</v>
      </c>
      <c r="AE119" s="113">
        <f>BBG_EUR!J119/100</f>
        <v>9.6296999999999997E-3</v>
      </c>
      <c r="AF119" s="116">
        <f>BBG_EUR!X119</f>
        <v>1.1167339999999999</v>
      </c>
      <c r="AG119" s="116">
        <f>BBG_EUR!L119</f>
        <v>0.827183</v>
      </c>
      <c r="AH119" s="112">
        <f t="shared" si="98"/>
        <v>-3.712631354698237E-3</v>
      </c>
      <c r="AI119" s="112">
        <f t="shared" si="99"/>
        <v>6.4122506912174249E-3</v>
      </c>
      <c r="AJ119" s="112">
        <f t="shared" si="100"/>
        <v>-3.2429028245333225E-3</v>
      </c>
      <c r="AK119" s="112">
        <f t="shared" si="101"/>
        <v>6.8723453316101857E-3</v>
      </c>
      <c r="AL119" s="143">
        <f t="shared" si="90"/>
        <v>1.5159961374217954</v>
      </c>
      <c r="AM119" s="143">
        <f>BBG_EUR!AA119</f>
        <v>1.5164806310000001</v>
      </c>
      <c r="AN119" s="151">
        <f t="shared" si="91"/>
        <v>1.0003195876072801</v>
      </c>
      <c r="AO119" s="147"/>
    </row>
    <row r="120" spans="1:41" x14ac:dyDescent="0.25">
      <c r="A120" s="38">
        <v>54792</v>
      </c>
      <c r="B120" s="22">
        <v>2.4999999999941702E-5</v>
      </c>
      <c r="C120" s="22">
        <v>-2.8241911690829398E-4</v>
      </c>
      <c r="D120" s="22">
        <v>1.0208831310395201</v>
      </c>
      <c r="E120" s="22">
        <v>2.4589710433004998E-3</v>
      </c>
      <c r="F120" s="32">
        <v>0.81451209132275104</v>
      </c>
      <c r="G120" s="5">
        <f t="shared" si="79"/>
        <v>29.93888888888889</v>
      </c>
      <c r="H120" s="5">
        <f t="shared" si="102"/>
        <v>-3.2299609704597837E-3</v>
      </c>
      <c r="I120" s="5">
        <f t="shared" si="103"/>
        <v>1.1017038661911938</v>
      </c>
      <c r="J120" s="32">
        <f t="shared" si="80"/>
        <v>1.5195036838179554</v>
      </c>
      <c r="K120" s="22" t="s">
        <v>92</v>
      </c>
      <c r="L120" s="40">
        <f t="shared" si="104"/>
        <v>-11.75</v>
      </c>
      <c r="M120" s="96">
        <v>54792</v>
      </c>
      <c r="N120" s="99">
        <f t="shared" si="92"/>
        <v>54700</v>
      </c>
      <c r="O120" s="38">
        <f t="shared" si="93"/>
        <v>54792</v>
      </c>
      <c r="P120" s="88">
        <f t="shared" si="94"/>
        <v>92</v>
      </c>
      <c r="Q120" s="45">
        <v>10000000</v>
      </c>
      <c r="R120" s="105">
        <f t="shared" si="105"/>
        <v>-1.105118283554194E-3</v>
      </c>
      <c r="S120" s="45">
        <f t="shared" si="95"/>
        <v>-2824.1911690829397</v>
      </c>
      <c r="T120" s="45">
        <f t="shared" si="96"/>
        <v>249.99999999941701</v>
      </c>
      <c r="V120" s="61">
        <f t="shared" si="106"/>
        <v>-15159961.374217954</v>
      </c>
      <c r="W120" s="47">
        <f t="shared" si="86"/>
        <v>-15195036.838179555</v>
      </c>
      <c r="X120" s="107">
        <f t="shared" si="107"/>
        <v>9.6220606042193464E-3</v>
      </c>
      <c r="Y120" s="47">
        <f t="shared" si="108"/>
        <v>-37277.906036756001</v>
      </c>
      <c r="Z120" s="47">
        <f t="shared" si="109"/>
        <v>35075.463961601257</v>
      </c>
      <c r="AC120" s="122">
        <f t="shared" si="97"/>
        <v>29.93888888888889</v>
      </c>
      <c r="AD120" s="113">
        <f>BBG_EUR!V120/100</f>
        <v>-1.3169E-3</v>
      </c>
      <c r="AE120" s="113">
        <f>BBG_EUR!J120/100</f>
        <v>9.6340000000000002E-3</v>
      </c>
      <c r="AF120" s="116">
        <f>BBG_EUR!X120</f>
        <v>1.117521</v>
      </c>
      <c r="AG120" s="116">
        <f>BBG_EUR!L120</f>
        <v>0.82575600000000005</v>
      </c>
      <c r="AH120" s="112">
        <f t="shared" si="98"/>
        <v>-3.704442967044641E-3</v>
      </c>
      <c r="AI120" s="112">
        <f t="shared" si="99"/>
        <v>6.4153825599628789E-3</v>
      </c>
      <c r="AJ120" s="112">
        <f t="shared" si="100"/>
        <v>-3.2299609704597998E-3</v>
      </c>
      <c r="AK120" s="112">
        <f t="shared" si="101"/>
        <v>6.8763606690385171E-3</v>
      </c>
      <c r="AL120" s="143">
        <f t="shared" si="90"/>
        <v>1.5195036838179554</v>
      </c>
      <c r="AM120" s="143">
        <f>BBG_EUR!AA120</f>
        <v>1.5201316699999998</v>
      </c>
      <c r="AN120" s="151">
        <f t="shared" si="91"/>
        <v>1.0004132837509592</v>
      </c>
      <c r="AO120" s="147"/>
    </row>
    <row r="121" spans="1:41" x14ac:dyDescent="0.25">
      <c r="A121" s="38">
        <v>54882</v>
      </c>
      <c r="B121" s="22">
        <v>2.4999999999941702E-5</v>
      </c>
      <c r="C121" s="22">
        <v>-2.7628041908578301E-4</v>
      </c>
      <c r="D121" s="22">
        <v>1.02152010334018</v>
      </c>
      <c r="E121" s="22">
        <v>2.4054509103539302E-3</v>
      </c>
      <c r="F121" s="32">
        <v>0.81302370369076205</v>
      </c>
      <c r="G121" s="5">
        <f t="shared" si="79"/>
        <v>30.18888888888889</v>
      </c>
      <c r="H121" s="5">
        <f t="shared" si="102"/>
        <v>-3.2173004610399061E-3</v>
      </c>
      <c r="I121" s="5">
        <f t="shared" si="103"/>
        <v>1.1021725803990621</v>
      </c>
      <c r="J121" s="32">
        <f t="shared" si="80"/>
        <v>1.5229330598843831</v>
      </c>
      <c r="K121" s="22" t="s">
        <v>92</v>
      </c>
      <c r="L121" s="40">
        <f t="shared" si="104"/>
        <v>-11.75</v>
      </c>
      <c r="M121" s="96">
        <v>54882</v>
      </c>
      <c r="N121" s="99">
        <f t="shared" si="92"/>
        <v>54792</v>
      </c>
      <c r="O121" s="38">
        <f t="shared" si="93"/>
        <v>54882</v>
      </c>
      <c r="P121" s="88">
        <f t="shared" si="94"/>
        <v>90</v>
      </c>
      <c r="Q121" s="45">
        <v>10000000</v>
      </c>
      <c r="R121" s="105">
        <f t="shared" si="105"/>
        <v>-1.105121676343132E-3</v>
      </c>
      <c r="S121" s="45">
        <f t="shared" si="95"/>
        <v>-2762.8041908578302</v>
      </c>
      <c r="T121" s="45">
        <f t="shared" si="96"/>
        <v>249.99999999941701</v>
      </c>
      <c r="V121" s="61">
        <f t="shared" si="106"/>
        <v>-15195036.838179555</v>
      </c>
      <c r="W121" s="47">
        <f t="shared" si="86"/>
        <v>-15229330.598843832</v>
      </c>
      <c r="X121" s="107">
        <f t="shared" si="107"/>
        <v>9.6218036414157208E-3</v>
      </c>
      <c r="Y121" s="47">
        <f t="shared" si="108"/>
        <v>-36550.915195260517</v>
      </c>
      <c r="Z121" s="47">
        <f t="shared" si="109"/>
        <v>34293.760664276779</v>
      </c>
      <c r="AC121" s="122">
        <f t="shared" si="97"/>
        <v>30.18888888888889</v>
      </c>
      <c r="AD121" s="113">
        <f>BBG_EUR!V121/100</f>
        <v>-1.3449E-3</v>
      </c>
      <c r="AE121" s="113">
        <f>BBG_EUR!J121/100</f>
        <v>9.6381000000000001E-3</v>
      </c>
      <c r="AF121" s="116">
        <f>BBG_EUR!X121</f>
        <v>1.1182879999999999</v>
      </c>
      <c r="AG121" s="116">
        <f>BBG_EUR!L121</f>
        <v>0.82436200000000004</v>
      </c>
      <c r="AH121" s="112">
        <f t="shared" si="98"/>
        <v>-3.6964655050720774E-3</v>
      </c>
      <c r="AI121" s="112">
        <f t="shared" si="99"/>
        <v>6.4184113777485674E-3</v>
      </c>
      <c r="AJ121" s="112">
        <f t="shared" si="100"/>
        <v>-3.2173004610397404E-3</v>
      </c>
      <c r="AK121" s="112">
        <f t="shared" si="101"/>
        <v>6.8802229509321577E-3</v>
      </c>
      <c r="AL121" s="143">
        <f t="shared" si="90"/>
        <v>1.5229330598843831</v>
      </c>
      <c r="AM121" s="143">
        <f>BBG_EUR!AA121</f>
        <v>1.5237870179999999</v>
      </c>
      <c r="AN121" s="151">
        <f t="shared" si="91"/>
        <v>1.0005607325352053</v>
      </c>
      <c r="AO121" s="147"/>
    </row>
    <row r="122" spans="1:41" x14ac:dyDescent="0.25">
      <c r="A122" s="39">
        <v>54974</v>
      </c>
      <c r="B122" s="11">
        <v>2.5277777777832301E-5</v>
      </c>
      <c r="C122" s="11">
        <v>-2.8423319177928099E-4</v>
      </c>
      <c r="D122" s="11">
        <v>1.0221722542796201</v>
      </c>
      <c r="E122" s="11">
        <v>2.4527578650472802E-3</v>
      </c>
      <c r="F122" s="33">
        <v>0.81150505185601496</v>
      </c>
      <c r="G122" s="11">
        <f t="shared" si="79"/>
        <v>30.444444444444443</v>
      </c>
      <c r="H122" s="11">
        <f t="shared" si="102"/>
        <v>-3.2043586069662538E-3</v>
      </c>
      <c r="I122" s="11">
        <f t="shared" si="103"/>
        <v>1.1026446844165516</v>
      </c>
      <c r="J122" s="33">
        <f t="shared" si="80"/>
        <v>1.5264366323296015</v>
      </c>
      <c r="K122" s="11" t="s">
        <v>92</v>
      </c>
      <c r="L122" s="41">
        <f t="shared" si="104"/>
        <v>-11.75</v>
      </c>
      <c r="M122" s="95">
        <v>54974</v>
      </c>
      <c r="N122" s="9">
        <f t="shared" si="92"/>
        <v>54882</v>
      </c>
      <c r="O122" s="39">
        <f t="shared" si="93"/>
        <v>54974</v>
      </c>
      <c r="P122" s="87">
        <f t="shared" si="94"/>
        <v>92</v>
      </c>
      <c r="Q122" s="46">
        <v>10000000</v>
      </c>
      <c r="R122" s="106">
        <f t="shared" si="105"/>
        <v>-1.1122168373971864E-3</v>
      </c>
      <c r="S122" s="46">
        <f t="shared" si="95"/>
        <v>-2842.3319177928097</v>
      </c>
      <c r="T122" s="46">
        <f t="shared" si="96"/>
        <v>252.77777777832301</v>
      </c>
      <c r="U122" s="50">
        <f>Q122</f>
        <v>10000000</v>
      </c>
      <c r="V122" s="62">
        <f t="shared" si="106"/>
        <v>-15229330.598843832</v>
      </c>
      <c r="W122" s="46">
        <f t="shared" si="86"/>
        <v>-15264366.323296014</v>
      </c>
      <c r="X122" s="106">
        <f t="shared" si="107"/>
        <v>9.5977481675763136E-3</v>
      </c>
      <c r="Y122" s="46">
        <f t="shared" si="108"/>
        <v>-37353.860405719417</v>
      </c>
      <c r="Z122" s="46">
        <f t="shared" si="109"/>
        <v>35035.724452182651</v>
      </c>
      <c r="AA122" s="50">
        <f>W122</f>
        <v>-15264366.323296014</v>
      </c>
      <c r="AC122" s="122">
        <f t="shared" si="97"/>
        <v>30.444444444444443</v>
      </c>
      <c r="AD122" s="113">
        <f>BBG_EUR!V122/100</f>
        <v>-1.3711999999999999E-3</v>
      </c>
      <c r="AE122" s="113">
        <f>BBG_EUR!J122/100</f>
        <v>9.6425999999999994E-3</v>
      </c>
      <c r="AF122" s="116">
        <f>BBG_EUR!X122</f>
        <v>1.119067</v>
      </c>
      <c r="AG122" s="116">
        <f>BBG_EUR!L122</f>
        <v>0.82293799999999995</v>
      </c>
      <c r="AH122" s="112">
        <f t="shared" si="98"/>
        <v>-3.6882826891367904E-3</v>
      </c>
      <c r="AI122" s="112">
        <f t="shared" si="99"/>
        <v>6.42151452550066E-3</v>
      </c>
      <c r="AJ122" s="112">
        <f t="shared" si="100"/>
        <v>-3.2043586069661067E-3</v>
      </c>
      <c r="AK122" s="112">
        <f t="shared" si="101"/>
        <v>6.8841055145574259E-3</v>
      </c>
      <c r="AL122" s="143">
        <f t="shared" si="90"/>
        <v>1.5264366323296015</v>
      </c>
      <c r="AM122" s="143">
        <f>BBG_EUR!AA122</f>
        <v>0</v>
      </c>
      <c r="AN122" s="151">
        <f t="shared" si="91"/>
        <v>0</v>
      </c>
      <c r="AO122" s="147"/>
    </row>
    <row r="123" spans="1:41" x14ac:dyDescent="0.25">
      <c r="A123" s="38">
        <v>55064</v>
      </c>
      <c r="B123" s="22">
        <v>2.44444444443825E-5</v>
      </c>
      <c r="C123" s="22">
        <v>-4.3953497696580502E-4</v>
      </c>
      <c r="D123" s="22">
        <v>1.02286522936368</v>
      </c>
      <c r="E123" s="22">
        <v>1.8464489136962301E-3</v>
      </c>
      <c r="F123" s="32">
        <v>0.81041803497931197</v>
      </c>
      <c r="G123" s="5">
        <f t="shared" si="79"/>
        <v>30.694444444444443</v>
      </c>
      <c r="H123" s="5">
        <f t="shared" si="102"/>
        <v>-3.2020544021221444E-3</v>
      </c>
      <c r="I123" s="5">
        <f t="shared" si="103"/>
        <v>1.1034514783706002</v>
      </c>
      <c r="J123" s="32">
        <f t="shared" si="80"/>
        <v>1.5296024240541199</v>
      </c>
      <c r="K123" s="22" t="s">
        <v>93</v>
      </c>
      <c r="L123" s="40">
        <f t="shared" si="104"/>
        <v>-6.25</v>
      </c>
      <c r="M123" s="96">
        <v>55064</v>
      </c>
      <c r="N123" s="99">
        <f t="shared" si="92"/>
        <v>54974</v>
      </c>
      <c r="O123" s="38">
        <f t="shared" si="93"/>
        <v>55064</v>
      </c>
      <c r="P123" s="88">
        <f t="shared" si="94"/>
        <v>90</v>
      </c>
      <c r="Q123" s="45">
        <v>10000000</v>
      </c>
      <c r="R123" s="105">
        <f t="shared" si="105"/>
        <v>-1.7581399078632201E-3</v>
      </c>
      <c r="S123" s="45">
        <f t="shared" si="95"/>
        <v>-4395.3497696580498</v>
      </c>
      <c r="T123" s="45">
        <f t="shared" si="96"/>
        <v>244.44444444382501</v>
      </c>
      <c r="V123" s="61">
        <f t="shared" si="106"/>
        <v>-15264366.323296014</v>
      </c>
      <c r="W123" s="47">
        <f t="shared" si="86"/>
        <v>-15296024.240541199</v>
      </c>
      <c r="X123" s="107">
        <f t="shared" si="107"/>
        <v>7.3857956547849204E-3</v>
      </c>
      <c r="Y123" s="47">
        <f t="shared" si="108"/>
        <v>-28184.872615911245</v>
      </c>
      <c r="Z123" s="47">
        <f t="shared" si="109"/>
        <v>31657.917245185003</v>
      </c>
      <c r="AN123" s="51"/>
      <c r="AO123" s="42"/>
    </row>
    <row r="124" spans="1:41" x14ac:dyDescent="0.25">
      <c r="A124" s="38">
        <v>55156</v>
      </c>
      <c r="B124" s="22">
        <v>2.4999999999941702E-5</v>
      </c>
      <c r="C124" s="22">
        <v>-4.4930022631595098E-4</v>
      </c>
      <c r="D124" s="22">
        <v>1.02357408947041</v>
      </c>
      <c r="E124" s="22">
        <v>1.8875198122449901E-3</v>
      </c>
      <c r="F124" s="32">
        <v>0.80930836711912202</v>
      </c>
      <c r="G124" s="5">
        <f t="shared" si="79"/>
        <v>30.95</v>
      </c>
      <c r="H124" s="5">
        <f t="shared" si="102"/>
        <v>-3.1996989927259431E-3</v>
      </c>
      <c r="I124" s="5">
        <f t="shared" si="103"/>
        <v>1.104275492230443</v>
      </c>
      <c r="J124" s="32">
        <f t="shared" si="80"/>
        <v>1.5328435221640113</v>
      </c>
      <c r="K124" s="22" t="s">
        <v>93</v>
      </c>
      <c r="L124" s="40">
        <f t="shared" si="104"/>
        <v>-6.25</v>
      </c>
      <c r="M124" s="96">
        <v>55156</v>
      </c>
      <c r="N124" s="99">
        <f t="shared" si="92"/>
        <v>55064</v>
      </c>
      <c r="O124" s="38">
        <f t="shared" si="93"/>
        <v>55156</v>
      </c>
      <c r="P124" s="88">
        <f t="shared" si="94"/>
        <v>92</v>
      </c>
      <c r="Q124" s="45">
        <v>10000000</v>
      </c>
      <c r="R124" s="105">
        <f t="shared" si="105"/>
        <v>-1.7581313203667646E-3</v>
      </c>
      <c r="S124" s="45">
        <f t="shared" si="95"/>
        <v>-4493.0022631595093</v>
      </c>
      <c r="T124" s="45">
        <f t="shared" si="96"/>
        <v>249.99999999941701</v>
      </c>
      <c r="V124" s="61">
        <f t="shared" si="106"/>
        <v>-15296024.240541199</v>
      </c>
      <c r="W124" s="47">
        <f t="shared" si="86"/>
        <v>-15328435.221640114</v>
      </c>
      <c r="X124" s="107">
        <f t="shared" si="107"/>
        <v>7.3859470913934392E-3</v>
      </c>
      <c r="Y124" s="47">
        <f t="shared" si="108"/>
        <v>-28871.548802601141</v>
      </c>
      <c r="Z124" s="47">
        <f t="shared" si="109"/>
        <v>32410.981098914519</v>
      </c>
      <c r="AN124" s="51"/>
      <c r="AO124" s="42"/>
    </row>
    <row r="125" spans="1:41" x14ac:dyDescent="0.25">
      <c r="A125" s="38">
        <v>55247</v>
      </c>
      <c r="B125" s="22">
        <v>2.5277777777832301E-5</v>
      </c>
      <c r="C125" s="22">
        <v>-4.4441761356628302E-4</v>
      </c>
      <c r="D125" s="22">
        <v>1.0242757278443799</v>
      </c>
      <c r="E125" s="22">
        <v>1.86698415251118E-3</v>
      </c>
      <c r="F125" s="32">
        <v>0.80821225560696197</v>
      </c>
      <c r="G125" s="5">
        <f t="shared" si="79"/>
        <v>31.202777777777779</v>
      </c>
      <c r="H125" s="5">
        <f t="shared" si="102"/>
        <v>-3.1973691856057884E-3</v>
      </c>
      <c r="I125" s="5">
        <f t="shared" si="103"/>
        <v>1.105089841968248</v>
      </c>
      <c r="J125" s="32">
        <f t="shared" si="80"/>
        <v>1.5360543221839702</v>
      </c>
      <c r="K125" s="22" t="s">
        <v>93</v>
      </c>
      <c r="L125" s="40">
        <f t="shared" si="104"/>
        <v>-6.25</v>
      </c>
      <c r="M125" s="96">
        <v>55247</v>
      </c>
      <c r="N125" s="99">
        <f t="shared" si="92"/>
        <v>55156</v>
      </c>
      <c r="O125" s="38">
        <f t="shared" si="93"/>
        <v>55247</v>
      </c>
      <c r="P125" s="88">
        <f t="shared" si="94"/>
        <v>91</v>
      </c>
      <c r="Q125" s="45">
        <v>10000000</v>
      </c>
      <c r="R125" s="105">
        <f t="shared" si="105"/>
        <v>-1.7581356141083723E-3</v>
      </c>
      <c r="S125" s="45">
        <f t="shared" si="95"/>
        <v>-4444.1761356628303</v>
      </c>
      <c r="T125" s="45">
        <f t="shared" si="96"/>
        <v>252.77777777832301</v>
      </c>
      <c r="V125" s="61">
        <f t="shared" si="106"/>
        <v>-15328435.221640114</v>
      </c>
      <c r="W125" s="47">
        <f t="shared" si="86"/>
        <v>-15360543.221839702</v>
      </c>
      <c r="X125" s="107">
        <f t="shared" si="107"/>
        <v>7.3858713725717014E-3</v>
      </c>
      <c r="Y125" s="47">
        <f t="shared" si="108"/>
        <v>-28617.945641596289</v>
      </c>
      <c r="Z125" s="47">
        <f t="shared" si="109"/>
        <v>32108.000199588016</v>
      </c>
      <c r="AN125" s="51"/>
      <c r="AO125" s="42"/>
    </row>
    <row r="126" spans="1:41" x14ac:dyDescent="0.25">
      <c r="A126" s="38">
        <v>55337</v>
      </c>
      <c r="B126" s="22">
        <v>2.4722222222273099E-5</v>
      </c>
      <c r="C126" s="22">
        <v>-4.3953497696591599E-4</v>
      </c>
      <c r="D126" s="22">
        <v>1.0249701289647599</v>
      </c>
      <c r="E126" s="22">
        <v>1.84644891369645E-3</v>
      </c>
      <c r="F126" s="32">
        <v>0.80712964945461196</v>
      </c>
      <c r="G126" s="5">
        <f t="shared" si="79"/>
        <v>31.452777777777779</v>
      </c>
      <c r="H126" s="5">
        <f t="shared" si="102"/>
        <v>-3.195064980761679E-3</v>
      </c>
      <c r="I126" s="5">
        <f t="shared" si="103"/>
        <v>1.1058945483799141</v>
      </c>
      <c r="J126" s="32">
        <f t="shared" si="80"/>
        <v>1.5392346650745339</v>
      </c>
      <c r="K126" s="22" t="s">
        <v>93</v>
      </c>
      <c r="L126" s="40">
        <f t="shared" si="104"/>
        <v>-6.25</v>
      </c>
      <c r="M126" s="96">
        <v>55337</v>
      </c>
      <c r="N126" s="99">
        <f t="shared" si="92"/>
        <v>55247</v>
      </c>
      <c r="O126" s="38">
        <f t="shared" si="93"/>
        <v>55337</v>
      </c>
      <c r="P126" s="88">
        <f t="shared" si="94"/>
        <v>90</v>
      </c>
      <c r="Q126" s="45">
        <v>10000000</v>
      </c>
      <c r="R126" s="105">
        <f t="shared" si="105"/>
        <v>-1.7581399078636637E-3</v>
      </c>
      <c r="S126" s="45">
        <f t="shared" si="95"/>
        <v>-4395.3497696591603</v>
      </c>
      <c r="T126" s="45">
        <f t="shared" si="96"/>
        <v>247.22222222273101</v>
      </c>
      <c r="V126" s="61">
        <f t="shared" si="106"/>
        <v>-15360543.221839702</v>
      </c>
      <c r="W126" s="47">
        <f t="shared" si="86"/>
        <v>-15392346.65074534</v>
      </c>
      <c r="X126" s="107">
        <f t="shared" si="107"/>
        <v>7.3857956547857999E-3</v>
      </c>
      <c r="Y126" s="47">
        <f t="shared" si="108"/>
        <v>-28362.458345753286</v>
      </c>
      <c r="Z126" s="47">
        <f t="shared" si="109"/>
        <v>31803.428905637935</v>
      </c>
      <c r="AN126" s="51"/>
      <c r="AO126" s="42"/>
    </row>
    <row r="127" spans="1:41" x14ac:dyDescent="0.25">
      <c r="A127" s="38">
        <v>55428</v>
      </c>
      <c r="B127" s="22">
        <v>2.4722222222273099E-5</v>
      </c>
      <c r="C127" s="22">
        <v>-4.4441761356639399E-4</v>
      </c>
      <c r="D127" s="22">
        <v>1.02567272429426</v>
      </c>
      <c r="E127" s="22">
        <v>1.86698415251118E-3</v>
      </c>
      <c r="F127" s="32">
        <v>0.806036488755283</v>
      </c>
      <c r="G127" s="5">
        <f t="shared" si="79"/>
        <v>31.705555555555556</v>
      </c>
      <c r="H127" s="5">
        <f t="shared" si="102"/>
        <v>-3.1927351736415243E-3</v>
      </c>
      <c r="I127" s="5">
        <f t="shared" si="103"/>
        <v>1.1067074914138946</v>
      </c>
      <c r="J127" s="32">
        <f t="shared" si="80"/>
        <v>1.5424552277705061</v>
      </c>
      <c r="K127" s="22" t="s">
        <v>93</v>
      </c>
      <c r="L127" s="40">
        <f t="shared" si="104"/>
        <v>-6.25</v>
      </c>
      <c r="M127" s="96">
        <v>55428</v>
      </c>
      <c r="N127" s="99">
        <f t="shared" si="92"/>
        <v>55337</v>
      </c>
      <c r="O127" s="38">
        <f t="shared" si="93"/>
        <v>55428</v>
      </c>
      <c r="P127" s="88">
        <f t="shared" si="94"/>
        <v>91</v>
      </c>
      <c r="Q127" s="45">
        <v>10000000</v>
      </c>
      <c r="R127" s="105">
        <f t="shared" si="105"/>
        <v>-1.7581356141088116E-3</v>
      </c>
      <c r="S127" s="45">
        <f t="shared" si="95"/>
        <v>-4444.1761356639399</v>
      </c>
      <c r="T127" s="45">
        <f t="shared" si="96"/>
        <v>247.22222222273101</v>
      </c>
      <c r="V127" s="61">
        <f t="shared" si="106"/>
        <v>-15392346.65074534</v>
      </c>
      <c r="W127" s="47">
        <f t="shared" si="86"/>
        <v>-15424552.277705062</v>
      </c>
      <c r="X127" s="107">
        <f t="shared" si="107"/>
        <v>7.3858713725717014E-3</v>
      </c>
      <c r="Y127" s="47">
        <f t="shared" si="108"/>
        <v>-28737.267266900089</v>
      </c>
      <c r="Z127" s="47">
        <f t="shared" si="109"/>
        <v>32205.626959722489</v>
      </c>
      <c r="AN127" s="51"/>
      <c r="AO127" s="42"/>
    </row>
    <row r="128" spans="1:41" x14ac:dyDescent="0.25">
      <c r="A128" s="38">
        <v>55520</v>
      </c>
      <c r="B128" s="22">
        <v>2.4999999999941702E-5</v>
      </c>
      <c r="C128" s="22">
        <v>-4.4930022631595098E-4</v>
      </c>
      <c r="D128" s="22">
        <v>1.0263835300347799</v>
      </c>
      <c r="E128" s="22">
        <v>1.8875198122452099E-3</v>
      </c>
      <c r="F128" s="32">
        <v>0.80493282034329505</v>
      </c>
      <c r="G128" s="5">
        <f t="shared" si="79"/>
        <v>31.961111111111112</v>
      </c>
      <c r="H128" s="5">
        <f t="shared" si="102"/>
        <v>-3.1903797642453243E-3</v>
      </c>
      <c r="I128" s="5">
        <f t="shared" si="103"/>
        <v>1.107528645236491</v>
      </c>
      <c r="J128" s="32">
        <f t="shared" si="80"/>
        <v>1.545716174833121</v>
      </c>
      <c r="K128" s="22" t="s">
        <v>93</v>
      </c>
      <c r="L128" s="40">
        <f t="shared" si="104"/>
        <v>-6.25</v>
      </c>
      <c r="M128" s="96">
        <v>55520</v>
      </c>
      <c r="N128" s="99">
        <f t="shared" si="92"/>
        <v>55428</v>
      </c>
      <c r="O128" s="38">
        <f t="shared" si="93"/>
        <v>55520</v>
      </c>
      <c r="P128" s="88">
        <f t="shared" si="94"/>
        <v>92</v>
      </c>
      <c r="Q128" s="45">
        <v>10000000</v>
      </c>
      <c r="R128" s="105">
        <f t="shared" si="105"/>
        <v>-1.7581313203667646E-3</v>
      </c>
      <c r="S128" s="45">
        <f t="shared" si="95"/>
        <v>-4493.0022631595093</v>
      </c>
      <c r="T128" s="45">
        <f t="shared" si="96"/>
        <v>249.99999999941701</v>
      </c>
      <c r="V128" s="61">
        <f t="shared" si="106"/>
        <v>-15424552.277705062</v>
      </c>
      <c r="W128" s="47">
        <f t="shared" si="86"/>
        <v>-15457161.74833121</v>
      </c>
      <c r="X128" s="107">
        <f t="shared" si="107"/>
        <v>7.3859470913942996E-3</v>
      </c>
      <c r="Y128" s="47">
        <f t="shared" si="108"/>
        <v>-29114.148019180284</v>
      </c>
      <c r="Z128" s="47">
        <f t="shared" si="109"/>
        <v>32609.470626147464</v>
      </c>
      <c r="AN128" s="51"/>
      <c r="AO128" s="42"/>
    </row>
    <row r="129" spans="1:41" x14ac:dyDescent="0.25">
      <c r="A129" s="38">
        <v>55611</v>
      </c>
      <c r="B129" s="22">
        <v>2.4999999999941702E-5</v>
      </c>
      <c r="C129" s="22">
        <v>-4.4441761356639399E-4</v>
      </c>
      <c r="D129" s="22">
        <v>1.0270870942207899</v>
      </c>
      <c r="E129" s="22">
        <v>1.86698415251118E-3</v>
      </c>
      <c r="F129" s="32">
        <v>0.80384263498658803</v>
      </c>
      <c r="G129" s="5">
        <f t="shared" si="79"/>
        <v>32.213888888888889</v>
      </c>
      <c r="H129" s="5">
        <f t="shared" si="102"/>
        <v>-3.1880499571251687E-3</v>
      </c>
      <c r="I129" s="5">
        <f t="shared" si="103"/>
        <v>1.108340156218224</v>
      </c>
      <c r="J129" s="32">
        <f t="shared" si="80"/>
        <v>1.5489466187823282</v>
      </c>
      <c r="K129" s="22" t="s">
        <v>93</v>
      </c>
      <c r="L129" s="40">
        <f t="shared" si="104"/>
        <v>-6.25</v>
      </c>
      <c r="M129" s="96">
        <v>55611</v>
      </c>
      <c r="N129" s="99">
        <f t="shared" si="92"/>
        <v>55520</v>
      </c>
      <c r="O129" s="38">
        <f t="shared" si="93"/>
        <v>55611</v>
      </c>
      <c r="P129" s="88">
        <f t="shared" si="94"/>
        <v>91</v>
      </c>
      <c r="Q129" s="45">
        <v>10000000</v>
      </c>
      <c r="R129" s="105">
        <f t="shared" si="105"/>
        <v>-1.7581356141088116E-3</v>
      </c>
      <c r="S129" s="45">
        <f t="shared" si="95"/>
        <v>-4444.1761356639399</v>
      </c>
      <c r="T129" s="45">
        <f t="shared" si="96"/>
        <v>249.99999999941701</v>
      </c>
      <c r="V129" s="61">
        <f t="shared" si="106"/>
        <v>-15457161.74833121</v>
      </c>
      <c r="W129" s="47">
        <f t="shared" si="86"/>
        <v>-15489466.187823283</v>
      </c>
      <c r="X129" s="107">
        <f t="shared" si="107"/>
        <v>7.3858713725717014E-3</v>
      </c>
      <c r="Y129" s="47">
        <f t="shared" si="108"/>
        <v>-28858.276026936372</v>
      </c>
      <c r="Z129" s="47">
        <f t="shared" si="109"/>
        <v>32304.43949207291</v>
      </c>
      <c r="AN129" s="51"/>
      <c r="AO129" s="42"/>
    </row>
    <row r="130" spans="1:41" x14ac:dyDescent="0.25">
      <c r="A130" s="38">
        <v>55702</v>
      </c>
      <c r="B130" s="22">
        <v>2.4999999999941702E-5</v>
      </c>
      <c r="C130" s="22">
        <v>-4.4441761356628302E-4</v>
      </c>
      <c r="D130" s="22">
        <v>1.0277911406851601</v>
      </c>
      <c r="E130" s="22">
        <v>1.8669841525113999E-3</v>
      </c>
      <c r="F130" s="32">
        <v>0.80275392615572505</v>
      </c>
      <c r="G130" s="5">
        <f t="shared" ref="G130:G193" si="110">YEARFRAC($BH$2,$A130,2)</f>
        <v>32.466666666666669</v>
      </c>
      <c r="H130" s="5">
        <f t="shared" si="102"/>
        <v>-3.1857201500050144E-3</v>
      </c>
      <c r="I130" s="5">
        <f t="shared" si="103"/>
        <v>1.1091509514183275</v>
      </c>
      <c r="J130" s="32">
        <f t="shared" ref="J130:J193" si="111">$BI$2*I130/F130</f>
        <v>1.5521819803365688</v>
      </c>
      <c r="K130" s="22" t="s">
        <v>93</v>
      </c>
      <c r="L130" s="40">
        <f t="shared" si="104"/>
        <v>-6.25</v>
      </c>
      <c r="M130" s="96">
        <v>55702</v>
      </c>
      <c r="N130" s="99">
        <f t="shared" si="92"/>
        <v>55611</v>
      </c>
      <c r="O130" s="38">
        <f t="shared" si="93"/>
        <v>55702</v>
      </c>
      <c r="P130" s="88">
        <f t="shared" si="94"/>
        <v>91</v>
      </c>
      <c r="Q130" s="45">
        <v>10000000</v>
      </c>
      <c r="R130" s="105">
        <f t="shared" si="105"/>
        <v>-1.7581356141083723E-3</v>
      </c>
      <c r="S130" s="45">
        <f t="shared" si="95"/>
        <v>-4444.1761356628303</v>
      </c>
      <c r="T130" s="45">
        <f t="shared" si="96"/>
        <v>249.99999999941701</v>
      </c>
      <c r="V130" s="61">
        <f t="shared" si="106"/>
        <v>-15489466.187823283</v>
      </c>
      <c r="W130" s="47">
        <f t="shared" si="86"/>
        <v>-15521819.803365689</v>
      </c>
      <c r="X130" s="107">
        <f t="shared" si="107"/>
        <v>7.3858713725725713E-3</v>
      </c>
      <c r="Y130" s="47">
        <f t="shared" si="108"/>
        <v>-28918.587903527237</v>
      </c>
      <c r="Z130" s="47">
        <f t="shared" si="109"/>
        <v>32353.615542406216</v>
      </c>
      <c r="AN130" s="51"/>
      <c r="AO130" s="42"/>
    </row>
    <row r="131" spans="1:41" x14ac:dyDescent="0.25">
      <c r="A131" s="38">
        <v>55794</v>
      </c>
      <c r="B131" s="22">
        <v>2.4999999999941702E-5</v>
      </c>
      <c r="C131" s="22">
        <v>-4.4930022631595098E-4</v>
      </c>
      <c r="D131" s="22">
        <v>1.0285034145182701</v>
      </c>
      <c r="E131" s="22">
        <v>1.8875198122449901E-3</v>
      </c>
      <c r="F131" s="32">
        <v>0.80165475240458905</v>
      </c>
      <c r="G131" s="5">
        <f t="shared" si="110"/>
        <v>32.722222222222221</v>
      </c>
      <c r="H131" s="5">
        <f t="shared" ref="H131:H162" si="112">RE_MATH_LinearInterpolation($BY$3:$BY$35,$CA$3:$CA$35,$G131)</f>
        <v>-3.1833647406088132E-3</v>
      </c>
      <c r="I131" s="5">
        <f t="shared" ref="I131:I162" si="113">(1+H131)^-$G131</f>
        <v>1.1099699263474498</v>
      </c>
      <c r="J131" s="32">
        <f t="shared" si="111"/>
        <v>1.5554578969543784</v>
      </c>
      <c r="K131" s="22" t="s">
        <v>93</v>
      </c>
      <c r="L131" s="40">
        <f t="shared" ref="L131:L162" si="114">VLOOKUP($K131,$BG$21:$BI$35,3,FALSE)*10000</f>
        <v>-6.25</v>
      </c>
      <c r="M131" s="96">
        <v>55794</v>
      </c>
      <c r="N131" s="99">
        <f t="shared" si="92"/>
        <v>55702</v>
      </c>
      <c r="O131" s="38">
        <f t="shared" si="93"/>
        <v>55794</v>
      </c>
      <c r="P131" s="88">
        <f t="shared" si="94"/>
        <v>92</v>
      </c>
      <c r="Q131" s="45">
        <v>10000000</v>
      </c>
      <c r="R131" s="105">
        <f t="shared" ref="R131:R162" si="115">C131*360/P131</f>
        <v>-1.7581313203667646E-3</v>
      </c>
      <c r="S131" s="45">
        <f t="shared" si="95"/>
        <v>-4493.0022631595093</v>
      </c>
      <c r="T131" s="45">
        <f t="shared" si="96"/>
        <v>249.99999999941701</v>
      </c>
      <c r="V131" s="61">
        <f t="shared" ref="V131:V162" si="116">W130</f>
        <v>-15521819.803365689</v>
      </c>
      <c r="W131" s="47">
        <f t="shared" ref="W131:W194" si="117">-Q131*J131</f>
        <v>-15554578.969543785</v>
      </c>
      <c r="X131" s="107">
        <f t="shared" ref="X131:X162" si="118">E131*360/P131</f>
        <v>7.3859470913934392E-3</v>
      </c>
      <c r="Y131" s="47">
        <f t="shared" ref="Y131:Y162" si="119">V131*E131</f>
        <v>-29297.742400949373</v>
      </c>
      <c r="Z131" s="47">
        <f t="shared" ref="Z131:Z162" si="120">V131-W131</f>
        <v>32759.166178096086</v>
      </c>
      <c r="AN131" s="51"/>
      <c r="AO131" s="42"/>
    </row>
    <row r="132" spans="1:41" x14ac:dyDescent="0.25">
      <c r="A132" s="38">
        <v>55886</v>
      </c>
      <c r="B132" s="22">
        <v>2.4999999999941702E-5</v>
      </c>
      <c r="C132" s="22">
        <v>-4.49300226316062E-4</v>
      </c>
      <c r="D132" s="22">
        <v>1.0292161819672601</v>
      </c>
      <c r="E132" s="22">
        <v>1.8875198122449901E-3</v>
      </c>
      <c r="F132" s="32">
        <v>0.80055708370113399</v>
      </c>
      <c r="G132" s="5">
        <f t="shared" si="110"/>
        <v>32.977777777777774</v>
      </c>
      <c r="H132" s="5">
        <f t="shared" si="112"/>
        <v>-3.1810093312126127E-3</v>
      </c>
      <c r="I132" s="5">
        <f t="shared" si="113"/>
        <v>1.1107881646717856</v>
      </c>
      <c r="J132" s="32">
        <f t="shared" si="111"/>
        <v>1.5587388452340996</v>
      </c>
      <c r="K132" s="22" t="s">
        <v>93</v>
      </c>
      <c r="L132" s="40">
        <f t="shared" si="114"/>
        <v>-6.25</v>
      </c>
      <c r="M132" s="96">
        <v>55886</v>
      </c>
      <c r="N132" s="99">
        <f t="shared" ref="N132:N195" si="121">M131</f>
        <v>55794</v>
      </c>
      <c r="O132" s="38">
        <f t="shared" ref="O132:O195" si="122">M132</f>
        <v>55886</v>
      </c>
      <c r="P132" s="88">
        <f t="shared" ref="P132:P195" si="123">O132-N132</f>
        <v>92</v>
      </c>
      <c r="Q132" s="45">
        <v>10000000</v>
      </c>
      <c r="R132" s="105">
        <f t="shared" si="115"/>
        <v>-1.7581313203671989E-3</v>
      </c>
      <c r="S132" s="45">
        <f t="shared" ref="S132:S195" si="124">Q132*$C132</f>
        <v>-4493.0022631606198</v>
      </c>
      <c r="T132" s="45">
        <f t="shared" ref="T132:T195" si="125">Q132*$B132</f>
        <v>249.99999999941701</v>
      </c>
      <c r="V132" s="61">
        <f t="shared" si="116"/>
        <v>-15554578.969543785</v>
      </c>
      <c r="W132" s="47">
        <f t="shared" si="117"/>
        <v>-15587388.452340996</v>
      </c>
      <c r="X132" s="107">
        <f t="shared" si="118"/>
        <v>7.3859470913934392E-3</v>
      </c>
      <c r="Y132" s="47">
        <f t="shared" si="119"/>
        <v>-29359.575976143155</v>
      </c>
      <c r="Z132" s="47">
        <f t="shared" si="120"/>
        <v>32809.482797211036</v>
      </c>
      <c r="AN132" s="51"/>
      <c r="AO132" s="42"/>
    </row>
    <row r="133" spans="1:41" x14ac:dyDescent="0.25">
      <c r="A133" s="38">
        <v>55976</v>
      </c>
      <c r="B133" s="22">
        <v>2.4999999999941702E-5</v>
      </c>
      <c r="C133" s="22">
        <v>-4.3953497696591599E-4</v>
      </c>
      <c r="D133" s="22">
        <v>1.02991393243664</v>
      </c>
      <c r="E133" s="22">
        <v>1.84644891369645E-3</v>
      </c>
      <c r="F133" s="32">
        <v>0.79948473170682899</v>
      </c>
      <c r="G133" s="5">
        <f t="shared" si="110"/>
        <v>33.227777777777774</v>
      </c>
      <c r="H133" s="5">
        <f t="shared" si="112"/>
        <v>-3.1787051263685033E-3</v>
      </c>
      <c r="I133" s="5">
        <f t="shared" si="113"/>
        <v>1.1115879000313083</v>
      </c>
      <c r="J133" s="32">
        <f t="shared" si="111"/>
        <v>1.5619533399082988</v>
      </c>
      <c r="K133" s="22" t="s">
        <v>93</v>
      </c>
      <c r="L133" s="40">
        <f t="shared" si="114"/>
        <v>-6.25</v>
      </c>
      <c r="M133" s="96">
        <v>55976</v>
      </c>
      <c r="N133" s="99">
        <f t="shared" si="121"/>
        <v>55886</v>
      </c>
      <c r="O133" s="38">
        <f t="shared" si="122"/>
        <v>55976</v>
      </c>
      <c r="P133" s="88">
        <f t="shared" si="123"/>
        <v>90</v>
      </c>
      <c r="Q133" s="45">
        <v>10000000</v>
      </c>
      <c r="R133" s="105">
        <f t="shared" si="115"/>
        <v>-1.7581399078636637E-3</v>
      </c>
      <c r="S133" s="45">
        <f t="shared" si="124"/>
        <v>-4395.3497696591603</v>
      </c>
      <c r="T133" s="45">
        <f t="shared" si="125"/>
        <v>249.99999999941701</v>
      </c>
      <c r="V133" s="61">
        <f t="shared" si="116"/>
        <v>-15587388.452340996</v>
      </c>
      <c r="W133" s="47">
        <f t="shared" si="117"/>
        <v>-15619533.399082989</v>
      </c>
      <c r="X133" s="107">
        <f t="shared" si="118"/>
        <v>7.3857956547857999E-3</v>
      </c>
      <c r="Y133" s="47">
        <f t="shared" si="119"/>
        <v>-28781.316475189622</v>
      </c>
      <c r="Z133" s="47">
        <f t="shared" si="120"/>
        <v>32144.946741992608</v>
      </c>
      <c r="AN133" s="51"/>
      <c r="AO133" s="42"/>
    </row>
    <row r="134" spans="1:41" x14ac:dyDescent="0.25">
      <c r="A134" s="38">
        <v>56067</v>
      </c>
      <c r="B134" s="22">
        <v>2.4999999999941702E-5</v>
      </c>
      <c r="C134" s="22">
        <v>-4.4441761356628302E-4</v>
      </c>
      <c r="D134" s="22">
        <v>1.03061991663877</v>
      </c>
      <c r="E134" s="22">
        <v>1.8669841525113999E-3</v>
      </c>
      <c r="F134" s="32">
        <v>0.79840192513541097</v>
      </c>
      <c r="G134" s="5">
        <f t="shared" si="110"/>
        <v>33.480555555555554</v>
      </c>
      <c r="H134" s="5">
        <f t="shared" si="112"/>
        <v>-3.1763753192483486E-3</v>
      </c>
      <c r="I134" s="5">
        <f t="shared" si="113"/>
        <v>1.1123957997711242</v>
      </c>
      <c r="J134" s="32">
        <f t="shared" si="111"/>
        <v>1.5652084521852005</v>
      </c>
      <c r="K134" s="22" t="s">
        <v>93</v>
      </c>
      <c r="L134" s="40">
        <f t="shared" si="114"/>
        <v>-6.25</v>
      </c>
      <c r="M134" s="96">
        <v>56067</v>
      </c>
      <c r="N134" s="99">
        <f t="shared" si="121"/>
        <v>55976</v>
      </c>
      <c r="O134" s="38">
        <f t="shared" si="122"/>
        <v>56067</v>
      </c>
      <c r="P134" s="88">
        <f t="shared" si="123"/>
        <v>91</v>
      </c>
      <c r="Q134" s="45">
        <v>10000000</v>
      </c>
      <c r="R134" s="105">
        <f t="shared" si="115"/>
        <v>-1.7581356141083723E-3</v>
      </c>
      <c r="S134" s="45">
        <f t="shared" si="124"/>
        <v>-4444.1761356628303</v>
      </c>
      <c r="T134" s="45">
        <f t="shared" si="125"/>
        <v>249.99999999941701</v>
      </c>
      <c r="V134" s="61">
        <f t="shared" si="116"/>
        <v>-15619533.399082989</v>
      </c>
      <c r="W134" s="47">
        <f t="shared" si="117"/>
        <v>-15652084.521852005</v>
      </c>
      <c r="X134" s="107">
        <f t="shared" si="118"/>
        <v>7.3858713725725713E-3</v>
      </c>
      <c r="Y134" s="47">
        <f t="shared" si="119"/>
        <v>-29161.42132571046</v>
      </c>
      <c r="Z134" s="47">
        <f t="shared" si="120"/>
        <v>32551.122769016773</v>
      </c>
      <c r="AN134" s="51"/>
      <c r="AO134" s="42"/>
    </row>
    <row r="135" spans="1:41" x14ac:dyDescent="0.25">
      <c r="A135" s="38">
        <v>56159</v>
      </c>
      <c r="B135" s="22">
        <v>2.4999999999941702E-5</v>
      </c>
      <c r="C135" s="22">
        <v>-4.49300226316062E-4</v>
      </c>
      <c r="D135" s="22">
        <v>1.0313341508537299</v>
      </c>
      <c r="E135" s="22">
        <v>1.8875198122452099E-3</v>
      </c>
      <c r="F135" s="32">
        <v>0.79730871037759798</v>
      </c>
      <c r="G135" s="5">
        <f t="shared" si="110"/>
        <v>33.736111111111114</v>
      </c>
      <c r="H135" s="5">
        <f t="shared" si="112"/>
        <v>-3.1740199098521478E-3</v>
      </c>
      <c r="I135" s="5">
        <f t="shared" si="113"/>
        <v>1.1132118374992734</v>
      </c>
      <c r="J135" s="32">
        <f t="shared" si="111"/>
        <v>1.5685043471485713</v>
      </c>
      <c r="K135" s="22" t="s">
        <v>93</v>
      </c>
      <c r="L135" s="40">
        <f t="shared" si="114"/>
        <v>-6.25</v>
      </c>
      <c r="M135" s="96">
        <v>56159</v>
      </c>
      <c r="N135" s="99">
        <f t="shared" si="121"/>
        <v>56067</v>
      </c>
      <c r="O135" s="38">
        <f t="shared" si="122"/>
        <v>56159</v>
      </c>
      <c r="P135" s="88">
        <f t="shared" si="123"/>
        <v>92</v>
      </c>
      <c r="Q135" s="45">
        <v>10000000</v>
      </c>
      <c r="R135" s="105">
        <f t="shared" si="115"/>
        <v>-1.7581313203671989E-3</v>
      </c>
      <c r="S135" s="45">
        <f t="shared" si="124"/>
        <v>-4493.0022631606198</v>
      </c>
      <c r="T135" s="45">
        <f t="shared" si="125"/>
        <v>249.99999999941701</v>
      </c>
      <c r="V135" s="61">
        <f t="shared" si="116"/>
        <v>-15652084.521852005</v>
      </c>
      <c r="W135" s="47">
        <f t="shared" si="117"/>
        <v>-15685043.471485713</v>
      </c>
      <c r="X135" s="107">
        <f t="shared" si="118"/>
        <v>7.3859470913942996E-3</v>
      </c>
      <c r="Y135" s="47">
        <f t="shared" si="119"/>
        <v>-29543.619637932254</v>
      </c>
      <c r="Z135" s="47">
        <f t="shared" si="120"/>
        <v>32958.949633708224</v>
      </c>
      <c r="AN135" s="51"/>
      <c r="AO135" s="42"/>
    </row>
    <row r="136" spans="1:41" x14ac:dyDescent="0.25">
      <c r="A136" s="38">
        <v>56251</v>
      </c>
      <c r="B136" s="22">
        <v>2.4999999999941702E-5</v>
      </c>
      <c r="C136" s="22">
        <v>-4.4930022631595098E-4</v>
      </c>
      <c r="D136" s="22">
        <v>1.03204888004313</v>
      </c>
      <c r="E136" s="22">
        <v>1.8875198122449901E-3</v>
      </c>
      <c r="F136" s="32">
        <v>0.79621699250809397</v>
      </c>
      <c r="G136" s="5">
        <f t="shared" si="110"/>
        <v>33.991666666666667</v>
      </c>
      <c r="H136" s="5">
        <f t="shared" si="112"/>
        <v>-3.1716645004559473E-3</v>
      </c>
      <c r="I136" s="5">
        <f t="shared" si="113"/>
        <v>1.1140271286492931</v>
      </c>
      <c r="J136" s="32">
        <f t="shared" si="111"/>
        <v>1.5718052843639776</v>
      </c>
      <c r="K136" s="22" t="s">
        <v>93</v>
      </c>
      <c r="L136" s="40">
        <f t="shared" si="114"/>
        <v>-6.25</v>
      </c>
      <c r="M136" s="96">
        <v>56251</v>
      </c>
      <c r="N136" s="99">
        <f t="shared" si="121"/>
        <v>56159</v>
      </c>
      <c r="O136" s="38">
        <f t="shared" si="122"/>
        <v>56251</v>
      </c>
      <c r="P136" s="88">
        <f t="shared" si="123"/>
        <v>92</v>
      </c>
      <c r="Q136" s="45">
        <v>10000000</v>
      </c>
      <c r="R136" s="105">
        <f t="shared" si="115"/>
        <v>-1.7581313203667646E-3</v>
      </c>
      <c r="S136" s="45">
        <f t="shared" si="124"/>
        <v>-4493.0022631595093</v>
      </c>
      <c r="T136" s="45">
        <f t="shared" si="125"/>
        <v>249.99999999941701</v>
      </c>
      <c r="V136" s="61">
        <f t="shared" si="116"/>
        <v>-15685043.471485713</v>
      </c>
      <c r="W136" s="47">
        <f t="shared" si="117"/>
        <v>-15718052.843639776</v>
      </c>
      <c r="X136" s="107">
        <f t="shared" si="118"/>
        <v>7.3859470913934392E-3</v>
      </c>
      <c r="Y136" s="47">
        <f t="shared" si="119"/>
        <v>-29605.830308353223</v>
      </c>
      <c r="Z136" s="47">
        <f t="shared" si="120"/>
        <v>33009.372154062614</v>
      </c>
      <c r="AN136" s="51"/>
      <c r="AO136" s="42"/>
    </row>
    <row r="137" spans="1:41" x14ac:dyDescent="0.25">
      <c r="A137" s="38">
        <v>56341</v>
      </c>
      <c r="B137" s="22">
        <v>2.4999999999941702E-5</v>
      </c>
      <c r="C137" s="22">
        <v>-4.3953497696580502E-4</v>
      </c>
      <c r="D137" s="22">
        <v>1.0327485509219001</v>
      </c>
      <c r="E137" s="22">
        <v>1.84644891369645E-3</v>
      </c>
      <c r="F137" s="32">
        <v>0.79515045409728002</v>
      </c>
      <c r="G137" s="5">
        <f t="shared" si="110"/>
        <v>34.241666666666667</v>
      </c>
      <c r="H137" s="5">
        <f t="shared" si="112"/>
        <v>-3.1693602956118379E-3</v>
      </c>
      <c r="I137" s="5">
        <f t="shared" si="113"/>
        <v>1.1148239712562884</v>
      </c>
      <c r="J137" s="32">
        <f t="shared" si="111"/>
        <v>1.5750393436310539</v>
      </c>
      <c r="K137" s="22" t="s">
        <v>93</v>
      </c>
      <c r="L137" s="40">
        <f t="shared" si="114"/>
        <v>-6.25</v>
      </c>
      <c r="M137" s="96">
        <v>56341</v>
      </c>
      <c r="N137" s="99">
        <f t="shared" si="121"/>
        <v>56251</v>
      </c>
      <c r="O137" s="38">
        <f t="shared" si="122"/>
        <v>56341</v>
      </c>
      <c r="P137" s="88">
        <f t="shared" si="123"/>
        <v>90</v>
      </c>
      <c r="Q137" s="45">
        <v>10000000</v>
      </c>
      <c r="R137" s="105">
        <f t="shared" si="115"/>
        <v>-1.7581399078632201E-3</v>
      </c>
      <c r="S137" s="45">
        <f t="shared" si="124"/>
        <v>-4395.3497696580498</v>
      </c>
      <c r="T137" s="45">
        <f t="shared" si="125"/>
        <v>249.99999999941701</v>
      </c>
      <c r="V137" s="61">
        <f t="shared" si="116"/>
        <v>-15718052.843639776</v>
      </c>
      <c r="W137" s="47">
        <f t="shared" si="117"/>
        <v>-15750393.436310539</v>
      </c>
      <c r="X137" s="107">
        <f t="shared" si="118"/>
        <v>7.3857956547857999E-3</v>
      </c>
      <c r="Y137" s="47">
        <f t="shared" si="119"/>
        <v>-29022.581598562061</v>
      </c>
      <c r="Z137" s="47">
        <f t="shared" si="120"/>
        <v>32340.592670762911</v>
      </c>
      <c r="AN137" s="51"/>
      <c r="AO137" s="42"/>
    </row>
    <row r="138" spans="1:41" x14ac:dyDescent="0.25">
      <c r="A138" s="38">
        <v>56432</v>
      </c>
      <c r="B138" s="22">
        <v>2.4999999999941702E-5</v>
      </c>
      <c r="C138" s="22">
        <v>-4.4441761356628302E-4</v>
      </c>
      <c r="D138" s="22">
        <v>1.03345647819501</v>
      </c>
      <c r="E138" s="22">
        <v>1.86698415251118E-3</v>
      </c>
      <c r="F138" s="32">
        <v>0.79407351778715896</v>
      </c>
      <c r="G138" s="5">
        <f t="shared" si="110"/>
        <v>34.494444444444447</v>
      </c>
      <c r="H138" s="5">
        <f t="shared" si="112"/>
        <v>-3.1670304884916832E-3</v>
      </c>
      <c r="I138" s="5">
        <f t="shared" si="113"/>
        <v>1.1156289364043825</v>
      </c>
      <c r="J138" s="32">
        <f t="shared" si="111"/>
        <v>1.5783142480928491</v>
      </c>
      <c r="K138" s="22" t="s">
        <v>93</v>
      </c>
      <c r="L138" s="40">
        <f t="shared" si="114"/>
        <v>-6.25</v>
      </c>
      <c r="M138" s="96">
        <v>56432</v>
      </c>
      <c r="N138" s="99">
        <f t="shared" si="121"/>
        <v>56341</v>
      </c>
      <c r="O138" s="38">
        <f t="shared" si="122"/>
        <v>56432</v>
      </c>
      <c r="P138" s="88">
        <f t="shared" si="123"/>
        <v>91</v>
      </c>
      <c r="Q138" s="45">
        <v>10000000</v>
      </c>
      <c r="R138" s="105">
        <f t="shared" si="115"/>
        <v>-1.7581356141083723E-3</v>
      </c>
      <c r="S138" s="45">
        <f t="shared" si="124"/>
        <v>-4444.1761356628303</v>
      </c>
      <c r="T138" s="45">
        <f t="shared" si="125"/>
        <v>249.99999999941701</v>
      </c>
      <c r="V138" s="61">
        <f t="shared" si="116"/>
        <v>-15750393.436310539</v>
      </c>
      <c r="W138" s="47">
        <f t="shared" si="117"/>
        <v>-15783142.480928492</v>
      </c>
      <c r="X138" s="107">
        <f t="shared" si="118"/>
        <v>7.3858713725717014E-3</v>
      </c>
      <c r="Y138" s="47">
        <f t="shared" si="119"/>
        <v>-29405.734941407885</v>
      </c>
      <c r="Z138" s="47">
        <f t="shared" si="120"/>
        <v>32749.044617952779</v>
      </c>
      <c r="AN138" s="51"/>
      <c r="AO138" s="42"/>
    </row>
    <row r="139" spans="1:41" x14ac:dyDescent="0.25">
      <c r="A139" s="38">
        <v>56524</v>
      </c>
      <c r="B139" s="22">
        <v>2.4999999999941702E-5</v>
      </c>
      <c r="C139" s="22">
        <v>-4.49300226316062E-4</v>
      </c>
      <c r="D139" s="22">
        <v>1.0341726781873399</v>
      </c>
      <c r="E139" s="22">
        <v>1.8875198122452099E-3</v>
      </c>
      <c r="F139" s="32">
        <v>0.79298622971694899</v>
      </c>
      <c r="G139" s="5">
        <f t="shared" si="110"/>
        <v>34.75</v>
      </c>
      <c r="H139" s="5">
        <f t="shared" si="112"/>
        <v>-3.1646750790954824E-3</v>
      </c>
      <c r="I139" s="5">
        <f t="shared" si="113"/>
        <v>1.116441997383588</v>
      </c>
      <c r="J139" s="32">
        <f t="shared" si="111"/>
        <v>1.581630163122006</v>
      </c>
      <c r="K139" s="22" t="s">
        <v>93</v>
      </c>
      <c r="L139" s="40">
        <f t="shared" si="114"/>
        <v>-6.25</v>
      </c>
      <c r="M139" s="96">
        <v>56524</v>
      </c>
      <c r="N139" s="99">
        <f t="shared" si="121"/>
        <v>56432</v>
      </c>
      <c r="O139" s="38">
        <f t="shared" si="122"/>
        <v>56524</v>
      </c>
      <c r="P139" s="88">
        <f t="shared" si="123"/>
        <v>92</v>
      </c>
      <c r="Q139" s="45">
        <v>10000000</v>
      </c>
      <c r="R139" s="105">
        <f t="shared" si="115"/>
        <v>-1.7581313203671989E-3</v>
      </c>
      <c r="S139" s="45">
        <f t="shared" si="124"/>
        <v>-4493.0022631606198</v>
      </c>
      <c r="T139" s="45">
        <f t="shared" si="125"/>
        <v>249.99999999941701</v>
      </c>
      <c r="V139" s="61">
        <f t="shared" si="116"/>
        <v>-15783142.480928492</v>
      </c>
      <c r="W139" s="47">
        <f t="shared" si="117"/>
        <v>-15816301.631220059</v>
      </c>
      <c r="X139" s="107">
        <f t="shared" si="118"/>
        <v>7.3859470913942996E-3</v>
      </c>
      <c r="Y139" s="47">
        <f t="shared" si="119"/>
        <v>-29790.994132241543</v>
      </c>
      <c r="Z139" s="47">
        <f t="shared" si="120"/>
        <v>33159.150291567668</v>
      </c>
      <c r="AN139" s="51"/>
      <c r="AO139" s="42"/>
    </row>
    <row r="140" spans="1:41" x14ac:dyDescent="0.25">
      <c r="A140" s="38">
        <v>56618</v>
      </c>
      <c r="B140" s="22">
        <v>2.55555555555009E-5</v>
      </c>
      <c r="C140" s="22">
        <v>-4.5906538026407802E-4</v>
      </c>
      <c r="D140" s="22">
        <v>1.0349049603862299</v>
      </c>
      <c r="E140" s="22">
        <v>1.9285923945033801E-3</v>
      </c>
      <c r="F140" s="32">
        <v>0.79187684260620705</v>
      </c>
      <c r="G140" s="5">
        <f t="shared" si="110"/>
        <v>35.011111111111113</v>
      </c>
      <c r="H140" s="5">
        <f t="shared" si="112"/>
        <v>-3.1622684651471905E-3</v>
      </c>
      <c r="I140" s="5">
        <f t="shared" si="113"/>
        <v>1.1172719521965202</v>
      </c>
      <c r="J140" s="32">
        <f t="shared" si="111"/>
        <v>1.585023381876747</v>
      </c>
      <c r="K140" s="22" t="s">
        <v>93</v>
      </c>
      <c r="L140" s="40">
        <f t="shared" si="114"/>
        <v>-6.25</v>
      </c>
      <c r="M140" s="96">
        <v>56618</v>
      </c>
      <c r="N140" s="99">
        <f t="shared" si="121"/>
        <v>56524</v>
      </c>
      <c r="O140" s="38">
        <f t="shared" si="122"/>
        <v>56618</v>
      </c>
      <c r="P140" s="88">
        <f t="shared" si="123"/>
        <v>94</v>
      </c>
      <c r="Q140" s="45">
        <v>10000000</v>
      </c>
      <c r="R140" s="105">
        <f t="shared" si="115"/>
        <v>-1.7581227329262563E-3</v>
      </c>
      <c r="S140" s="45">
        <f t="shared" si="124"/>
        <v>-4590.6538026407807</v>
      </c>
      <c r="T140" s="45">
        <f t="shared" si="125"/>
        <v>255.55555555500899</v>
      </c>
      <c r="V140" s="61">
        <f t="shared" si="116"/>
        <v>-15816301.631220059</v>
      </c>
      <c r="W140" s="47">
        <f t="shared" si="117"/>
        <v>-15850233.818767469</v>
      </c>
      <c r="X140" s="107">
        <f t="shared" si="118"/>
        <v>7.3860985321406039E-3</v>
      </c>
      <c r="Y140" s="47">
        <f t="shared" si="119"/>
        <v>-30503.19903514241</v>
      </c>
      <c r="Z140" s="47">
        <f t="shared" si="120"/>
        <v>33932.187547409907</v>
      </c>
      <c r="AN140" s="51"/>
      <c r="AO140" s="42"/>
    </row>
    <row r="141" spans="1:41" x14ac:dyDescent="0.25">
      <c r="A141" s="38">
        <v>56706</v>
      </c>
      <c r="B141" s="22">
        <v>2.44444444443825E-5</v>
      </c>
      <c r="C141" s="22">
        <v>-4.2976963221286099E-4</v>
      </c>
      <c r="D141" s="22">
        <v>1.0355909710900899</v>
      </c>
      <c r="E141" s="22">
        <v>1.80537969878846E-3</v>
      </c>
      <c r="F141" s="32">
        <v>0.79083967407517997</v>
      </c>
      <c r="G141" s="5">
        <f t="shared" si="110"/>
        <v>35.255555555555553</v>
      </c>
      <c r="H141" s="5">
        <f t="shared" si="112"/>
        <v>-3.160015464855173E-3</v>
      </c>
      <c r="I141" s="5">
        <f t="shared" si="113"/>
        <v>1.1180482130182983</v>
      </c>
      <c r="J141" s="32">
        <f t="shared" si="111"/>
        <v>1.5882047950788001</v>
      </c>
      <c r="K141" s="22" t="s">
        <v>93</v>
      </c>
      <c r="L141" s="40">
        <f t="shared" si="114"/>
        <v>-6.25</v>
      </c>
      <c r="M141" s="96">
        <v>56706</v>
      </c>
      <c r="N141" s="99">
        <f t="shared" si="121"/>
        <v>56618</v>
      </c>
      <c r="O141" s="38">
        <f t="shared" si="122"/>
        <v>56706</v>
      </c>
      <c r="P141" s="88">
        <f t="shared" si="123"/>
        <v>88</v>
      </c>
      <c r="Q141" s="45">
        <v>10000000</v>
      </c>
      <c r="R141" s="105">
        <f t="shared" si="115"/>
        <v>-1.7581484954162494E-3</v>
      </c>
      <c r="S141" s="45">
        <f t="shared" si="124"/>
        <v>-4297.6963221286096</v>
      </c>
      <c r="T141" s="45">
        <f t="shared" si="125"/>
        <v>244.44444444382501</v>
      </c>
      <c r="V141" s="61">
        <f t="shared" si="116"/>
        <v>-15850233.818767469</v>
      </c>
      <c r="W141" s="47">
        <f t="shared" si="117"/>
        <v>-15882047.950788001</v>
      </c>
      <c r="X141" s="107">
        <f t="shared" si="118"/>
        <v>7.3856442223164268E-3</v>
      </c>
      <c r="Y141" s="47">
        <f t="shared" si="119"/>
        <v>-28615.690357453077</v>
      </c>
      <c r="Z141" s="47">
        <f t="shared" si="120"/>
        <v>31814.132020531222</v>
      </c>
      <c r="AN141" s="51"/>
      <c r="AO141" s="42"/>
    </row>
    <row r="142" spans="1:41" x14ac:dyDescent="0.25">
      <c r="A142" s="38">
        <v>56797</v>
      </c>
      <c r="B142" s="22">
        <v>2.4999999999941702E-5</v>
      </c>
      <c r="C142" s="22">
        <v>-4.4441761356639399E-4</v>
      </c>
      <c r="D142" s="22">
        <v>1.03630084678207</v>
      </c>
      <c r="E142" s="22">
        <v>1.86698415251118E-3</v>
      </c>
      <c r="F142" s="32">
        <v>0.78976857620168095</v>
      </c>
      <c r="G142" s="5">
        <f t="shared" si="110"/>
        <v>35.508333333333333</v>
      </c>
      <c r="H142" s="5">
        <f t="shared" si="112"/>
        <v>-3.1576856577350178E-3</v>
      </c>
      <c r="I142" s="5">
        <f t="shared" si="113"/>
        <v>1.1188502044976216</v>
      </c>
      <c r="J142" s="32">
        <f t="shared" si="111"/>
        <v>1.5914995324043546</v>
      </c>
      <c r="K142" s="22" t="s">
        <v>93</v>
      </c>
      <c r="L142" s="40">
        <f t="shared" si="114"/>
        <v>-6.25</v>
      </c>
      <c r="M142" s="96">
        <v>56797</v>
      </c>
      <c r="N142" s="99">
        <f t="shared" si="121"/>
        <v>56706</v>
      </c>
      <c r="O142" s="38">
        <f t="shared" si="122"/>
        <v>56797</v>
      </c>
      <c r="P142" s="88">
        <f t="shared" si="123"/>
        <v>91</v>
      </c>
      <c r="Q142" s="45">
        <v>10000000</v>
      </c>
      <c r="R142" s="105">
        <f t="shared" si="115"/>
        <v>-1.7581356141088116E-3</v>
      </c>
      <c r="S142" s="45">
        <f t="shared" si="124"/>
        <v>-4444.1761356639399</v>
      </c>
      <c r="T142" s="45">
        <f t="shared" si="125"/>
        <v>249.99999999941701</v>
      </c>
      <c r="V142" s="61">
        <f t="shared" si="116"/>
        <v>-15882047.950788001</v>
      </c>
      <c r="W142" s="47">
        <f t="shared" si="117"/>
        <v>-15914995.324043546</v>
      </c>
      <c r="X142" s="107">
        <f t="shared" si="118"/>
        <v>7.3858713725717014E-3</v>
      </c>
      <c r="Y142" s="47">
        <f t="shared" si="119"/>
        <v>-29651.531833543861</v>
      </c>
      <c r="Z142" s="47">
        <f t="shared" si="120"/>
        <v>32947.373255545273</v>
      </c>
      <c r="AN142" s="51"/>
      <c r="AO142" s="42"/>
    </row>
    <row r="143" spans="1:41" x14ac:dyDescent="0.25">
      <c r="A143" s="38">
        <v>56891</v>
      </c>
      <c r="B143" s="22">
        <v>2.55555555555009E-5</v>
      </c>
      <c r="C143" s="22">
        <v>-4.59065380263967E-4</v>
      </c>
      <c r="D143" s="22">
        <v>1.03703463590529</v>
      </c>
      <c r="E143" s="22">
        <v>1.9285923945035999E-3</v>
      </c>
      <c r="F143" s="32">
        <v>0.78866369058567198</v>
      </c>
      <c r="G143" s="5">
        <f t="shared" si="110"/>
        <v>35.769444444444446</v>
      </c>
      <c r="H143" s="5">
        <f t="shared" si="112"/>
        <v>-3.155279043786726E-3</v>
      </c>
      <c r="I143" s="5">
        <f t="shared" si="113"/>
        <v>1.1196778504005394</v>
      </c>
      <c r="J143" s="32">
        <f t="shared" si="111"/>
        <v>1.5949080858608728</v>
      </c>
      <c r="K143" s="22" t="s">
        <v>93</v>
      </c>
      <c r="L143" s="40">
        <f t="shared" si="114"/>
        <v>-6.25</v>
      </c>
      <c r="M143" s="96">
        <v>56891</v>
      </c>
      <c r="N143" s="99">
        <f t="shared" si="121"/>
        <v>56797</v>
      </c>
      <c r="O143" s="38">
        <f t="shared" si="122"/>
        <v>56891</v>
      </c>
      <c r="P143" s="88">
        <f t="shared" si="123"/>
        <v>94</v>
      </c>
      <c r="Q143" s="45">
        <v>10000000</v>
      </c>
      <c r="R143" s="105">
        <f t="shared" si="115"/>
        <v>-1.7581227329258311E-3</v>
      </c>
      <c r="S143" s="45">
        <f t="shared" si="124"/>
        <v>-4590.6538026396702</v>
      </c>
      <c r="T143" s="45">
        <f t="shared" si="125"/>
        <v>255.55555555500899</v>
      </c>
      <c r="V143" s="61">
        <f t="shared" si="116"/>
        <v>-15914995.324043546</v>
      </c>
      <c r="W143" s="47">
        <f t="shared" si="117"/>
        <v>-15949080.858608728</v>
      </c>
      <c r="X143" s="107">
        <f t="shared" si="118"/>
        <v>7.3860985321414462E-3</v>
      </c>
      <c r="Y143" s="47">
        <f t="shared" si="119"/>
        <v>-30693.538940510738</v>
      </c>
      <c r="Z143" s="47">
        <f t="shared" si="120"/>
        <v>34085.534565182403</v>
      </c>
      <c r="AN143" s="51"/>
      <c r="AO143" s="42"/>
    </row>
    <row r="144" spans="1:41" x14ac:dyDescent="0.25">
      <c r="A144" s="38">
        <v>56983</v>
      </c>
      <c r="B144" s="22">
        <v>2.4999999999941702E-5</v>
      </c>
      <c r="C144" s="22">
        <v>-4.4930022631584001E-4</v>
      </c>
      <c r="D144" s="22">
        <v>1.0377533156116601</v>
      </c>
      <c r="E144" s="22">
        <v>1.8875198122449901E-3</v>
      </c>
      <c r="F144" s="32">
        <v>0.78758380994115496</v>
      </c>
      <c r="G144" s="5">
        <f t="shared" si="110"/>
        <v>36.024999999999999</v>
      </c>
      <c r="H144" s="5">
        <f t="shared" si="112"/>
        <v>-3.1529236343905255E-3</v>
      </c>
      <c r="I144" s="5">
        <f t="shared" si="113"/>
        <v>1.1204871119654063</v>
      </c>
      <c r="J144" s="32">
        <f t="shared" si="111"/>
        <v>1.5982492348033237</v>
      </c>
      <c r="K144" s="22" t="s">
        <v>93</v>
      </c>
      <c r="L144" s="40">
        <f t="shared" si="114"/>
        <v>-6.25</v>
      </c>
      <c r="M144" s="96">
        <v>56983</v>
      </c>
      <c r="N144" s="99">
        <f t="shared" si="121"/>
        <v>56891</v>
      </c>
      <c r="O144" s="38">
        <f t="shared" si="122"/>
        <v>56983</v>
      </c>
      <c r="P144" s="88">
        <f t="shared" si="123"/>
        <v>92</v>
      </c>
      <c r="Q144" s="45">
        <v>10000000</v>
      </c>
      <c r="R144" s="105">
        <f t="shared" si="115"/>
        <v>-1.7581313203663305E-3</v>
      </c>
      <c r="S144" s="45">
        <f t="shared" si="124"/>
        <v>-4493.0022631583997</v>
      </c>
      <c r="T144" s="45">
        <f t="shared" si="125"/>
        <v>249.99999999941701</v>
      </c>
      <c r="V144" s="61">
        <f t="shared" si="116"/>
        <v>-15949080.858608728</v>
      </c>
      <c r="W144" s="47">
        <f t="shared" si="117"/>
        <v>-15982492.348033236</v>
      </c>
      <c r="X144" s="107">
        <f t="shared" si="118"/>
        <v>7.3859470913934392E-3</v>
      </c>
      <c r="Y144" s="47">
        <f t="shared" si="119"/>
        <v>-30104.206107721311</v>
      </c>
      <c r="Z144" s="47">
        <f t="shared" si="120"/>
        <v>33411.489424508065</v>
      </c>
      <c r="AN144" s="51"/>
      <c r="AO144" s="42"/>
    </row>
    <row r="145" spans="1:41" x14ac:dyDescent="0.25">
      <c r="A145" s="38">
        <v>57074</v>
      </c>
      <c r="B145" s="22">
        <v>2.4999999999941702E-5</v>
      </c>
      <c r="C145" s="22">
        <v>-4.4441761356628302E-4</v>
      </c>
      <c r="D145" s="22">
        <v>1.03846467354504</v>
      </c>
      <c r="E145" s="22">
        <v>1.8669841525113999E-3</v>
      </c>
      <c r="F145" s="32">
        <v>0.78651712174671495</v>
      </c>
      <c r="G145" s="5">
        <f t="shared" si="110"/>
        <v>36.277777777777779</v>
      </c>
      <c r="H145" s="5">
        <f t="shared" si="112"/>
        <v>-3.1505938272703713E-3</v>
      </c>
      <c r="I145" s="5">
        <f t="shared" si="113"/>
        <v>1.1212868206696722</v>
      </c>
      <c r="J145" s="32">
        <f t="shared" si="111"/>
        <v>1.6015590500342096</v>
      </c>
      <c r="K145" s="22" t="s">
        <v>93</v>
      </c>
      <c r="L145" s="40">
        <f t="shared" si="114"/>
        <v>-6.25</v>
      </c>
      <c r="M145" s="96">
        <v>57074</v>
      </c>
      <c r="N145" s="99">
        <f t="shared" si="121"/>
        <v>56983</v>
      </c>
      <c r="O145" s="38">
        <f t="shared" si="122"/>
        <v>57074</v>
      </c>
      <c r="P145" s="88">
        <f t="shared" si="123"/>
        <v>91</v>
      </c>
      <c r="Q145" s="45">
        <v>10000000</v>
      </c>
      <c r="R145" s="105">
        <f t="shared" si="115"/>
        <v>-1.7581356141083723E-3</v>
      </c>
      <c r="S145" s="45">
        <f t="shared" si="124"/>
        <v>-4444.1761356628303</v>
      </c>
      <c r="T145" s="45">
        <f t="shared" si="125"/>
        <v>249.99999999941701</v>
      </c>
      <c r="V145" s="61">
        <f t="shared" si="116"/>
        <v>-15982492.348033236</v>
      </c>
      <c r="W145" s="47">
        <f t="shared" si="117"/>
        <v>-16015590.500342095</v>
      </c>
      <c r="X145" s="107">
        <f t="shared" si="118"/>
        <v>7.3858713725725713E-3</v>
      </c>
      <c r="Y145" s="47">
        <f t="shared" si="119"/>
        <v>-29839.059931412765</v>
      </c>
      <c r="Z145" s="47">
        <f t="shared" si="120"/>
        <v>33098.152308858931</v>
      </c>
      <c r="AN145" s="51"/>
      <c r="AO145" s="42"/>
    </row>
    <row r="146" spans="1:41" x14ac:dyDescent="0.25">
      <c r="A146" s="38">
        <v>57164</v>
      </c>
      <c r="B146" s="22">
        <v>2.4722222222273099E-5</v>
      </c>
      <c r="C146" s="22">
        <v>-4.3953497696602701E-4</v>
      </c>
      <c r="D146" s="22">
        <v>1.0391686939696101</v>
      </c>
      <c r="E146" s="22">
        <v>1.84644891369645E-3</v>
      </c>
      <c r="F146" s="32">
        <v>0.78546357638282804</v>
      </c>
      <c r="G146" s="5">
        <f t="shared" si="110"/>
        <v>36.527777777777779</v>
      </c>
      <c r="H146" s="5">
        <f t="shared" si="112"/>
        <v>-3.148289622426261E-3</v>
      </c>
      <c r="I146" s="5">
        <f t="shared" si="113"/>
        <v>1.122076998935144</v>
      </c>
      <c r="J146" s="32">
        <f t="shared" si="111"/>
        <v>1.6048373705738379</v>
      </c>
      <c r="K146" s="22" t="s">
        <v>93</v>
      </c>
      <c r="L146" s="40">
        <f t="shared" si="114"/>
        <v>-6.25</v>
      </c>
      <c r="M146" s="96">
        <v>57164</v>
      </c>
      <c r="N146" s="99">
        <f t="shared" si="121"/>
        <v>57074</v>
      </c>
      <c r="O146" s="38">
        <f t="shared" si="122"/>
        <v>57164</v>
      </c>
      <c r="P146" s="88">
        <f t="shared" si="123"/>
        <v>90</v>
      </c>
      <c r="Q146" s="45">
        <v>10000000</v>
      </c>
      <c r="R146" s="105">
        <f t="shared" si="115"/>
        <v>-1.7581399078641078E-3</v>
      </c>
      <c r="S146" s="45">
        <f t="shared" si="124"/>
        <v>-4395.3497696602699</v>
      </c>
      <c r="T146" s="45">
        <f t="shared" si="125"/>
        <v>247.22222222273101</v>
      </c>
      <c r="V146" s="61">
        <f t="shared" si="116"/>
        <v>-16015590.500342095</v>
      </c>
      <c r="W146" s="47">
        <f t="shared" si="117"/>
        <v>-16048373.705738379</v>
      </c>
      <c r="X146" s="107">
        <f t="shared" si="118"/>
        <v>7.3857956547857999E-3</v>
      </c>
      <c r="Y146" s="47">
        <f t="shared" si="119"/>
        <v>-29571.969681563845</v>
      </c>
      <c r="Z146" s="47">
        <f t="shared" si="120"/>
        <v>32783.205396283418</v>
      </c>
      <c r="AN146" s="51"/>
      <c r="AO146" s="42"/>
    </row>
    <row r="147" spans="1:41" x14ac:dyDescent="0.25">
      <c r="A147" s="38">
        <v>57255</v>
      </c>
      <c r="B147" s="22">
        <v>2.4722222222273099E-5</v>
      </c>
      <c r="C147" s="22">
        <v>-4.4441761356628302E-4</v>
      </c>
      <c r="D147" s="22">
        <v>1.03988102211489</v>
      </c>
      <c r="E147" s="22">
        <v>1.8669841525113999E-3</v>
      </c>
      <c r="F147" s="32">
        <v>0.78439975979148302</v>
      </c>
      <c r="G147" s="5">
        <f t="shared" si="110"/>
        <v>36.780555555555559</v>
      </c>
      <c r="H147" s="5">
        <f t="shared" si="112"/>
        <v>-3.1459598153061063E-3</v>
      </c>
      <c r="I147" s="5">
        <f t="shared" si="113"/>
        <v>1.1228752038793524</v>
      </c>
      <c r="J147" s="32">
        <f t="shared" si="111"/>
        <v>1.6081570503965892</v>
      </c>
      <c r="K147" s="22" t="s">
        <v>93</v>
      </c>
      <c r="L147" s="40">
        <f t="shared" si="114"/>
        <v>-6.25</v>
      </c>
      <c r="M147" s="96">
        <v>57255</v>
      </c>
      <c r="N147" s="99">
        <f t="shared" si="121"/>
        <v>57164</v>
      </c>
      <c r="O147" s="38">
        <f t="shared" si="122"/>
        <v>57255</v>
      </c>
      <c r="P147" s="88">
        <f t="shared" si="123"/>
        <v>91</v>
      </c>
      <c r="Q147" s="45">
        <v>10000000</v>
      </c>
      <c r="R147" s="105">
        <f t="shared" si="115"/>
        <v>-1.7581356141083723E-3</v>
      </c>
      <c r="S147" s="45">
        <f t="shared" si="124"/>
        <v>-4444.1761356628303</v>
      </c>
      <c r="T147" s="45">
        <f t="shared" si="125"/>
        <v>247.22222222273101</v>
      </c>
      <c r="V147" s="61">
        <f t="shared" si="116"/>
        <v>-16048373.705738379</v>
      </c>
      <c r="W147" s="47">
        <f t="shared" si="117"/>
        <v>-16081570.503965892</v>
      </c>
      <c r="X147" s="107">
        <f t="shared" si="118"/>
        <v>7.3858713725725713E-3</v>
      </c>
      <c r="Y147" s="47">
        <f t="shared" si="119"/>
        <v>-29962.059382194202</v>
      </c>
      <c r="Z147" s="47">
        <f t="shared" si="120"/>
        <v>33196.798227513209</v>
      </c>
      <c r="AN147" s="51"/>
      <c r="AO147" s="42"/>
    </row>
    <row r="148" spans="1:41" x14ac:dyDescent="0.25">
      <c r="A148" s="38">
        <v>57347</v>
      </c>
      <c r="B148" s="22">
        <v>2.4999999999941702E-5</v>
      </c>
      <c r="C148" s="22">
        <v>-4.4930022631595098E-4</v>
      </c>
      <c r="D148" s="22">
        <v>1.0406016744072599</v>
      </c>
      <c r="E148" s="22">
        <v>1.8875198122449901E-3</v>
      </c>
      <c r="F148" s="32">
        <v>0.78332571754980995</v>
      </c>
      <c r="G148" s="5">
        <f t="shared" si="110"/>
        <v>37.036111111111111</v>
      </c>
      <c r="H148" s="5">
        <f t="shared" si="112"/>
        <v>-3.1436044059099059E-3</v>
      </c>
      <c r="I148" s="5">
        <f t="shared" si="113"/>
        <v>1.123681408077666</v>
      </c>
      <c r="J148" s="32">
        <f t="shared" si="111"/>
        <v>1.6115182555003758</v>
      </c>
      <c r="K148" s="22" t="s">
        <v>93</v>
      </c>
      <c r="L148" s="40">
        <f t="shared" si="114"/>
        <v>-6.25</v>
      </c>
      <c r="M148" s="96">
        <v>57347</v>
      </c>
      <c r="N148" s="99">
        <f t="shared" si="121"/>
        <v>57255</v>
      </c>
      <c r="O148" s="38">
        <f t="shared" si="122"/>
        <v>57347</v>
      </c>
      <c r="P148" s="88">
        <f t="shared" si="123"/>
        <v>92</v>
      </c>
      <c r="Q148" s="45">
        <v>10000000</v>
      </c>
      <c r="R148" s="105">
        <f t="shared" si="115"/>
        <v>-1.7581313203667646E-3</v>
      </c>
      <c r="S148" s="45">
        <f t="shared" si="124"/>
        <v>-4493.0022631595093</v>
      </c>
      <c r="T148" s="45">
        <f t="shared" si="125"/>
        <v>249.99999999941701</v>
      </c>
      <c r="V148" s="61">
        <f t="shared" si="116"/>
        <v>-16081570.503965892</v>
      </c>
      <c r="W148" s="47">
        <f t="shared" si="117"/>
        <v>-16115182.555003757</v>
      </c>
      <c r="X148" s="107">
        <f t="shared" si="118"/>
        <v>7.3859470913934392E-3</v>
      </c>
      <c r="Y148" s="47">
        <f t="shared" si="119"/>
        <v>-30354.282938250271</v>
      </c>
      <c r="Z148" s="47">
        <f t="shared" si="120"/>
        <v>33612.05103786476</v>
      </c>
      <c r="AN148" s="51"/>
      <c r="AO148" s="42"/>
    </row>
    <row r="149" spans="1:41" x14ac:dyDescent="0.25">
      <c r="A149" s="38">
        <v>57437</v>
      </c>
      <c r="B149" s="22">
        <v>2.4999999999941702E-5</v>
      </c>
      <c r="C149" s="22">
        <v>-4.3953497696580502E-4</v>
      </c>
      <c r="D149" s="22">
        <v>1.0413071435977701</v>
      </c>
      <c r="E149" s="22">
        <v>1.8464489136962301E-3</v>
      </c>
      <c r="F149" s="32">
        <v>0.78227644709488897</v>
      </c>
      <c r="G149" s="5">
        <f t="shared" si="110"/>
        <v>37.286111111111111</v>
      </c>
      <c r="H149" s="5">
        <f t="shared" si="112"/>
        <v>-3.1413002010657965E-3</v>
      </c>
      <c r="I149" s="5">
        <f t="shared" si="113"/>
        <v>1.1244693323915778</v>
      </c>
      <c r="J149" s="32">
        <f t="shared" si="111"/>
        <v>1.6148113019379589</v>
      </c>
      <c r="K149" s="22" t="s">
        <v>93</v>
      </c>
      <c r="L149" s="40">
        <f t="shared" si="114"/>
        <v>-6.25</v>
      </c>
      <c r="M149" s="96">
        <v>57437</v>
      </c>
      <c r="N149" s="99">
        <f t="shared" si="121"/>
        <v>57347</v>
      </c>
      <c r="O149" s="38">
        <f t="shared" si="122"/>
        <v>57437</v>
      </c>
      <c r="P149" s="88">
        <f t="shared" si="123"/>
        <v>90</v>
      </c>
      <c r="Q149" s="45">
        <v>10000000</v>
      </c>
      <c r="R149" s="105">
        <f t="shared" si="115"/>
        <v>-1.7581399078632201E-3</v>
      </c>
      <c r="S149" s="45">
        <f t="shared" si="124"/>
        <v>-4395.3497696580498</v>
      </c>
      <c r="T149" s="45">
        <f t="shared" si="125"/>
        <v>249.99999999941701</v>
      </c>
      <c r="V149" s="61">
        <f t="shared" si="116"/>
        <v>-16115182.555003757</v>
      </c>
      <c r="W149" s="47">
        <f t="shared" si="117"/>
        <v>-16148113.019379588</v>
      </c>
      <c r="X149" s="107">
        <f t="shared" si="118"/>
        <v>7.3857956547849204E-3</v>
      </c>
      <c r="Y149" s="47">
        <f t="shared" si="119"/>
        <v>-29755.861322703124</v>
      </c>
      <c r="Z149" s="47">
        <f t="shared" si="120"/>
        <v>32930.464375831187</v>
      </c>
      <c r="AN149" s="51"/>
      <c r="AO149" s="42"/>
    </row>
    <row r="150" spans="1:41" x14ac:dyDescent="0.25">
      <c r="A150" s="38">
        <v>57528</v>
      </c>
      <c r="B150" s="22">
        <v>2.4999999999941702E-5</v>
      </c>
      <c r="C150" s="22">
        <v>-4.4441761356639399E-4</v>
      </c>
      <c r="D150" s="22">
        <v>1.04202093760501</v>
      </c>
      <c r="E150" s="22">
        <v>1.8669841525113999E-3</v>
      </c>
      <c r="F150" s="32">
        <v>0.78121694708946499</v>
      </c>
      <c r="G150" s="5">
        <f t="shared" si="110"/>
        <v>37.538888888888891</v>
      </c>
      <c r="H150" s="5">
        <f t="shared" si="112"/>
        <v>-3.1389703939456413E-3</v>
      </c>
      <c r="I150" s="5">
        <f t="shared" si="113"/>
        <v>1.1252652511212857</v>
      </c>
      <c r="J150" s="32">
        <f t="shared" si="111"/>
        <v>1.6181458784519749</v>
      </c>
      <c r="K150" s="22" t="s">
        <v>93</v>
      </c>
      <c r="L150" s="40">
        <f t="shared" si="114"/>
        <v>-6.25</v>
      </c>
      <c r="M150" s="96">
        <v>57528</v>
      </c>
      <c r="N150" s="99">
        <f t="shared" si="121"/>
        <v>57437</v>
      </c>
      <c r="O150" s="38">
        <f t="shared" si="122"/>
        <v>57528</v>
      </c>
      <c r="P150" s="88">
        <f t="shared" si="123"/>
        <v>91</v>
      </c>
      <c r="Q150" s="45">
        <v>10000000</v>
      </c>
      <c r="R150" s="105">
        <f t="shared" si="115"/>
        <v>-1.7581356141088116E-3</v>
      </c>
      <c r="S150" s="45">
        <f t="shared" si="124"/>
        <v>-4444.1761356639399</v>
      </c>
      <c r="T150" s="45">
        <f t="shared" si="125"/>
        <v>249.99999999941701</v>
      </c>
      <c r="V150" s="61">
        <f t="shared" si="116"/>
        <v>-16148113.019379588</v>
      </c>
      <c r="W150" s="47">
        <f t="shared" si="117"/>
        <v>-16181458.784519749</v>
      </c>
      <c r="X150" s="107">
        <f t="shared" si="118"/>
        <v>7.3858713725725713E-3</v>
      </c>
      <c r="Y150" s="47">
        <f t="shared" si="119"/>
        <v>-30148.271100144702</v>
      </c>
      <c r="Z150" s="47">
        <f t="shared" si="120"/>
        <v>33345.765140160918</v>
      </c>
      <c r="AN150" s="51"/>
      <c r="AO150" s="42"/>
    </row>
    <row r="151" spans="1:41" x14ac:dyDescent="0.25">
      <c r="A151" s="38">
        <v>57620</v>
      </c>
      <c r="B151" s="22">
        <v>2.4999999999941702E-5</v>
      </c>
      <c r="C151" s="22">
        <v>-4.4930022631595098E-4</v>
      </c>
      <c r="D151" s="22">
        <v>1.04274307288915</v>
      </c>
      <c r="E151" s="22">
        <v>1.8875198122449901E-3</v>
      </c>
      <c r="F151" s="32">
        <v>0.780147262925732</v>
      </c>
      <c r="G151" s="5">
        <f t="shared" si="110"/>
        <v>37.794444444444444</v>
      </c>
      <c r="H151" s="5">
        <f t="shared" si="112"/>
        <v>-3.1366149845494409E-3</v>
      </c>
      <c r="I151" s="5">
        <f t="shared" si="113"/>
        <v>1.1260691366058866</v>
      </c>
      <c r="J151" s="32">
        <f t="shared" si="111"/>
        <v>1.6215221512396438</v>
      </c>
      <c r="K151" s="22" t="s">
        <v>93</v>
      </c>
      <c r="L151" s="40">
        <f t="shared" si="114"/>
        <v>-6.25</v>
      </c>
      <c r="M151" s="96">
        <v>57620</v>
      </c>
      <c r="N151" s="99">
        <f t="shared" si="121"/>
        <v>57528</v>
      </c>
      <c r="O151" s="38">
        <f t="shared" si="122"/>
        <v>57620</v>
      </c>
      <c r="P151" s="88">
        <f t="shared" si="123"/>
        <v>92</v>
      </c>
      <c r="Q151" s="45">
        <v>10000000</v>
      </c>
      <c r="R151" s="105">
        <f t="shared" si="115"/>
        <v>-1.7581313203667646E-3</v>
      </c>
      <c r="S151" s="45">
        <f t="shared" si="124"/>
        <v>-4493.0022631595093</v>
      </c>
      <c r="T151" s="45">
        <f t="shared" si="125"/>
        <v>249.99999999941701</v>
      </c>
      <c r="V151" s="61">
        <f t="shared" si="116"/>
        <v>-16181458.784519749</v>
      </c>
      <c r="W151" s="47">
        <f t="shared" si="117"/>
        <v>-16215221.512396438</v>
      </c>
      <c r="X151" s="107">
        <f t="shared" si="118"/>
        <v>7.3859470913934392E-3</v>
      </c>
      <c r="Y151" s="47">
        <f t="shared" si="119"/>
        <v>-30542.82404680676</v>
      </c>
      <c r="Z151" s="47">
        <f t="shared" si="120"/>
        <v>33762.727876689285</v>
      </c>
      <c r="AN151" s="51"/>
      <c r="AO151" s="42"/>
    </row>
    <row r="152" spans="1:41" x14ac:dyDescent="0.25">
      <c r="A152" s="38">
        <v>57712</v>
      </c>
      <c r="B152" s="22">
        <v>2.4999999999941702E-5</v>
      </c>
      <c r="C152" s="22">
        <v>-4.4930022631595098E-4</v>
      </c>
      <c r="D152" s="22">
        <v>1.0434657086232899</v>
      </c>
      <c r="E152" s="22">
        <v>1.8875198122452099E-3</v>
      </c>
      <c r="F152" s="32">
        <v>0.77907904343095402</v>
      </c>
      <c r="G152" s="5">
        <f t="shared" si="110"/>
        <v>38.049999999999997</v>
      </c>
      <c r="H152" s="5">
        <f t="shared" si="112"/>
        <v>-3.1342595751532405E-3</v>
      </c>
      <c r="I152" s="5">
        <f t="shared" si="113"/>
        <v>1.1268722357374568</v>
      </c>
      <c r="J152" s="32">
        <f t="shared" si="111"/>
        <v>1.6249035066486832</v>
      </c>
      <c r="K152" s="22" t="s">
        <v>93</v>
      </c>
      <c r="L152" s="40">
        <f t="shared" si="114"/>
        <v>-6.25</v>
      </c>
      <c r="M152" s="96">
        <v>57712</v>
      </c>
      <c r="N152" s="99">
        <f t="shared" si="121"/>
        <v>57620</v>
      </c>
      <c r="O152" s="38">
        <f t="shared" si="122"/>
        <v>57712</v>
      </c>
      <c r="P152" s="88">
        <f t="shared" si="123"/>
        <v>92</v>
      </c>
      <c r="Q152" s="45">
        <v>10000000</v>
      </c>
      <c r="R152" s="105">
        <f t="shared" si="115"/>
        <v>-1.7581313203667646E-3</v>
      </c>
      <c r="S152" s="45">
        <f t="shared" si="124"/>
        <v>-4493.0022631595093</v>
      </c>
      <c r="T152" s="45">
        <f t="shared" si="125"/>
        <v>249.99999999941701</v>
      </c>
      <c r="V152" s="61">
        <f t="shared" si="116"/>
        <v>-16215221.512396438</v>
      </c>
      <c r="W152" s="47">
        <f t="shared" si="117"/>
        <v>-16249035.066486832</v>
      </c>
      <c r="X152" s="107">
        <f t="shared" si="118"/>
        <v>7.3859470913942996E-3</v>
      </c>
      <c r="Y152" s="47">
        <f t="shared" si="119"/>
        <v>-30606.551864593013</v>
      </c>
      <c r="Z152" s="47">
        <f t="shared" si="120"/>
        <v>33813.554090393707</v>
      </c>
      <c r="AN152" s="51"/>
      <c r="AO152" s="42"/>
    </row>
    <row r="153" spans="1:41" x14ac:dyDescent="0.25">
      <c r="A153" s="38">
        <v>57802</v>
      </c>
      <c r="B153" s="22">
        <v>2.4999999999941702E-5</v>
      </c>
      <c r="C153" s="22">
        <v>-4.3953497696602701E-4</v>
      </c>
      <c r="D153" s="22">
        <v>1.0441731194673201</v>
      </c>
      <c r="E153" s="22">
        <v>1.84644891369645E-3</v>
      </c>
      <c r="F153" s="32">
        <v>0.77803546142668001</v>
      </c>
      <c r="G153" s="5">
        <f t="shared" si="110"/>
        <v>38.299999999999997</v>
      </c>
      <c r="H153" s="5">
        <f t="shared" si="112"/>
        <v>-3.1319553703091311E-3</v>
      </c>
      <c r="I153" s="5">
        <f t="shared" si="113"/>
        <v>1.1276571128975661</v>
      </c>
      <c r="J153" s="32">
        <f t="shared" si="111"/>
        <v>1.6282162747520299</v>
      </c>
      <c r="K153" s="22" t="s">
        <v>93</v>
      </c>
      <c r="L153" s="40">
        <f t="shared" si="114"/>
        <v>-6.25</v>
      </c>
      <c r="M153" s="96">
        <v>57802</v>
      </c>
      <c r="N153" s="99">
        <f t="shared" si="121"/>
        <v>57712</v>
      </c>
      <c r="O153" s="38">
        <f t="shared" si="122"/>
        <v>57802</v>
      </c>
      <c r="P153" s="88">
        <f t="shared" si="123"/>
        <v>90</v>
      </c>
      <c r="Q153" s="45">
        <v>10000000</v>
      </c>
      <c r="R153" s="105">
        <f t="shared" si="115"/>
        <v>-1.7581399078641078E-3</v>
      </c>
      <c r="S153" s="45">
        <f t="shared" si="124"/>
        <v>-4395.3497696602699</v>
      </c>
      <c r="T153" s="45">
        <f t="shared" si="125"/>
        <v>249.99999999941701</v>
      </c>
      <c r="V153" s="61">
        <f t="shared" si="116"/>
        <v>-16249035.066486832</v>
      </c>
      <c r="W153" s="47">
        <f t="shared" si="117"/>
        <v>-16282162.7475203</v>
      </c>
      <c r="X153" s="107">
        <f t="shared" si="118"/>
        <v>7.3857956547857999E-3</v>
      </c>
      <c r="Y153" s="47">
        <f t="shared" si="119"/>
        <v>-30003.013147130132</v>
      </c>
      <c r="Z153" s="47">
        <f t="shared" si="120"/>
        <v>33127.681033467874</v>
      </c>
      <c r="AN153" s="51"/>
      <c r="AO153" s="42"/>
    </row>
    <row r="154" spans="1:41" x14ac:dyDescent="0.25">
      <c r="A154" s="38">
        <v>57893</v>
      </c>
      <c r="B154" s="22">
        <v>2.4999999999941702E-5</v>
      </c>
      <c r="C154" s="22">
        <v>-4.4441761356628302E-4</v>
      </c>
      <c r="D154" s="22">
        <v>1.04488887804036</v>
      </c>
      <c r="E154" s="22">
        <v>1.86698415251118E-3</v>
      </c>
      <c r="F154" s="32">
        <v>0.77698170532976196</v>
      </c>
      <c r="G154" s="5">
        <f t="shared" si="110"/>
        <v>38.552777777777777</v>
      </c>
      <c r="H154" s="5">
        <f t="shared" si="112"/>
        <v>-3.1296255631889764E-3</v>
      </c>
      <c r="I154" s="5">
        <f t="shared" si="113"/>
        <v>1.1284499409785305</v>
      </c>
      <c r="J154" s="32">
        <f t="shared" si="111"/>
        <v>1.6315708014736987</v>
      </c>
      <c r="K154" s="22" t="s">
        <v>93</v>
      </c>
      <c r="L154" s="40">
        <f t="shared" si="114"/>
        <v>-6.25</v>
      </c>
      <c r="M154" s="96">
        <v>57893</v>
      </c>
      <c r="N154" s="99">
        <f t="shared" si="121"/>
        <v>57802</v>
      </c>
      <c r="O154" s="38">
        <f t="shared" si="122"/>
        <v>57893</v>
      </c>
      <c r="P154" s="88">
        <f t="shared" si="123"/>
        <v>91</v>
      </c>
      <c r="Q154" s="45">
        <v>10000000</v>
      </c>
      <c r="R154" s="105">
        <f t="shared" si="115"/>
        <v>-1.7581356141083723E-3</v>
      </c>
      <c r="S154" s="45">
        <f t="shared" si="124"/>
        <v>-4444.1761356628303</v>
      </c>
      <c r="T154" s="45">
        <f t="shared" si="125"/>
        <v>249.99999999941701</v>
      </c>
      <c r="V154" s="61">
        <f t="shared" si="116"/>
        <v>-16282162.7475203</v>
      </c>
      <c r="W154" s="47">
        <f t="shared" si="117"/>
        <v>-16315708.014736988</v>
      </c>
      <c r="X154" s="107">
        <f t="shared" si="118"/>
        <v>7.3858713725717014E-3</v>
      </c>
      <c r="Y154" s="47">
        <f t="shared" si="119"/>
        <v>-30398.539818228292</v>
      </c>
      <c r="Z154" s="47">
        <f t="shared" si="120"/>
        <v>33545.267216688022</v>
      </c>
      <c r="AN154" s="51"/>
      <c r="AO154" s="42"/>
    </row>
    <row r="155" spans="1:41" x14ac:dyDescent="0.25">
      <c r="A155" s="38">
        <v>57985</v>
      </c>
      <c r="B155" s="22">
        <v>2.4999999999941702E-5</v>
      </c>
      <c r="C155" s="22">
        <v>-4.4930022631584001E-4</v>
      </c>
      <c r="D155" s="22">
        <v>1.0456130008478901</v>
      </c>
      <c r="E155" s="22">
        <v>1.8875198122449901E-3</v>
      </c>
      <c r="F155" s="32">
        <v>0.77591782028630796</v>
      </c>
      <c r="G155" s="5">
        <f t="shared" si="110"/>
        <v>38.80833333333333</v>
      </c>
      <c r="H155" s="5">
        <f t="shared" si="112"/>
        <v>-3.1272701537927755E-3</v>
      </c>
      <c r="I155" s="5">
        <f t="shared" si="113"/>
        <v>1.1292506920041809</v>
      </c>
      <c r="J155" s="32">
        <f t="shared" si="111"/>
        <v>1.6349672532709618</v>
      </c>
      <c r="K155" s="22" t="s">
        <v>93</v>
      </c>
      <c r="L155" s="40">
        <f t="shared" si="114"/>
        <v>-6.25</v>
      </c>
      <c r="M155" s="96">
        <v>57985</v>
      </c>
      <c r="N155" s="99">
        <f t="shared" si="121"/>
        <v>57893</v>
      </c>
      <c r="O155" s="38">
        <f t="shared" si="122"/>
        <v>57985</v>
      </c>
      <c r="P155" s="88">
        <f t="shared" si="123"/>
        <v>92</v>
      </c>
      <c r="Q155" s="45">
        <v>10000000</v>
      </c>
      <c r="R155" s="105">
        <f t="shared" si="115"/>
        <v>-1.7581313203663305E-3</v>
      </c>
      <c r="S155" s="45">
        <f t="shared" si="124"/>
        <v>-4493.0022631583997</v>
      </c>
      <c r="T155" s="45">
        <f t="shared" si="125"/>
        <v>249.99999999941701</v>
      </c>
      <c r="V155" s="61">
        <f t="shared" si="116"/>
        <v>-16315708.014736988</v>
      </c>
      <c r="W155" s="47">
        <f t="shared" si="117"/>
        <v>-16349672.532709619</v>
      </c>
      <c r="X155" s="107">
        <f t="shared" si="118"/>
        <v>7.3859470913934392E-3</v>
      </c>
      <c r="Y155" s="47">
        <f t="shared" si="119"/>
        <v>-30796.222128620437</v>
      </c>
      <c r="Z155" s="47">
        <f t="shared" si="120"/>
        <v>33964.51797263138</v>
      </c>
      <c r="AN155" s="51"/>
      <c r="AO155" s="42"/>
    </row>
    <row r="156" spans="1:41" x14ac:dyDescent="0.25">
      <c r="A156" s="38">
        <v>58077</v>
      </c>
      <c r="B156" s="22">
        <v>2.4999999999941702E-5</v>
      </c>
      <c r="C156" s="22">
        <v>-4.49300226316062E-4</v>
      </c>
      <c r="D156" s="22">
        <v>1.0463376254827801</v>
      </c>
      <c r="E156" s="22">
        <v>1.8875198122449901E-3</v>
      </c>
      <c r="F156" s="32">
        <v>0.77485539197134201</v>
      </c>
      <c r="G156" s="5">
        <f t="shared" si="110"/>
        <v>39.06388888888889</v>
      </c>
      <c r="H156" s="5">
        <f t="shared" si="112"/>
        <v>-3.1249147443965751E-3</v>
      </c>
      <c r="I156" s="5">
        <f t="shared" si="113"/>
        <v>1.1300506467802962</v>
      </c>
      <c r="J156" s="32">
        <f t="shared" si="111"/>
        <v>1.6383687972580272</v>
      </c>
      <c r="K156" s="22" t="s">
        <v>93</v>
      </c>
      <c r="L156" s="40">
        <f t="shared" si="114"/>
        <v>-6.25</v>
      </c>
      <c r="M156" s="96">
        <v>58077</v>
      </c>
      <c r="N156" s="99">
        <f t="shared" si="121"/>
        <v>57985</v>
      </c>
      <c r="O156" s="38">
        <f t="shared" si="122"/>
        <v>58077</v>
      </c>
      <c r="P156" s="88">
        <f t="shared" si="123"/>
        <v>92</v>
      </c>
      <c r="Q156" s="45">
        <v>10000000</v>
      </c>
      <c r="R156" s="105">
        <f t="shared" si="115"/>
        <v>-1.7581313203671989E-3</v>
      </c>
      <c r="S156" s="45">
        <f t="shared" si="124"/>
        <v>-4493.0022631606198</v>
      </c>
      <c r="T156" s="45">
        <f t="shared" si="125"/>
        <v>249.99999999941701</v>
      </c>
      <c r="V156" s="61">
        <f t="shared" si="116"/>
        <v>-16349672.532709619</v>
      </c>
      <c r="W156" s="47">
        <f t="shared" si="117"/>
        <v>-16383687.972580273</v>
      </c>
      <c r="X156" s="107">
        <f t="shared" si="118"/>
        <v>7.3859470913934392E-3</v>
      </c>
      <c r="Y156" s="47">
        <f t="shared" si="119"/>
        <v>-30860.330829207131</v>
      </c>
      <c r="Z156" s="47">
        <f t="shared" si="120"/>
        <v>34015.439870653674</v>
      </c>
      <c r="AN156" s="51"/>
      <c r="AO156" s="42"/>
    </row>
    <row r="157" spans="1:41" x14ac:dyDescent="0.25">
      <c r="A157" s="38">
        <v>58167</v>
      </c>
      <c r="B157" s="22">
        <v>2.4999999999941702E-5</v>
      </c>
      <c r="C157" s="22">
        <v>-4.3953497696591599E-4</v>
      </c>
      <c r="D157" s="22">
        <v>1.0470469833243199</v>
      </c>
      <c r="E157" s="22">
        <v>1.84644891369645E-3</v>
      </c>
      <c r="F157" s="32">
        <v>0.77381746757869596</v>
      </c>
      <c r="G157" s="5">
        <f t="shared" si="110"/>
        <v>39.31388888888889</v>
      </c>
      <c r="H157" s="5">
        <f t="shared" si="112"/>
        <v>-3.1226105395524657E-3</v>
      </c>
      <c r="I157" s="5">
        <f t="shared" si="113"/>
        <v>1.1308324383686001</v>
      </c>
      <c r="J157" s="32">
        <f t="shared" si="111"/>
        <v>1.6417013242649372</v>
      </c>
      <c r="K157" s="22" t="s">
        <v>93</v>
      </c>
      <c r="L157" s="40">
        <f t="shared" si="114"/>
        <v>-6.25</v>
      </c>
      <c r="M157" s="96">
        <v>58167</v>
      </c>
      <c r="N157" s="99">
        <f t="shared" si="121"/>
        <v>58077</v>
      </c>
      <c r="O157" s="38">
        <f t="shared" si="122"/>
        <v>58167</v>
      </c>
      <c r="P157" s="88">
        <f t="shared" si="123"/>
        <v>90</v>
      </c>
      <c r="Q157" s="45">
        <v>10000000</v>
      </c>
      <c r="R157" s="105">
        <f t="shared" si="115"/>
        <v>-1.7581399078636637E-3</v>
      </c>
      <c r="S157" s="45">
        <f t="shared" si="124"/>
        <v>-4395.3497696591603</v>
      </c>
      <c r="T157" s="45">
        <f t="shared" si="125"/>
        <v>249.99999999941701</v>
      </c>
      <c r="V157" s="61">
        <f t="shared" si="116"/>
        <v>-16383687.972580273</v>
      </c>
      <c r="W157" s="47">
        <f t="shared" si="117"/>
        <v>-16417013.242649373</v>
      </c>
      <c r="X157" s="107">
        <f t="shared" si="118"/>
        <v>7.3857956547857999E-3</v>
      </c>
      <c r="Y157" s="47">
        <f t="shared" si="119"/>
        <v>-30251.642859312436</v>
      </c>
      <c r="Z157" s="47">
        <f t="shared" si="120"/>
        <v>33325.270069099963</v>
      </c>
      <c r="AN157" s="51"/>
      <c r="AO157" s="42"/>
    </row>
    <row r="158" spans="1:41" x14ac:dyDescent="0.25">
      <c r="A158" s="38">
        <v>58258</v>
      </c>
      <c r="B158" s="22">
        <v>2.4999999999941702E-5</v>
      </c>
      <c r="C158" s="22">
        <v>-4.4441761356628302E-4</v>
      </c>
      <c r="D158" s="22">
        <v>1.04776471187021</v>
      </c>
      <c r="E158" s="22">
        <v>1.8669841525113999E-3</v>
      </c>
      <c r="F158" s="32">
        <v>0.77276942425061002</v>
      </c>
      <c r="G158" s="5">
        <f t="shared" si="110"/>
        <v>39.56666666666667</v>
      </c>
      <c r="H158" s="5">
        <f t="shared" si="112"/>
        <v>-3.120280732432311E-3</v>
      </c>
      <c r="I158" s="5">
        <f t="shared" si="113"/>
        <v>1.1316221369728301</v>
      </c>
      <c r="J158" s="32">
        <f t="shared" si="111"/>
        <v>1.6450758386411064</v>
      </c>
      <c r="K158" s="22" t="s">
        <v>93</v>
      </c>
      <c r="L158" s="40">
        <f t="shared" si="114"/>
        <v>-6.25</v>
      </c>
      <c r="M158" s="96">
        <v>58258</v>
      </c>
      <c r="N158" s="99">
        <f t="shared" si="121"/>
        <v>58167</v>
      </c>
      <c r="O158" s="38">
        <f t="shared" si="122"/>
        <v>58258</v>
      </c>
      <c r="P158" s="88">
        <f t="shared" si="123"/>
        <v>91</v>
      </c>
      <c r="Q158" s="45">
        <v>10000000</v>
      </c>
      <c r="R158" s="105">
        <f t="shared" si="115"/>
        <v>-1.7581356141083723E-3</v>
      </c>
      <c r="S158" s="45">
        <f t="shared" si="124"/>
        <v>-4444.1761356628303</v>
      </c>
      <c r="T158" s="45">
        <f t="shared" si="125"/>
        <v>249.99999999941701</v>
      </c>
      <c r="V158" s="61">
        <f t="shared" si="116"/>
        <v>-16417013.242649373</v>
      </c>
      <c r="W158" s="47">
        <f t="shared" si="117"/>
        <v>-16450758.386411063</v>
      </c>
      <c r="X158" s="107">
        <f t="shared" si="118"/>
        <v>7.3858713725725713E-3</v>
      </c>
      <c r="Y158" s="47">
        <f t="shared" si="119"/>
        <v>-30650.303555596169</v>
      </c>
      <c r="Z158" s="47">
        <f t="shared" si="120"/>
        <v>33745.143761690706</v>
      </c>
      <c r="AN158" s="51"/>
      <c r="AO158" s="42"/>
    </row>
    <row r="159" spans="1:41" x14ac:dyDescent="0.25">
      <c r="A159" s="38">
        <v>58350</v>
      </c>
      <c r="B159" s="22">
        <v>2.4999999999941702E-5</v>
      </c>
      <c r="C159" s="22">
        <v>-4.4930022631595098E-4</v>
      </c>
      <c r="D159" s="22">
        <v>1.04849082767135</v>
      </c>
      <c r="E159" s="22">
        <v>1.8875198122449901E-3</v>
      </c>
      <c r="F159" s="32">
        <v>0.77171130688843803</v>
      </c>
      <c r="G159" s="5">
        <f t="shared" si="110"/>
        <v>39.822222222222223</v>
      </c>
      <c r="H159" s="5">
        <f t="shared" si="112"/>
        <v>-3.1179253230361101E-3</v>
      </c>
      <c r="I159" s="5">
        <f t="shared" si="113"/>
        <v>1.1324197143023231</v>
      </c>
      <c r="J159" s="32">
        <f t="shared" si="111"/>
        <v>1.6484925070964898</v>
      </c>
      <c r="K159" s="22" t="s">
        <v>93</v>
      </c>
      <c r="L159" s="40">
        <f t="shared" si="114"/>
        <v>-6.25</v>
      </c>
      <c r="M159" s="96">
        <v>58350</v>
      </c>
      <c r="N159" s="99">
        <f t="shared" si="121"/>
        <v>58258</v>
      </c>
      <c r="O159" s="38">
        <f t="shared" si="122"/>
        <v>58350</v>
      </c>
      <c r="P159" s="88">
        <f t="shared" si="123"/>
        <v>92</v>
      </c>
      <c r="Q159" s="45">
        <v>10000000</v>
      </c>
      <c r="R159" s="105">
        <f t="shared" si="115"/>
        <v>-1.7581313203667646E-3</v>
      </c>
      <c r="S159" s="45">
        <f t="shared" si="124"/>
        <v>-4493.0022631595093</v>
      </c>
      <c r="T159" s="45">
        <f t="shared" si="125"/>
        <v>249.99999999941701</v>
      </c>
      <c r="V159" s="61">
        <f t="shared" si="116"/>
        <v>-16450758.386411063</v>
      </c>
      <c r="W159" s="47">
        <f t="shared" si="117"/>
        <v>-16484925.070964897</v>
      </c>
      <c r="X159" s="107">
        <f t="shared" si="118"/>
        <v>7.3859470913934392E-3</v>
      </c>
      <c r="Y159" s="47">
        <f t="shared" si="119"/>
        <v>-31051.132380806306</v>
      </c>
      <c r="Z159" s="47">
        <f t="shared" si="120"/>
        <v>34166.684553833678</v>
      </c>
      <c r="AN159" s="51"/>
      <c r="AO159" s="42"/>
    </row>
    <row r="160" spans="1:41" x14ac:dyDescent="0.25">
      <c r="A160" s="38">
        <v>58442</v>
      </c>
      <c r="B160" s="22">
        <v>2.4999999999941702E-5</v>
      </c>
      <c r="C160" s="22">
        <v>-4.4930022631595098E-4</v>
      </c>
      <c r="D160" s="22">
        <v>1.04921744668104</v>
      </c>
      <c r="E160" s="22">
        <v>1.8875198122449901E-3</v>
      </c>
      <c r="F160" s="32">
        <v>0.77065463835733705</v>
      </c>
      <c r="G160" s="5">
        <f t="shared" si="110"/>
        <v>40.077777777777776</v>
      </c>
      <c r="H160" s="5">
        <f t="shared" si="112"/>
        <v>-3.1155699136399097E-3</v>
      </c>
      <c r="I160" s="5">
        <f t="shared" si="113"/>
        <v>1.1332164855035338</v>
      </c>
      <c r="J160" s="32">
        <f t="shared" si="111"/>
        <v>1.6519142770985045</v>
      </c>
      <c r="K160" s="22" t="s">
        <v>93</v>
      </c>
      <c r="L160" s="40">
        <f t="shared" si="114"/>
        <v>-6.25</v>
      </c>
      <c r="M160" s="96">
        <v>58442</v>
      </c>
      <c r="N160" s="99">
        <f t="shared" si="121"/>
        <v>58350</v>
      </c>
      <c r="O160" s="38">
        <f t="shared" si="122"/>
        <v>58442</v>
      </c>
      <c r="P160" s="88">
        <f t="shared" si="123"/>
        <v>92</v>
      </c>
      <c r="Q160" s="45">
        <v>10000000</v>
      </c>
      <c r="R160" s="105">
        <f t="shared" si="115"/>
        <v>-1.7581313203667646E-3</v>
      </c>
      <c r="S160" s="45">
        <f t="shared" si="124"/>
        <v>-4493.0022631595093</v>
      </c>
      <c r="T160" s="45">
        <f t="shared" si="125"/>
        <v>249.99999999941701</v>
      </c>
      <c r="V160" s="61">
        <f t="shared" si="116"/>
        <v>-16484925.070964897</v>
      </c>
      <c r="W160" s="47">
        <f t="shared" si="117"/>
        <v>-16519142.770985045</v>
      </c>
      <c r="X160" s="107">
        <f t="shared" si="118"/>
        <v>7.3859470913934392E-3</v>
      </c>
      <c r="Y160" s="47">
        <f t="shared" si="119"/>
        <v>-31115.622674820392</v>
      </c>
      <c r="Z160" s="47">
        <f t="shared" si="120"/>
        <v>34217.700020147488</v>
      </c>
      <c r="AN160" s="51"/>
      <c r="AO160" s="42"/>
    </row>
    <row r="161" spans="1:41" x14ac:dyDescent="0.25">
      <c r="A161" s="38">
        <v>58533</v>
      </c>
      <c r="B161" s="22">
        <v>2.4999999999941702E-5</v>
      </c>
      <c r="C161" s="22">
        <v>-4.44417613566172E-4</v>
      </c>
      <c r="D161" s="22">
        <v>1.04993666303363</v>
      </c>
      <c r="E161" s="22">
        <v>1.8669841525113999E-3</v>
      </c>
      <c r="F161" s="32">
        <v>0.76961087870363498</v>
      </c>
      <c r="G161" s="5">
        <f t="shared" si="110"/>
        <v>40.330555555555556</v>
      </c>
      <c r="H161" s="5">
        <f t="shared" si="112"/>
        <v>-3.113240106519755E-3</v>
      </c>
      <c r="I161" s="5">
        <f t="shared" si="113"/>
        <v>1.1340038006778799</v>
      </c>
      <c r="J161" s="32">
        <f t="shared" si="111"/>
        <v>1.6553038748976734</v>
      </c>
      <c r="K161" s="22" t="s">
        <v>93</v>
      </c>
      <c r="L161" s="40">
        <f t="shared" si="114"/>
        <v>-6.25</v>
      </c>
      <c r="M161" s="96">
        <v>58533</v>
      </c>
      <c r="N161" s="99">
        <f t="shared" si="121"/>
        <v>58442</v>
      </c>
      <c r="O161" s="38">
        <f t="shared" si="122"/>
        <v>58533</v>
      </c>
      <c r="P161" s="88">
        <f t="shared" si="123"/>
        <v>91</v>
      </c>
      <c r="Q161" s="45">
        <v>10000000</v>
      </c>
      <c r="R161" s="105">
        <f t="shared" si="115"/>
        <v>-1.7581356141079332E-3</v>
      </c>
      <c r="S161" s="45">
        <f t="shared" si="124"/>
        <v>-4444.1761356617199</v>
      </c>
      <c r="T161" s="45">
        <f t="shared" si="125"/>
        <v>249.99999999941701</v>
      </c>
      <c r="V161" s="61">
        <f t="shared" si="116"/>
        <v>-16519142.770985045</v>
      </c>
      <c r="W161" s="47">
        <f t="shared" si="117"/>
        <v>-16553038.748976734</v>
      </c>
      <c r="X161" s="107">
        <f t="shared" si="118"/>
        <v>7.3858713725725713E-3</v>
      </c>
      <c r="Y161" s="47">
        <f t="shared" si="119"/>
        <v>-30840.977766502332</v>
      </c>
      <c r="Z161" s="47">
        <f t="shared" si="120"/>
        <v>33895.977991688997</v>
      </c>
      <c r="AN161" s="51"/>
      <c r="AO161" s="42"/>
    </row>
    <row r="162" spans="1:41" x14ac:dyDescent="0.25">
      <c r="A162" s="39">
        <v>58624</v>
      </c>
      <c r="B162" s="11">
        <v>2.4999999999941702E-5</v>
      </c>
      <c r="C162" s="11">
        <v>-4.4441761356639399E-4</v>
      </c>
      <c r="D162" s="11">
        <v>1.0506563723938001</v>
      </c>
      <c r="E162" s="11">
        <v>1.86698415251118E-3</v>
      </c>
      <c r="F162" s="33">
        <v>0.76856853269770697</v>
      </c>
      <c r="G162" s="11">
        <f t="shared" si="110"/>
        <v>40.583333333333336</v>
      </c>
      <c r="H162" s="11">
        <f t="shared" si="112"/>
        <v>-3.1109102993995999E-3</v>
      </c>
      <c r="I162" s="11">
        <f t="shared" si="113"/>
        <v>1.1347903223141871</v>
      </c>
      <c r="J162" s="33">
        <f t="shared" si="111"/>
        <v>1.6586984684541735</v>
      </c>
      <c r="K162" s="11" t="s">
        <v>93</v>
      </c>
      <c r="L162" s="41">
        <f t="shared" si="114"/>
        <v>-6.25</v>
      </c>
      <c r="M162" s="95">
        <v>58624</v>
      </c>
      <c r="N162" s="9">
        <f t="shared" si="121"/>
        <v>58533</v>
      </c>
      <c r="O162" s="39">
        <f t="shared" si="122"/>
        <v>58624</v>
      </c>
      <c r="P162" s="87">
        <f t="shared" si="123"/>
        <v>91</v>
      </c>
      <c r="Q162" s="46">
        <v>10000000</v>
      </c>
      <c r="R162" s="106">
        <f t="shared" si="115"/>
        <v>-1.7581356141088116E-3</v>
      </c>
      <c r="S162" s="46">
        <f t="shared" si="124"/>
        <v>-4444.1761356639399</v>
      </c>
      <c r="T162" s="46">
        <f t="shared" si="125"/>
        <v>249.99999999941701</v>
      </c>
      <c r="U162" s="50">
        <f>Q162</f>
        <v>10000000</v>
      </c>
      <c r="V162" s="62">
        <f t="shared" si="116"/>
        <v>-16553038.748976734</v>
      </c>
      <c r="W162" s="46">
        <f t="shared" si="117"/>
        <v>-16586984.684541734</v>
      </c>
      <c r="X162" s="106">
        <f t="shared" si="118"/>
        <v>7.3858713725717014E-3</v>
      </c>
      <c r="Y162" s="46">
        <f t="shared" si="119"/>
        <v>-30904.261020243051</v>
      </c>
      <c r="Z162" s="46">
        <f t="shared" si="120"/>
        <v>33945.9355650004</v>
      </c>
      <c r="AA162" s="50">
        <f>W162</f>
        <v>-16586984.684541734</v>
      </c>
      <c r="AN162" s="51"/>
      <c r="AO162" s="42"/>
    </row>
    <row r="163" spans="1:41" x14ac:dyDescent="0.25">
      <c r="A163" s="38">
        <v>58718</v>
      </c>
      <c r="B163" s="22">
        <v>2.55555555555009E-5</v>
      </c>
      <c r="C163" s="22">
        <v>-6.7148857166687804E-4</v>
      </c>
      <c r="D163" s="22">
        <v>1.05141688437228</v>
      </c>
      <c r="E163" s="22">
        <v>1.23860856035662E-3</v>
      </c>
      <c r="F163" s="32">
        <v>0.76726800213540403</v>
      </c>
      <c r="G163" s="5">
        <f t="shared" si="110"/>
        <v>40.844444444444441</v>
      </c>
      <c r="H163" s="5">
        <f t="shared" ref="H163:H194" si="126">RE_MATH_LinearInterpolation($BY$3:$BY$35,$CA$3:$CA$35,$G163)</f>
        <v>-3.0916347404143347E-3</v>
      </c>
      <c r="I163" s="5">
        <f t="shared" ref="I163:I194" si="127">(1+H163)^-$G163</f>
        <v>1.1348173427116852</v>
      </c>
      <c r="J163" s="32">
        <f t="shared" si="111"/>
        <v>1.6615495488593652</v>
      </c>
      <c r="K163" s="22" t="s">
        <v>94</v>
      </c>
      <c r="L163" s="40">
        <f t="shared" ref="L163:L194" si="128">VLOOKUP($K163,$BG$21:$BI$35,3,FALSE)*10000</f>
        <v>-1.875</v>
      </c>
      <c r="M163" s="96">
        <v>58718</v>
      </c>
      <c r="N163" s="99">
        <f t="shared" si="121"/>
        <v>58624</v>
      </c>
      <c r="O163" s="38">
        <f t="shared" si="122"/>
        <v>58718</v>
      </c>
      <c r="P163" s="88">
        <f t="shared" si="123"/>
        <v>94</v>
      </c>
      <c r="Q163" s="45">
        <v>10000000</v>
      </c>
      <c r="R163" s="105">
        <f t="shared" ref="R163:R194" si="129">C163*360/P163</f>
        <v>-2.5716583595752776E-3</v>
      </c>
      <c r="S163" s="45">
        <f t="shared" si="124"/>
        <v>-6714.8857166687803</v>
      </c>
      <c r="T163" s="45">
        <f t="shared" si="125"/>
        <v>255.55555555500899</v>
      </c>
      <c r="V163" s="61">
        <f t="shared" ref="V163:V194" si="130">W162</f>
        <v>-16586984.684541734</v>
      </c>
      <c r="W163" s="47">
        <f t="shared" si="117"/>
        <v>-16615495.488593653</v>
      </c>
      <c r="X163" s="107">
        <f t="shared" ref="X163:X194" si="131">E163*360/P163</f>
        <v>4.7436072524296088E-3</v>
      </c>
      <c r="Y163" s="47">
        <f t="shared" ref="Y163:Y194" si="132">V163*E163</f>
        <v>-20544.781220777542</v>
      </c>
      <c r="Z163" s="47">
        <f t="shared" ref="Z163:Z194" si="133">V163-W163</f>
        <v>28510.804051918909</v>
      </c>
      <c r="AN163" s="51"/>
      <c r="AO163" s="42"/>
    </row>
    <row r="164" spans="1:41" x14ac:dyDescent="0.25">
      <c r="A164" s="38">
        <v>58810</v>
      </c>
      <c r="B164" s="22">
        <v>2.4999999999941702E-5</v>
      </c>
      <c r="C164" s="22">
        <v>-6.5720627657039898E-4</v>
      </c>
      <c r="D164" s="22">
        <v>1.0521617482903101</v>
      </c>
      <c r="E164" s="22">
        <v>1.2122392199560501E-3</v>
      </c>
      <c r="F164" s="32">
        <v>0.76599727341335599</v>
      </c>
      <c r="G164" s="5">
        <f t="shared" si="110"/>
        <v>41.1</v>
      </c>
      <c r="H164" s="5">
        <f t="shared" si="126"/>
        <v>-3.0727692997053507E-3</v>
      </c>
      <c r="I164" s="5">
        <f t="shared" si="127"/>
        <v>1.1348327098713635</v>
      </c>
      <c r="J164" s="32">
        <f t="shared" si="111"/>
        <v>1.6643284650199135</v>
      </c>
      <c r="K164" s="22" t="s">
        <v>94</v>
      </c>
      <c r="L164" s="40">
        <f t="shared" si="128"/>
        <v>-1.875</v>
      </c>
      <c r="M164" s="96">
        <v>58810</v>
      </c>
      <c r="N164" s="99">
        <f t="shared" si="121"/>
        <v>58718</v>
      </c>
      <c r="O164" s="38">
        <f t="shared" si="122"/>
        <v>58810</v>
      </c>
      <c r="P164" s="88">
        <f t="shared" si="123"/>
        <v>92</v>
      </c>
      <c r="Q164" s="45">
        <v>10000000</v>
      </c>
      <c r="R164" s="105">
        <f t="shared" si="129"/>
        <v>-2.5716767344059091E-3</v>
      </c>
      <c r="S164" s="45">
        <f t="shared" si="124"/>
        <v>-6572.0627657039895</v>
      </c>
      <c r="T164" s="45">
        <f t="shared" si="125"/>
        <v>249.99999999941701</v>
      </c>
      <c r="V164" s="61">
        <f t="shared" si="130"/>
        <v>-16615495.488593653</v>
      </c>
      <c r="W164" s="47">
        <f t="shared" si="117"/>
        <v>-16643284.650199136</v>
      </c>
      <c r="X164" s="107">
        <f t="shared" si="131"/>
        <v>4.7435447737410657E-3</v>
      </c>
      <c r="Y164" s="47">
        <f t="shared" si="132"/>
        <v>-20141.955290276037</v>
      </c>
      <c r="Z164" s="47">
        <f t="shared" si="133"/>
        <v>27789.161605482921</v>
      </c>
      <c r="AN164" s="51"/>
      <c r="AO164" s="42"/>
    </row>
    <row r="165" spans="1:41" x14ac:dyDescent="0.25">
      <c r="A165" s="38">
        <v>58900</v>
      </c>
      <c r="B165" s="22">
        <v>2.4999999999941702E-5</v>
      </c>
      <c r="C165" s="22">
        <v>-6.4292377735297702E-4</v>
      </c>
      <c r="D165" s="22">
        <v>1.0528909301193401</v>
      </c>
      <c r="E165" s="22">
        <v>1.1858705740375099E-3</v>
      </c>
      <c r="F165" s="32">
        <v>0.76475620567084501</v>
      </c>
      <c r="G165" s="5">
        <f t="shared" si="110"/>
        <v>41.35</v>
      </c>
      <c r="H165" s="5">
        <f t="shared" si="126"/>
        <v>-3.0543139772726494E-3</v>
      </c>
      <c r="I165" s="5">
        <f t="shared" si="127"/>
        <v>1.1348371383912776</v>
      </c>
      <c r="J165" s="32">
        <f t="shared" si="111"/>
        <v>1.6670358891046049</v>
      </c>
      <c r="K165" s="22" t="s">
        <v>94</v>
      </c>
      <c r="L165" s="40">
        <f t="shared" si="128"/>
        <v>-1.875</v>
      </c>
      <c r="M165" s="96">
        <v>58900</v>
      </c>
      <c r="N165" s="99">
        <f t="shared" si="121"/>
        <v>58810</v>
      </c>
      <c r="O165" s="38">
        <f t="shared" si="122"/>
        <v>58900</v>
      </c>
      <c r="P165" s="88">
        <f t="shared" si="123"/>
        <v>90</v>
      </c>
      <c r="Q165" s="45">
        <v>10000000</v>
      </c>
      <c r="R165" s="105">
        <f t="shared" si="129"/>
        <v>-2.5716951094119081E-3</v>
      </c>
      <c r="S165" s="45">
        <f t="shared" si="124"/>
        <v>-6429.2377735297705</v>
      </c>
      <c r="T165" s="45">
        <f t="shared" si="125"/>
        <v>249.99999999941701</v>
      </c>
      <c r="V165" s="61">
        <f t="shared" si="130"/>
        <v>-16643284.650199136</v>
      </c>
      <c r="W165" s="47">
        <f t="shared" si="117"/>
        <v>-16670358.891046049</v>
      </c>
      <c r="X165" s="107">
        <f t="shared" si="131"/>
        <v>4.7434822961500396E-3</v>
      </c>
      <c r="Y165" s="47">
        <f t="shared" si="132"/>
        <v>-19736.781522001325</v>
      </c>
      <c r="Z165" s="47">
        <f t="shared" si="133"/>
        <v>27074.240846913308</v>
      </c>
      <c r="AN165" s="51"/>
      <c r="AO165" s="42"/>
    </row>
    <row r="166" spans="1:41" x14ac:dyDescent="0.25">
      <c r="A166" s="38">
        <v>58992</v>
      </c>
      <c r="B166" s="22">
        <v>2.5277777777832301E-5</v>
      </c>
      <c r="C166" s="22">
        <v>-6.5720627657039898E-4</v>
      </c>
      <c r="D166" s="22">
        <v>1.0536368383077299</v>
      </c>
      <c r="E166" s="22">
        <v>1.2122392199560501E-3</v>
      </c>
      <c r="F166" s="32">
        <v>0.76348963691884897</v>
      </c>
      <c r="G166" s="5">
        <f t="shared" si="110"/>
        <v>41.605555555555554</v>
      </c>
      <c r="H166" s="5">
        <f t="shared" si="126"/>
        <v>-3.0354485365636659E-3</v>
      </c>
      <c r="I166" s="5">
        <f t="shared" si="127"/>
        <v>1.1348308252710659</v>
      </c>
      <c r="J166" s="32">
        <f t="shared" si="111"/>
        <v>1.6697920802886035</v>
      </c>
      <c r="K166" s="22" t="s">
        <v>94</v>
      </c>
      <c r="L166" s="40">
        <f t="shared" si="128"/>
        <v>-1.875</v>
      </c>
      <c r="M166" s="96">
        <v>58992</v>
      </c>
      <c r="N166" s="99">
        <f t="shared" si="121"/>
        <v>58900</v>
      </c>
      <c r="O166" s="38">
        <f t="shared" si="122"/>
        <v>58992</v>
      </c>
      <c r="P166" s="88">
        <f t="shared" si="123"/>
        <v>92</v>
      </c>
      <c r="Q166" s="45">
        <v>10000000</v>
      </c>
      <c r="R166" s="105">
        <f t="shared" si="129"/>
        <v>-2.5716767344059091E-3</v>
      </c>
      <c r="S166" s="45">
        <f t="shared" si="124"/>
        <v>-6572.0627657039895</v>
      </c>
      <c r="T166" s="45">
        <f t="shared" si="125"/>
        <v>252.77777777832301</v>
      </c>
      <c r="V166" s="61">
        <f t="shared" si="130"/>
        <v>-16670358.891046049</v>
      </c>
      <c r="W166" s="47">
        <f t="shared" si="117"/>
        <v>-16697920.802886035</v>
      </c>
      <c r="X166" s="107">
        <f t="shared" si="131"/>
        <v>4.7435447737410657E-3</v>
      </c>
      <c r="Y166" s="47">
        <f t="shared" si="132"/>
        <v>-20208.462858469065</v>
      </c>
      <c r="Z166" s="47">
        <f t="shared" si="133"/>
        <v>27561.91183998622</v>
      </c>
      <c r="AN166" s="51"/>
      <c r="AO166" s="42"/>
    </row>
    <row r="167" spans="1:41" x14ac:dyDescent="0.25">
      <c r="A167" s="38">
        <v>59082</v>
      </c>
      <c r="B167" s="22">
        <v>2.44444444443825E-5</v>
      </c>
      <c r="C167" s="22">
        <v>-6.4292377735308804E-4</v>
      </c>
      <c r="D167" s="22">
        <v>1.05436704242144</v>
      </c>
      <c r="E167" s="22">
        <v>1.1858705740375099E-3</v>
      </c>
      <c r="F167" s="32">
        <v>0.76225263204558202</v>
      </c>
      <c r="G167" s="5">
        <f t="shared" si="110"/>
        <v>41.855555555555554</v>
      </c>
      <c r="H167" s="5">
        <f t="shared" si="126"/>
        <v>-3.0169932141309646E-3</v>
      </c>
      <c r="I167" s="5">
        <f t="shared" si="127"/>
        <v>1.1348140454651003</v>
      </c>
      <c r="J167" s="32">
        <f t="shared" si="111"/>
        <v>1.6724771356371764</v>
      </c>
      <c r="K167" s="22" t="s">
        <v>94</v>
      </c>
      <c r="L167" s="40">
        <f t="shared" si="128"/>
        <v>-1.875</v>
      </c>
      <c r="M167" s="96">
        <v>59082</v>
      </c>
      <c r="N167" s="99">
        <f t="shared" si="121"/>
        <v>58992</v>
      </c>
      <c r="O167" s="38">
        <f t="shared" si="122"/>
        <v>59082</v>
      </c>
      <c r="P167" s="88">
        <f t="shared" si="123"/>
        <v>90</v>
      </c>
      <c r="Q167" s="45">
        <v>10000000</v>
      </c>
      <c r="R167" s="105">
        <f t="shared" si="129"/>
        <v>-2.5716951094123522E-3</v>
      </c>
      <c r="S167" s="45">
        <f t="shared" si="124"/>
        <v>-6429.2377735308801</v>
      </c>
      <c r="T167" s="45">
        <f t="shared" si="125"/>
        <v>244.44444444382501</v>
      </c>
      <c r="V167" s="61">
        <f t="shared" si="130"/>
        <v>-16697920.802886035</v>
      </c>
      <c r="W167" s="47">
        <f t="shared" si="117"/>
        <v>-16724771.356371764</v>
      </c>
      <c r="X167" s="107">
        <f t="shared" si="131"/>
        <v>4.7434822961500396E-3</v>
      </c>
      <c r="Y167" s="47">
        <f t="shared" si="132"/>
        <v>-19801.572927751342</v>
      </c>
      <c r="Z167" s="47">
        <f t="shared" si="133"/>
        <v>26850.5534857288</v>
      </c>
      <c r="AN167" s="51"/>
      <c r="AO167" s="42"/>
    </row>
    <row r="168" spans="1:41" x14ac:dyDescent="0.25">
      <c r="A168" s="38">
        <v>59174</v>
      </c>
      <c r="B168" s="22">
        <v>2.4999999999941702E-5</v>
      </c>
      <c r="C168" s="22">
        <v>-6.5720627657039898E-4</v>
      </c>
      <c r="D168" s="22">
        <v>1.05511399634422</v>
      </c>
      <c r="E168" s="22">
        <v>1.2122392199560501E-3</v>
      </c>
      <c r="F168" s="32">
        <v>0.76099020964519404</v>
      </c>
      <c r="G168" s="5">
        <f t="shared" si="110"/>
        <v>42.111111111111114</v>
      </c>
      <c r="H168" s="5">
        <f t="shared" si="126"/>
        <v>-2.9981277734219807E-3</v>
      </c>
      <c r="I168" s="5">
        <f t="shared" si="127"/>
        <v>1.1347860539974546</v>
      </c>
      <c r="J168" s="32">
        <f t="shared" si="111"/>
        <v>1.6752103205836446</v>
      </c>
      <c r="K168" s="22" t="s">
        <v>94</v>
      </c>
      <c r="L168" s="40">
        <f t="shared" si="128"/>
        <v>-1.875</v>
      </c>
      <c r="M168" s="96">
        <v>59174</v>
      </c>
      <c r="N168" s="99">
        <f t="shared" si="121"/>
        <v>59082</v>
      </c>
      <c r="O168" s="38">
        <f t="shared" si="122"/>
        <v>59174</v>
      </c>
      <c r="P168" s="88">
        <f t="shared" si="123"/>
        <v>92</v>
      </c>
      <c r="Q168" s="45">
        <v>10000000</v>
      </c>
      <c r="R168" s="105">
        <f t="shared" si="129"/>
        <v>-2.5716767344059091E-3</v>
      </c>
      <c r="S168" s="45">
        <f t="shared" si="124"/>
        <v>-6572.0627657039895</v>
      </c>
      <c r="T168" s="45">
        <f t="shared" si="125"/>
        <v>249.99999999941701</v>
      </c>
      <c r="V168" s="61">
        <f t="shared" si="130"/>
        <v>-16724771.356371764</v>
      </c>
      <c r="W168" s="47">
        <f t="shared" si="117"/>
        <v>-16752103.205836447</v>
      </c>
      <c r="X168" s="107">
        <f t="shared" si="131"/>
        <v>4.7435447737410657E-3</v>
      </c>
      <c r="Y168" s="47">
        <f t="shared" si="132"/>
        <v>-20274.423782991398</v>
      </c>
      <c r="Z168" s="47">
        <f t="shared" si="133"/>
        <v>27331.849464682862</v>
      </c>
      <c r="AN168" s="51"/>
      <c r="AO168" s="42"/>
    </row>
    <row r="169" spans="1:41" x14ac:dyDescent="0.25">
      <c r="A169" s="38">
        <v>59264</v>
      </c>
      <c r="B169" s="22">
        <v>2.4999999999941702E-5</v>
      </c>
      <c r="C169" s="22">
        <v>-6.4292377735297702E-4</v>
      </c>
      <c r="D169" s="22">
        <v>1.0558452241758101</v>
      </c>
      <c r="E169" s="22">
        <v>1.18587057403773E-3</v>
      </c>
      <c r="F169" s="32">
        <v>0.75975725434060304</v>
      </c>
      <c r="G169" s="5">
        <f t="shared" si="110"/>
        <v>42.361111111111114</v>
      </c>
      <c r="H169" s="5">
        <f t="shared" si="126"/>
        <v>-2.9796724509892794E-3</v>
      </c>
      <c r="I169" s="5">
        <f t="shared" si="127"/>
        <v>1.134748068958146</v>
      </c>
      <c r="J169" s="32">
        <f t="shared" si="111"/>
        <v>1.6778727328822485</v>
      </c>
      <c r="K169" s="22" t="s">
        <v>94</v>
      </c>
      <c r="L169" s="40">
        <f t="shared" si="128"/>
        <v>-1.875</v>
      </c>
      <c r="M169" s="96">
        <v>59264</v>
      </c>
      <c r="N169" s="99">
        <f t="shared" si="121"/>
        <v>59174</v>
      </c>
      <c r="O169" s="38">
        <f t="shared" si="122"/>
        <v>59264</v>
      </c>
      <c r="P169" s="88">
        <f t="shared" si="123"/>
        <v>90</v>
      </c>
      <c r="Q169" s="45">
        <v>10000000</v>
      </c>
      <c r="R169" s="105">
        <f t="shared" si="129"/>
        <v>-2.5716951094119081E-3</v>
      </c>
      <c r="S169" s="45">
        <f t="shared" si="124"/>
        <v>-6429.2377735297705</v>
      </c>
      <c r="T169" s="45">
        <f t="shared" si="125"/>
        <v>249.99999999941701</v>
      </c>
      <c r="V169" s="61">
        <f t="shared" si="130"/>
        <v>-16752103.205836447</v>
      </c>
      <c r="W169" s="47">
        <f t="shared" si="117"/>
        <v>-16778727.328822486</v>
      </c>
      <c r="X169" s="107">
        <f t="shared" si="131"/>
        <v>4.74348229615092E-3</v>
      </c>
      <c r="Y169" s="47">
        <f t="shared" si="132"/>
        <v>-19865.826245044565</v>
      </c>
      <c r="Z169" s="47">
        <f t="shared" si="133"/>
        <v>26624.122986039147</v>
      </c>
      <c r="AN169" s="51"/>
      <c r="AO169" s="42"/>
    </row>
    <row r="170" spans="1:41" x14ac:dyDescent="0.25">
      <c r="A170" s="38">
        <v>59355</v>
      </c>
      <c r="B170" s="22">
        <v>2.4999999999941702E-5</v>
      </c>
      <c r="C170" s="22">
        <v>-6.5006505247699998E-4</v>
      </c>
      <c r="D170" s="22">
        <v>1.05658509200409</v>
      </c>
      <c r="E170" s="22">
        <v>1.19905481018767E-3</v>
      </c>
      <c r="F170" s="32">
        <v>0.75851263057013096</v>
      </c>
      <c r="G170" s="5">
        <f t="shared" si="110"/>
        <v>42.613888888888887</v>
      </c>
      <c r="H170" s="5">
        <f t="shared" si="126"/>
        <v>-2.9610120694184374E-3</v>
      </c>
      <c r="I170" s="5">
        <f t="shared" si="127"/>
        <v>1.1346990022614012</v>
      </c>
      <c r="J170" s="32">
        <f t="shared" si="111"/>
        <v>1.6805532403360541</v>
      </c>
      <c r="K170" s="22" t="s">
        <v>94</v>
      </c>
      <c r="L170" s="40">
        <f t="shared" si="128"/>
        <v>-1.875</v>
      </c>
      <c r="M170" s="96">
        <v>59355</v>
      </c>
      <c r="N170" s="99">
        <f t="shared" si="121"/>
        <v>59264</v>
      </c>
      <c r="O170" s="38">
        <f t="shared" si="122"/>
        <v>59355</v>
      </c>
      <c r="P170" s="88">
        <f t="shared" si="123"/>
        <v>91</v>
      </c>
      <c r="Q170" s="45">
        <v>10000000</v>
      </c>
      <c r="R170" s="105">
        <f t="shared" si="129"/>
        <v>-2.5716859218870326E-3</v>
      </c>
      <c r="S170" s="45">
        <f t="shared" si="124"/>
        <v>-6500.6505247699997</v>
      </c>
      <c r="T170" s="45">
        <f t="shared" si="125"/>
        <v>249.99999999941701</v>
      </c>
      <c r="V170" s="61">
        <f t="shared" si="130"/>
        <v>-16778727.328822486</v>
      </c>
      <c r="W170" s="47">
        <f t="shared" si="117"/>
        <v>-16805532.403360542</v>
      </c>
      <c r="X170" s="107">
        <f t="shared" si="131"/>
        <v>4.7435135348083647E-3</v>
      </c>
      <c r="Y170" s="47">
        <f t="shared" si="132"/>
        <v>-20118.613712451915</v>
      </c>
      <c r="Z170" s="47">
        <f t="shared" si="133"/>
        <v>26805.074538055807</v>
      </c>
      <c r="AN170" s="51"/>
      <c r="AO170" s="42"/>
    </row>
    <row r="171" spans="1:41" x14ac:dyDescent="0.25">
      <c r="A171" s="38">
        <v>59446</v>
      </c>
      <c r="B171" s="22">
        <v>2.4722222222273099E-5</v>
      </c>
      <c r="C171" s="22">
        <v>-6.5006505247699998E-4</v>
      </c>
      <c r="D171" s="22">
        <v>1.05732547828375</v>
      </c>
      <c r="E171" s="22">
        <v>1.19905481018767E-3</v>
      </c>
      <c r="F171" s="32">
        <v>0.757270045725015</v>
      </c>
      <c r="G171" s="5">
        <f t="shared" si="110"/>
        <v>42.866666666666667</v>
      </c>
      <c r="H171" s="5">
        <f t="shared" si="126"/>
        <v>-2.9423516878475946E-3</v>
      </c>
      <c r="I171" s="5">
        <f t="shared" si="127"/>
        <v>1.1346392187563215</v>
      </c>
      <c r="J171" s="32">
        <f t="shared" si="111"/>
        <v>1.6832221286799878</v>
      </c>
      <c r="K171" s="22" t="s">
        <v>94</v>
      </c>
      <c r="L171" s="40">
        <f t="shared" si="128"/>
        <v>-1.875</v>
      </c>
      <c r="M171" s="96">
        <v>59446</v>
      </c>
      <c r="N171" s="99">
        <f t="shared" si="121"/>
        <v>59355</v>
      </c>
      <c r="O171" s="38">
        <f t="shared" si="122"/>
        <v>59446</v>
      </c>
      <c r="P171" s="88">
        <f t="shared" si="123"/>
        <v>91</v>
      </c>
      <c r="Q171" s="45">
        <v>10000000</v>
      </c>
      <c r="R171" s="105">
        <f t="shared" si="129"/>
        <v>-2.5716859218870326E-3</v>
      </c>
      <c r="S171" s="45">
        <f t="shared" si="124"/>
        <v>-6500.6505247699997</v>
      </c>
      <c r="T171" s="45">
        <f t="shared" si="125"/>
        <v>247.22222222273101</v>
      </c>
      <c r="V171" s="61">
        <f t="shared" si="130"/>
        <v>-16805532.403360542</v>
      </c>
      <c r="W171" s="47">
        <f t="shared" si="117"/>
        <v>-16832221.286799878</v>
      </c>
      <c r="X171" s="107">
        <f t="shared" si="131"/>
        <v>4.7435135348083647E-3</v>
      </c>
      <c r="Y171" s="47">
        <f t="shared" si="132"/>
        <v>-20150.754466014212</v>
      </c>
      <c r="Z171" s="47">
        <f t="shared" si="133"/>
        <v>26688.883439335972</v>
      </c>
      <c r="AN171" s="51"/>
      <c r="AO171" s="42"/>
    </row>
    <row r="172" spans="1:41" x14ac:dyDescent="0.25">
      <c r="A172" s="38">
        <v>59538</v>
      </c>
      <c r="B172" s="22">
        <v>2.4999999999941702E-5</v>
      </c>
      <c r="C172" s="22">
        <v>-6.5720627657039898E-4</v>
      </c>
      <c r="D172" s="22">
        <v>1.0580745280756001</v>
      </c>
      <c r="E172" s="22">
        <v>1.2122392199560501E-3</v>
      </c>
      <c r="F172" s="32">
        <v>0.75601587535068504</v>
      </c>
      <c r="G172" s="5">
        <f t="shared" si="110"/>
        <v>43.12222222222222</v>
      </c>
      <c r="H172" s="5">
        <f t="shared" si="126"/>
        <v>-2.9234862471386115E-3</v>
      </c>
      <c r="I172" s="5">
        <f t="shared" si="127"/>
        <v>1.1345678862197068</v>
      </c>
      <c r="J172" s="32">
        <f t="shared" si="111"/>
        <v>1.6859084642739752</v>
      </c>
      <c r="K172" s="22" t="s">
        <v>94</v>
      </c>
      <c r="L172" s="40">
        <f t="shared" si="128"/>
        <v>-1.875</v>
      </c>
      <c r="M172" s="96">
        <v>59538</v>
      </c>
      <c r="N172" s="99">
        <f t="shared" si="121"/>
        <v>59446</v>
      </c>
      <c r="O172" s="38">
        <f t="shared" si="122"/>
        <v>59538</v>
      </c>
      <c r="P172" s="88">
        <f t="shared" si="123"/>
        <v>92</v>
      </c>
      <c r="Q172" s="45">
        <v>10000000</v>
      </c>
      <c r="R172" s="105">
        <f t="shared" si="129"/>
        <v>-2.5716767344059091E-3</v>
      </c>
      <c r="S172" s="45">
        <f t="shared" si="124"/>
        <v>-6572.0627657039895</v>
      </c>
      <c r="T172" s="45">
        <f t="shared" si="125"/>
        <v>249.99999999941701</v>
      </c>
      <c r="V172" s="61">
        <f t="shared" si="130"/>
        <v>-16832221.286799878</v>
      </c>
      <c r="W172" s="47">
        <f t="shared" si="117"/>
        <v>-16859084.64273975</v>
      </c>
      <c r="X172" s="107">
        <f t="shared" si="131"/>
        <v>4.7435447737410657E-3</v>
      </c>
      <c r="Y172" s="47">
        <f t="shared" si="132"/>
        <v>-20404.678802837905</v>
      </c>
      <c r="Z172" s="47">
        <f t="shared" si="133"/>
        <v>26863.355939872563</v>
      </c>
      <c r="AN172" s="51"/>
      <c r="AO172" s="42"/>
    </row>
    <row r="173" spans="1:41" x14ac:dyDescent="0.25">
      <c r="A173" s="38">
        <v>59628</v>
      </c>
      <c r="B173" s="22">
        <v>2.4999999999941702E-5</v>
      </c>
      <c r="C173" s="22">
        <v>-6.4292377735297702E-4</v>
      </c>
      <c r="D173" s="22">
        <v>1.05880780765061</v>
      </c>
      <c r="E173" s="22">
        <v>1.1858705740375099E-3</v>
      </c>
      <c r="F173" s="32">
        <v>0.75479097945576501</v>
      </c>
      <c r="G173" s="5">
        <f t="shared" si="110"/>
        <v>43.37222222222222</v>
      </c>
      <c r="H173" s="5">
        <f t="shared" si="126"/>
        <v>-2.9050309247059107E-3</v>
      </c>
      <c r="I173" s="5">
        <f t="shared" si="127"/>
        <v>1.1344875096041258</v>
      </c>
      <c r="J173" s="32">
        <f t="shared" si="111"/>
        <v>1.6885247743795628</v>
      </c>
      <c r="K173" s="22" t="s">
        <v>94</v>
      </c>
      <c r="L173" s="40">
        <f t="shared" si="128"/>
        <v>-1.875</v>
      </c>
      <c r="M173" s="96">
        <v>59628</v>
      </c>
      <c r="N173" s="99">
        <f t="shared" si="121"/>
        <v>59538</v>
      </c>
      <c r="O173" s="38">
        <f t="shared" si="122"/>
        <v>59628</v>
      </c>
      <c r="P173" s="88">
        <f t="shared" si="123"/>
        <v>90</v>
      </c>
      <c r="Q173" s="45">
        <v>10000000</v>
      </c>
      <c r="R173" s="105">
        <f t="shared" si="129"/>
        <v>-2.5716951094119081E-3</v>
      </c>
      <c r="S173" s="45">
        <f t="shared" si="124"/>
        <v>-6429.2377735297705</v>
      </c>
      <c r="T173" s="45">
        <f t="shared" si="125"/>
        <v>249.99999999941701</v>
      </c>
      <c r="V173" s="61">
        <f t="shared" si="130"/>
        <v>-16859084.64273975</v>
      </c>
      <c r="W173" s="47">
        <f t="shared" si="117"/>
        <v>-16885247.74379563</v>
      </c>
      <c r="X173" s="107">
        <f t="shared" si="131"/>
        <v>4.7434822961500396E-3</v>
      </c>
      <c r="Y173" s="47">
        <f t="shared" si="132"/>
        <v>-19992.692383032754</v>
      </c>
      <c r="Z173" s="47">
        <f t="shared" si="133"/>
        <v>26163.101055879146</v>
      </c>
      <c r="AN173" s="51"/>
      <c r="AO173" s="42"/>
    </row>
    <row r="174" spans="1:41" x14ac:dyDescent="0.25">
      <c r="A174" s="38">
        <v>59719</v>
      </c>
      <c r="B174" s="22">
        <v>2.4999999999941702E-5</v>
      </c>
      <c r="C174" s="22">
        <v>-6.5006505247688895E-4</v>
      </c>
      <c r="D174" s="22">
        <v>1.0595497514651699</v>
      </c>
      <c r="E174" s="22">
        <v>1.19905481018767E-3</v>
      </c>
      <c r="F174" s="32">
        <v>0.75355449136775898</v>
      </c>
      <c r="G174" s="5">
        <f t="shared" si="110"/>
        <v>43.625</v>
      </c>
      <c r="H174" s="5">
        <f t="shared" si="126"/>
        <v>-2.8863705431350674E-3</v>
      </c>
      <c r="I174" s="5">
        <f t="shared" si="127"/>
        <v>1.1343955888570374</v>
      </c>
      <c r="J174" s="32">
        <f t="shared" si="111"/>
        <v>1.6911583954717047</v>
      </c>
      <c r="K174" s="22" t="s">
        <v>94</v>
      </c>
      <c r="L174" s="40">
        <f t="shared" si="128"/>
        <v>-1.875</v>
      </c>
      <c r="M174" s="96">
        <v>59719</v>
      </c>
      <c r="N174" s="99">
        <f t="shared" si="121"/>
        <v>59628</v>
      </c>
      <c r="O174" s="38">
        <f t="shared" si="122"/>
        <v>59719</v>
      </c>
      <c r="P174" s="88">
        <f t="shared" si="123"/>
        <v>91</v>
      </c>
      <c r="Q174" s="45">
        <v>10000000</v>
      </c>
      <c r="R174" s="105">
        <f t="shared" si="129"/>
        <v>-2.5716859218865937E-3</v>
      </c>
      <c r="S174" s="45">
        <f t="shared" si="124"/>
        <v>-6500.6505247688892</v>
      </c>
      <c r="T174" s="45">
        <f t="shared" si="125"/>
        <v>249.99999999941701</v>
      </c>
      <c r="V174" s="61">
        <f t="shared" si="130"/>
        <v>-16885247.74379563</v>
      </c>
      <c r="W174" s="47">
        <f t="shared" si="117"/>
        <v>-16911583.954717048</v>
      </c>
      <c r="X174" s="107">
        <f t="shared" si="131"/>
        <v>4.7435135348083647E-3</v>
      </c>
      <c r="Y174" s="47">
        <f t="shared" si="132"/>
        <v>-20246.337528408651</v>
      </c>
      <c r="Z174" s="47">
        <f t="shared" si="133"/>
        <v>26336.210921417922</v>
      </c>
      <c r="AN174" s="51"/>
      <c r="AO174" s="42"/>
    </row>
    <row r="175" spans="1:41" x14ac:dyDescent="0.25">
      <c r="A175" s="38">
        <v>59811</v>
      </c>
      <c r="B175" s="22">
        <v>2.4999999999941702E-5</v>
      </c>
      <c r="C175" s="22">
        <v>-6.5720627657051001E-4</v>
      </c>
      <c r="D175" s="22">
        <v>1.0603003770171899</v>
      </c>
      <c r="E175" s="22">
        <v>1.2122392199560501E-3</v>
      </c>
      <c r="F175" s="32">
        <v>0.75230647459507405</v>
      </c>
      <c r="G175" s="5">
        <f t="shared" si="110"/>
        <v>43.880555555555553</v>
      </c>
      <c r="H175" s="5">
        <f t="shared" si="126"/>
        <v>-2.8675051024260843E-3</v>
      </c>
      <c r="I175" s="5">
        <f t="shared" si="127"/>
        <v>1.1342917738593399</v>
      </c>
      <c r="J175" s="32">
        <f t="shared" si="111"/>
        <v>1.6938088688382611</v>
      </c>
      <c r="K175" s="22" t="s">
        <v>94</v>
      </c>
      <c r="L175" s="40">
        <f t="shared" si="128"/>
        <v>-1.875</v>
      </c>
      <c r="M175" s="96">
        <v>59811</v>
      </c>
      <c r="N175" s="99">
        <f t="shared" si="121"/>
        <v>59719</v>
      </c>
      <c r="O175" s="38">
        <f t="shared" si="122"/>
        <v>59811</v>
      </c>
      <c r="P175" s="88">
        <f t="shared" si="123"/>
        <v>92</v>
      </c>
      <c r="Q175" s="45">
        <v>10000000</v>
      </c>
      <c r="R175" s="105">
        <f t="shared" si="129"/>
        <v>-2.5716767344063436E-3</v>
      </c>
      <c r="S175" s="45">
        <f t="shared" si="124"/>
        <v>-6572.0627657051</v>
      </c>
      <c r="T175" s="45">
        <f t="shared" si="125"/>
        <v>249.99999999941701</v>
      </c>
      <c r="V175" s="61">
        <f t="shared" si="130"/>
        <v>-16911583.954717048</v>
      </c>
      <c r="W175" s="47">
        <f t="shared" si="117"/>
        <v>-16938088.688382611</v>
      </c>
      <c r="X175" s="107">
        <f t="shared" si="131"/>
        <v>4.7435447737410657E-3</v>
      </c>
      <c r="Y175" s="47">
        <f t="shared" si="132"/>
        <v>-20500.885341487447</v>
      </c>
      <c r="Z175" s="47">
        <f t="shared" si="133"/>
        <v>26504.733665563166</v>
      </c>
      <c r="AN175" s="51"/>
      <c r="AO175" s="42"/>
    </row>
    <row r="176" spans="1:41" x14ac:dyDescent="0.25">
      <c r="A176" s="38">
        <v>59903</v>
      </c>
      <c r="B176" s="22">
        <v>2.4999999999941702E-5</v>
      </c>
      <c r="C176" s="22">
        <v>-6.5720627657039898E-4</v>
      </c>
      <c r="D176" s="22">
        <v>1.06105153434104</v>
      </c>
      <c r="E176" s="22">
        <v>1.2122392199560501E-3</v>
      </c>
      <c r="F176" s="32">
        <v>0.75106052475435303</v>
      </c>
      <c r="G176" s="5">
        <f t="shared" si="110"/>
        <v>44.136111111111113</v>
      </c>
      <c r="H176" s="5">
        <f t="shared" si="126"/>
        <v>-2.8486396617171004E-3</v>
      </c>
      <c r="I176" s="5">
        <f t="shared" si="127"/>
        <v>1.1341770185584406</v>
      </c>
      <c r="J176" s="32">
        <f t="shared" si="111"/>
        <v>1.6964471179806435</v>
      </c>
      <c r="K176" s="22" t="s">
        <v>94</v>
      </c>
      <c r="L176" s="40">
        <f t="shared" si="128"/>
        <v>-1.875</v>
      </c>
      <c r="M176" s="96">
        <v>59903</v>
      </c>
      <c r="N176" s="99">
        <f t="shared" si="121"/>
        <v>59811</v>
      </c>
      <c r="O176" s="38">
        <f t="shared" si="122"/>
        <v>59903</v>
      </c>
      <c r="P176" s="88">
        <f t="shared" si="123"/>
        <v>92</v>
      </c>
      <c r="Q176" s="45">
        <v>10000000</v>
      </c>
      <c r="R176" s="105">
        <f t="shared" si="129"/>
        <v>-2.5716767344059091E-3</v>
      </c>
      <c r="S176" s="45">
        <f t="shared" si="124"/>
        <v>-6572.0627657039895</v>
      </c>
      <c r="T176" s="45">
        <f t="shared" si="125"/>
        <v>249.99999999941701</v>
      </c>
      <c r="V176" s="61">
        <f t="shared" si="130"/>
        <v>-16938088.688382611</v>
      </c>
      <c r="W176" s="47">
        <f t="shared" si="117"/>
        <v>-16964471.179806434</v>
      </c>
      <c r="X176" s="107">
        <f t="shared" si="131"/>
        <v>4.7435447737410657E-3</v>
      </c>
      <c r="Y176" s="47">
        <f t="shared" si="132"/>
        <v>-20533.015419151332</v>
      </c>
      <c r="Z176" s="47">
        <f t="shared" si="133"/>
        <v>26382.491423822939</v>
      </c>
      <c r="AN176" s="51"/>
      <c r="AO176" s="42"/>
    </row>
    <row r="177" spans="1:41" x14ac:dyDescent="0.25">
      <c r="A177" s="38">
        <v>59994</v>
      </c>
      <c r="B177" s="22">
        <v>2.4999999999941702E-5</v>
      </c>
      <c r="C177" s="22">
        <v>-6.5006505247688895E-4</v>
      </c>
      <c r="D177" s="22">
        <v>1.0617950504136899</v>
      </c>
      <c r="E177" s="22">
        <v>1.19905481018767E-3</v>
      </c>
      <c r="F177" s="32">
        <v>0.74983014784537105</v>
      </c>
      <c r="G177" s="5">
        <f t="shared" si="110"/>
        <v>44.388888888888886</v>
      </c>
      <c r="H177" s="5">
        <f t="shared" si="126"/>
        <v>-2.8299792801462584E-3</v>
      </c>
      <c r="I177" s="5">
        <f t="shared" si="127"/>
        <v>1.1340527515829861</v>
      </c>
      <c r="J177" s="32">
        <f t="shared" si="111"/>
        <v>1.6990445966851788</v>
      </c>
      <c r="K177" s="22" t="s">
        <v>94</v>
      </c>
      <c r="L177" s="40">
        <f t="shared" si="128"/>
        <v>-1.875</v>
      </c>
      <c r="M177" s="96">
        <v>59994</v>
      </c>
      <c r="N177" s="99">
        <f t="shared" si="121"/>
        <v>59903</v>
      </c>
      <c r="O177" s="38">
        <f t="shared" si="122"/>
        <v>59994</v>
      </c>
      <c r="P177" s="88">
        <f t="shared" si="123"/>
        <v>91</v>
      </c>
      <c r="Q177" s="45">
        <v>10000000</v>
      </c>
      <c r="R177" s="105">
        <f t="shared" si="129"/>
        <v>-2.5716859218865937E-3</v>
      </c>
      <c r="S177" s="45">
        <f t="shared" si="124"/>
        <v>-6500.6505247688892</v>
      </c>
      <c r="T177" s="45">
        <f t="shared" si="125"/>
        <v>249.99999999941701</v>
      </c>
      <c r="V177" s="61">
        <f t="shared" si="130"/>
        <v>-16964471.179806434</v>
      </c>
      <c r="W177" s="47">
        <f t="shared" si="117"/>
        <v>-16990445.96685179</v>
      </c>
      <c r="X177" s="107">
        <f t="shared" si="131"/>
        <v>4.7435135348083647E-3</v>
      </c>
      <c r="Y177" s="47">
        <f t="shared" si="132"/>
        <v>-20341.330770437002</v>
      </c>
      <c r="Z177" s="47">
        <f t="shared" si="133"/>
        <v>25974.787045355886</v>
      </c>
      <c r="AN177" s="51"/>
      <c r="AO177" s="42"/>
    </row>
    <row r="178" spans="1:41" x14ac:dyDescent="0.25">
      <c r="A178" s="38">
        <v>60085</v>
      </c>
      <c r="B178" s="22">
        <v>2.4999999999941702E-5</v>
      </c>
      <c r="C178" s="22">
        <v>-6.5006505247688895E-4</v>
      </c>
      <c r="D178" s="22">
        <v>1.06253908749417</v>
      </c>
      <c r="E178" s="22">
        <v>1.19905481018767E-3</v>
      </c>
      <c r="F178" s="32">
        <v>0.74860178652273501</v>
      </c>
      <c r="G178" s="5">
        <f t="shared" si="110"/>
        <v>44.641666666666666</v>
      </c>
      <c r="H178" s="5">
        <f t="shared" si="126"/>
        <v>-2.811318898575416E-3</v>
      </c>
      <c r="I178" s="5">
        <f t="shared" si="127"/>
        <v>1.1339177882185401</v>
      </c>
      <c r="J178" s="32">
        <f t="shared" si="111"/>
        <v>1.7016299803420536</v>
      </c>
      <c r="K178" s="22" t="s">
        <v>94</v>
      </c>
      <c r="L178" s="40">
        <f t="shared" si="128"/>
        <v>-1.875</v>
      </c>
      <c r="M178" s="96">
        <v>60085</v>
      </c>
      <c r="N178" s="99">
        <f t="shared" si="121"/>
        <v>59994</v>
      </c>
      <c r="O178" s="38">
        <f t="shared" si="122"/>
        <v>60085</v>
      </c>
      <c r="P178" s="88">
        <f t="shared" si="123"/>
        <v>91</v>
      </c>
      <c r="Q178" s="45">
        <v>10000000</v>
      </c>
      <c r="R178" s="105">
        <f t="shared" si="129"/>
        <v>-2.5716859218865937E-3</v>
      </c>
      <c r="S178" s="45">
        <f t="shared" si="124"/>
        <v>-6500.6505247688892</v>
      </c>
      <c r="T178" s="45">
        <f t="shared" si="125"/>
        <v>249.99999999941701</v>
      </c>
      <c r="V178" s="61">
        <f t="shared" si="130"/>
        <v>-16990445.96685179</v>
      </c>
      <c r="W178" s="47">
        <f t="shared" si="117"/>
        <v>-17016299.803420536</v>
      </c>
      <c r="X178" s="107">
        <f t="shared" si="131"/>
        <v>4.7435135348083647E-3</v>
      </c>
      <c r="Y178" s="47">
        <f t="shared" si="132"/>
        <v>-20372.475963787336</v>
      </c>
      <c r="Z178" s="47">
        <f t="shared" si="133"/>
        <v>25853.836568746716</v>
      </c>
      <c r="AN178" s="51"/>
      <c r="AO178" s="42"/>
    </row>
    <row r="179" spans="1:41" x14ac:dyDescent="0.25">
      <c r="A179" s="38">
        <v>60177</v>
      </c>
      <c r="B179" s="22">
        <v>2.4999999999941702E-5</v>
      </c>
      <c r="C179" s="22">
        <v>-6.5720627657051001E-4</v>
      </c>
      <c r="D179" s="22">
        <v>1.0632918308061099</v>
      </c>
      <c r="E179" s="22">
        <v>1.2122392199562699E-3</v>
      </c>
      <c r="F179" s="32">
        <v>0.74736197228720902</v>
      </c>
      <c r="G179" s="5">
        <f t="shared" si="110"/>
        <v>44.897222222222226</v>
      </c>
      <c r="H179" s="5">
        <f t="shared" si="126"/>
        <v>-2.7924534578664321E-3</v>
      </c>
      <c r="I179" s="5">
        <f t="shared" si="127"/>
        <v>1.1337704725983739</v>
      </c>
      <c r="J179" s="32">
        <f t="shared" si="111"/>
        <v>1.7042314114793395</v>
      </c>
      <c r="K179" s="22" t="s">
        <v>94</v>
      </c>
      <c r="L179" s="40">
        <f t="shared" si="128"/>
        <v>-1.875</v>
      </c>
      <c r="M179" s="96">
        <v>60177</v>
      </c>
      <c r="N179" s="99">
        <f t="shared" si="121"/>
        <v>60085</v>
      </c>
      <c r="O179" s="38">
        <f t="shared" si="122"/>
        <v>60177</v>
      </c>
      <c r="P179" s="88">
        <f t="shared" si="123"/>
        <v>92</v>
      </c>
      <c r="Q179" s="45">
        <v>10000000</v>
      </c>
      <c r="R179" s="105">
        <f t="shared" si="129"/>
        <v>-2.5716767344063436E-3</v>
      </c>
      <c r="S179" s="45">
        <f t="shared" si="124"/>
        <v>-6572.0627657051</v>
      </c>
      <c r="T179" s="45">
        <f t="shared" si="125"/>
        <v>249.99999999941701</v>
      </c>
      <c r="V179" s="61">
        <f t="shared" si="130"/>
        <v>-17016299.803420536</v>
      </c>
      <c r="W179" s="47">
        <f t="shared" si="117"/>
        <v>-17042314.114793394</v>
      </c>
      <c r="X179" s="107">
        <f t="shared" si="131"/>
        <v>4.7435447737419261E-3</v>
      </c>
      <c r="Y179" s="47">
        <f t="shared" si="132"/>
        <v>-20627.82600024054</v>
      </c>
      <c r="Z179" s="47">
        <f t="shared" si="133"/>
        <v>26014.311372857541</v>
      </c>
      <c r="AN179" s="51"/>
      <c r="AO179" s="42"/>
    </row>
    <row r="180" spans="1:41" x14ac:dyDescent="0.25">
      <c r="A180" s="38">
        <v>60269</v>
      </c>
      <c r="B180" s="22">
        <v>2.4999999999941702E-5</v>
      </c>
      <c r="C180" s="22">
        <v>-6.5720627657051001E-4</v>
      </c>
      <c r="D180" s="22">
        <v>1.06404510739019</v>
      </c>
      <c r="E180" s="22">
        <v>1.21223921995583E-3</v>
      </c>
      <c r="F180" s="32">
        <v>0.74612421139882501</v>
      </c>
      <c r="G180" s="5">
        <f t="shared" si="110"/>
        <v>45.152777777777779</v>
      </c>
      <c r="H180" s="5">
        <f t="shared" si="126"/>
        <v>-2.7735880171574491E-3</v>
      </c>
      <c r="I180" s="5">
        <f t="shared" si="127"/>
        <v>1.1336122330006737</v>
      </c>
      <c r="J180" s="32">
        <f t="shared" si="111"/>
        <v>1.7068203431777313</v>
      </c>
      <c r="K180" s="22" t="s">
        <v>94</v>
      </c>
      <c r="L180" s="40">
        <f t="shared" si="128"/>
        <v>-1.875</v>
      </c>
      <c r="M180" s="96">
        <v>60269</v>
      </c>
      <c r="N180" s="99">
        <f t="shared" si="121"/>
        <v>60177</v>
      </c>
      <c r="O180" s="38">
        <f t="shared" si="122"/>
        <v>60269</v>
      </c>
      <c r="P180" s="88">
        <f t="shared" si="123"/>
        <v>92</v>
      </c>
      <c r="Q180" s="45">
        <v>10000000</v>
      </c>
      <c r="R180" s="105">
        <f t="shared" si="129"/>
        <v>-2.5716767344063436E-3</v>
      </c>
      <c r="S180" s="45">
        <f t="shared" si="124"/>
        <v>-6572.0627657051</v>
      </c>
      <c r="T180" s="45">
        <f t="shared" si="125"/>
        <v>249.99999999941701</v>
      </c>
      <c r="V180" s="61">
        <f t="shared" si="130"/>
        <v>-17042314.114793394</v>
      </c>
      <c r="W180" s="47">
        <f t="shared" si="117"/>
        <v>-17068203.431777313</v>
      </c>
      <c r="X180" s="107">
        <f t="shared" si="131"/>
        <v>4.7435447737402044E-3</v>
      </c>
      <c r="Y180" s="47">
        <f t="shared" si="132"/>
        <v>-20659.361568759374</v>
      </c>
      <c r="Z180" s="47">
        <f t="shared" si="133"/>
        <v>25889.316983919591</v>
      </c>
      <c r="AN180" s="51"/>
      <c r="AO180" s="42"/>
    </row>
    <row r="181" spans="1:41" x14ac:dyDescent="0.25">
      <c r="A181" s="38">
        <v>60359</v>
      </c>
      <c r="B181" s="22">
        <v>2.4999999999941702E-5</v>
      </c>
      <c r="C181" s="22">
        <v>-6.4292377735286599E-4</v>
      </c>
      <c r="D181" s="22">
        <v>1.06478252476811</v>
      </c>
      <c r="E181" s="22">
        <v>1.1858705740375099E-3</v>
      </c>
      <c r="F181" s="32">
        <v>0.744915341964411</v>
      </c>
      <c r="G181" s="5">
        <f t="shared" si="110"/>
        <v>45.402777777777779</v>
      </c>
      <c r="H181" s="5">
        <f t="shared" si="126"/>
        <v>-2.7551326947247473E-3</v>
      </c>
      <c r="I181" s="5">
        <f t="shared" si="127"/>
        <v>1.1334468677476295</v>
      </c>
      <c r="J181" s="32">
        <f t="shared" si="111"/>
        <v>1.7093408331070736</v>
      </c>
      <c r="K181" s="22" t="s">
        <v>94</v>
      </c>
      <c r="L181" s="40">
        <f t="shared" si="128"/>
        <v>-1.875</v>
      </c>
      <c r="M181" s="96">
        <v>60359</v>
      </c>
      <c r="N181" s="99">
        <f t="shared" si="121"/>
        <v>60269</v>
      </c>
      <c r="O181" s="38">
        <f t="shared" si="122"/>
        <v>60359</v>
      </c>
      <c r="P181" s="88">
        <f t="shared" si="123"/>
        <v>90</v>
      </c>
      <c r="Q181" s="45">
        <v>10000000</v>
      </c>
      <c r="R181" s="105">
        <f t="shared" si="129"/>
        <v>-2.571695109411464E-3</v>
      </c>
      <c r="S181" s="45">
        <f t="shared" si="124"/>
        <v>-6429.23777352866</v>
      </c>
      <c r="T181" s="45">
        <f t="shared" si="125"/>
        <v>249.99999999941701</v>
      </c>
      <c r="V181" s="61">
        <f t="shared" si="130"/>
        <v>-17068203.431777313</v>
      </c>
      <c r="W181" s="47">
        <f t="shared" si="117"/>
        <v>-17093408.331070736</v>
      </c>
      <c r="X181" s="107">
        <f t="shared" si="131"/>
        <v>4.7434822961500396E-3</v>
      </c>
      <c r="Y181" s="47">
        <f t="shared" si="132"/>
        <v>-20240.680201430758</v>
      </c>
      <c r="Z181" s="47">
        <f t="shared" si="133"/>
        <v>25204.899293422699</v>
      </c>
      <c r="AN181" s="51"/>
      <c r="AO181" s="42"/>
    </row>
    <row r="182" spans="1:41" x14ac:dyDescent="0.25">
      <c r="A182" s="38">
        <v>60450</v>
      </c>
      <c r="B182" s="22">
        <v>2.4999999999941702E-5</v>
      </c>
      <c r="C182" s="22">
        <v>-6.5006505247699998E-4</v>
      </c>
      <c r="D182" s="22">
        <v>1.06552865527678</v>
      </c>
      <c r="E182" s="22">
        <v>1.19905481018767E-3</v>
      </c>
      <c r="F182" s="32">
        <v>0.74369503200843301</v>
      </c>
      <c r="G182" s="5">
        <f t="shared" si="110"/>
        <v>45.655555555555559</v>
      </c>
      <c r="H182" s="5">
        <f t="shared" si="126"/>
        <v>-2.7364723131539049E-3</v>
      </c>
      <c r="I182" s="5">
        <f t="shared" si="127"/>
        <v>1.1332690457636796</v>
      </c>
      <c r="J182" s="32">
        <f t="shared" si="111"/>
        <v>1.7118770345590817</v>
      </c>
      <c r="K182" s="22" t="s">
        <v>94</v>
      </c>
      <c r="L182" s="40">
        <f t="shared" si="128"/>
        <v>-1.875</v>
      </c>
      <c r="M182" s="96">
        <v>60450</v>
      </c>
      <c r="N182" s="99">
        <f t="shared" si="121"/>
        <v>60359</v>
      </c>
      <c r="O182" s="38">
        <f t="shared" si="122"/>
        <v>60450</v>
      </c>
      <c r="P182" s="88">
        <f t="shared" si="123"/>
        <v>91</v>
      </c>
      <c r="Q182" s="45">
        <v>10000000</v>
      </c>
      <c r="R182" s="105">
        <f t="shared" si="129"/>
        <v>-2.5716859218870326E-3</v>
      </c>
      <c r="S182" s="45">
        <f t="shared" si="124"/>
        <v>-6500.6505247699997</v>
      </c>
      <c r="T182" s="45">
        <f t="shared" si="125"/>
        <v>249.99999999941701</v>
      </c>
      <c r="V182" s="61">
        <f t="shared" si="130"/>
        <v>-17093408.331070736</v>
      </c>
      <c r="W182" s="47">
        <f t="shared" si="117"/>
        <v>-17118770.345590819</v>
      </c>
      <c r="X182" s="107">
        <f t="shared" si="131"/>
        <v>4.7435135348083647E-3</v>
      </c>
      <c r="Y182" s="47">
        <f t="shared" si="132"/>
        <v>-20495.933481872358</v>
      </c>
      <c r="Z182" s="47">
        <f t="shared" si="133"/>
        <v>25362.014520082623</v>
      </c>
      <c r="AN182" s="51"/>
      <c r="AO182" s="42"/>
    </row>
    <row r="183" spans="1:41" x14ac:dyDescent="0.25">
      <c r="A183" s="38">
        <v>60542</v>
      </c>
      <c r="B183" s="22">
        <v>2.4999999999941702E-5</v>
      </c>
      <c r="C183" s="22">
        <v>-6.5720627657039898E-4</v>
      </c>
      <c r="D183" s="22">
        <v>1.0662835165128399</v>
      </c>
      <c r="E183" s="22">
        <v>1.2122392199560501E-3</v>
      </c>
      <c r="F183" s="32">
        <v>0.74246334420835902</v>
      </c>
      <c r="G183" s="5">
        <f t="shared" si="110"/>
        <v>45.911111111111111</v>
      </c>
      <c r="H183" s="5">
        <f t="shared" si="126"/>
        <v>-2.7176068724449214E-3</v>
      </c>
      <c r="I183" s="5">
        <f t="shared" si="127"/>
        <v>1.1330784204502951</v>
      </c>
      <c r="J183" s="32">
        <f t="shared" si="111"/>
        <v>1.7144284730865378</v>
      </c>
      <c r="K183" s="22" t="s">
        <v>94</v>
      </c>
      <c r="L183" s="40">
        <f t="shared" si="128"/>
        <v>-1.875</v>
      </c>
      <c r="M183" s="96">
        <v>60542</v>
      </c>
      <c r="N183" s="99">
        <f t="shared" si="121"/>
        <v>60450</v>
      </c>
      <c r="O183" s="38">
        <f t="shared" si="122"/>
        <v>60542</v>
      </c>
      <c r="P183" s="88">
        <f t="shared" si="123"/>
        <v>92</v>
      </c>
      <c r="Q183" s="45">
        <v>10000000</v>
      </c>
      <c r="R183" s="105">
        <f t="shared" si="129"/>
        <v>-2.5716767344059091E-3</v>
      </c>
      <c r="S183" s="45">
        <f t="shared" si="124"/>
        <v>-6572.0627657039895</v>
      </c>
      <c r="T183" s="45">
        <f t="shared" si="125"/>
        <v>249.99999999941701</v>
      </c>
      <c r="V183" s="61">
        <f t="shared" si="130"/>
        <v>-17118770.345590819</v>
      </c>
      <c r="W183" s="47">
        <f t="shared" si="117"/>
        <v>-17144284.730865378</v>
      </c>
      <c r="X183" s="107">
        <f t="shared" si="131"/>
        <v>4.7435447737410657E-3</v>
      </c>
      <c r="Y183" s="47">
        <f t="shared" si="132"/>
        <v>-20752.044810345775</v>
      </c>
      <c r="Z183" s="47">
        <f t="shared" si="133"/>
        <v>25514.385274559259</v>
      </c>
      <c r="AN183" s="51"/>
      <c r="AO183" s="42"/>
    </row>
    <row r="184" spans="1:41" x14ac:dyDescent="0.25">
      <c r="A184" s="38">
        <v>60636</v>
      </c>
      <c r="B184" s="22">
        <v>2.55555555555009E-5</v>
      </c>
      <c r="C184" s="22">
        <v>-6.7148857166698895E-4</v>
      </c>
      <c r="D184" s="22">
        <v>1.0670553401157601</v>
      </c>
      <c r="E184" s="22">
        <v>1.2386085603563999E-3</v>
      </c>
      <c r="F184" s="32">
        <v>0.74120698744971902</v>
      </c>
      <c r="G184" s="5">
        <f t="shared" si="110"/>
        <v>46.172222222222224</v>
      </c>
      <c r="H184" s="5">
        <f t="shared" si="126"/>
        <v>-2.6983313134596554E-3</v>
      </c>
      <c r="I184" s="5">
        <f t="shared" si="127"/>
        <v>1.1328723903311719</v>
      </c>
      <c r="J184" s="32">
        <f t="shared" si="111"/>
        <v>1.7170221879274608</v>
      </c>
      <c r="K184" s="22" t="s">
        <v>94</v>
      </c>
      <c r="L184" s="40">
        <f t="shared" si="128"/>
        <v>-1.875</v>
      </c>
      <c r="M184" s="96">
        <v>60636</v>
      </c>
      <c r="N184" s="99">
        <f t="shared" si="121"/>
        <v>60542</v>
      </c>
      <c r="O184" s="38">
        <f t="shared" si="122"/>
        <v>60636</v>
      </c>
      <c r="P184" s="88">
        <f t="shared" si="123"/>
        <v>94</v>
      </c>
      <c r="Q184" s="45">
        <v>10000000</v>
      </c>
      <c r="R184" s="105">
        <f t="shared" si="129"/>
        <v>-2.5716583595757022E-3</v>
      </c>
      <c r="S184" s="45">
        <f t="shared" si="124"/>
        <v>-6714.8857166698899</v>
      </c>
      <c r="T184" s="45">
        <f t="shared" si="125"/>
        <v>255.55555555500899</v>
      </c>
      <c r="V184" s="61">
        <f t="shared" si="130"/>
        <v>-17144284.730865378</v>
      </c>
      <c r="W184" s="47">
        <f t="shared" si="117"/>
        <v>-17170221.879274607</v>
      </c>
      <c r="X184" s="107">
        <f t="shared" si="131"/>
        <v>4.7436072524287658E-3</v>
      </c>
      <c r="Y184" s="47">
        <f t="shared" si="132"/>
        <v>-21235.057828837376</v>
      </c>
      <c r="Z184" s="47">
        <f t="shared" si="133"/>
        <v>25937.148409228772</v>
      </c>
      <c r="AN184" s="51"/>
      <c r="AO184" s="42"/>
    </row>
    <row r="185" spans="1:41" x14ac:dyDescent="0.25">
      <c r="A185" s="38">
        <v>60724</v>
      </c>
      <c r="B185" s="22">
        <v>2.44444444443825E-5</v>
      </c>
      <c r="C185" s="22">
        <v>-6.2864107401139303E-4</v>
      </c>
      <c r="D185" s="22">
        <v>1.06777840470232</v>
      </c>
      <c r="E185" s="22">
        <v>1.1595026225825701E-3</v>
      </c>
      <c r="F185" s="32">
        <v>0.74003275046815697</v>
      </c>
      <c r="G185" s="5">
        <f t="shared" si="110"/>
        <v>46.416666666666664</v>
      </c>
      <c r="H185" s="5">
        <f t="shared" si="126"/>
        <v>-2.6802861093032366E-3</v>
      </c>
      <c r="I185" s="5">
        <f t="shared" si="127"/>
        <v>1.1326692015426605</v>
      </c>
      <c r="J185" s="32">
        <f t="shared" si="111"/>
        <v>1.7194382008202445</v>
      </c>
      <c r="K185" s="22" t="s">
        <v>94</v>
      </c>
      <c r="L185" s="40">
        <f t="shared" si="128"/>
        <v>-1.875</v>
      </c>
      <c r="M185" s="96">
        <v>60724</v>
      </c>
      <c r="N185" s="99">
        <f t="shared" si="121"/>
        <v>60636</v>
      </c>
      <c r="O185" s="38">
        <f t="shared" si="122"/>
        <v>60724</v>
      </c>
      <c r="P185" s="88">
        <f t="shared" si="123"/>
        <v>88</v>
      </c>
      <c r="Q185" s="45">
        <v>10000000</v>
      </c>
      <c r="R185" s="105">
        <f t="shared" si="129"/>
        <v>-2.5717134845920624E-3</v>
      </c>
      <c r="S185" s="45">
        <f t="shared" si="124"/>
        <v>-6286.4107401139299</v>
      </c>
      <c r="T185" s="45">
        <f t="shared" si="125"/>
        <v>244.44444444382501</v>
      </c>
      <c r="V185" s="61">
        <f t="shared" si="130"/>
        <v>-17170221.879274607</v>
      </c>
      <c r="W185" s="47">
        <f t="shared" si="117"/>
        <v>-17194382.008202445</v>
      </c>
      <c r="X185" s="107">
        <f t="shared" si="131"/>
        <v>4.7434198196559686E-3</v>
      </c>
      <c r="Y185" s="47">
        <f t="shared" si="132"/>
        <v>-19908.917299343531</v>
      </c>
      <c r="Z185" s="47">
        <f t="shared" si="133"/>
        <v>24160.128927838057</v>
      </c>
      <c r="AN185" s="51"/>
      <c r="AO185" s="42"/>
    </row>
    <row r="186" spans="1:41" x14ac:dyDescent="0.25">
      <c r="A186" s="38">
        <v>60815</v>
      </c>
      <c r="B186" s="22">
        <v>2.4999999999941702E-5</v>
      </c>
      <c r="C186" s="22">
        <v>-6.5006505247699998E-4</v>
      </c>
      <c r="D186" s="22">
        <v>1.0685266345292801</v>
      </c>
      <c r="E186" s="22">
        <v>1.19905481018789E-3</v>
      </c>
      <c r="F186" s="32">
        <v>0.73882043910568196</v>
      </c>
      <c r="G186" s="5">
        <f t="shared" si="110"/>
        <v>46.669444444444444</v>
      </c>
      <c r="H186" s="5">
        <f t="shared" si="126"/>
        <v>-2.6616257277323942E-3</v>
      </c>
      <c r="I186" s="5">
        <f t="shared" si="127"/>
        <v>1.132448606744811</v>
      </c>
      <c r="J186" s="32">
        <f t="shared" si="111"/>
        <v>1.7219241611088458</v>
      </c>
      <c r="K186" s="22" t="s">
        <v>94</v>
      </c>
      <c r="L186" s="40">
        <f t="shared" si="128"/>
        <v>-1.875</v>
      </c>
      <c r="M186" s="96">
        <v>60815</v>
      </c>
      <c r="N186" s="99">
        <f t="shared" si="121"/>
        <v>60724</v>
      </c>
      <c r="O186" s="38">
        <f t="shared" si="122"/>
        <v>60815</v>
      </c>
      <c r="P186" s="88">
        <f t="shared" si="123"/>
        <v>91</v>
      </c>
      <c r="Q186" s="45">
        <v>10000000</v>
      </c>
      <c r="R186" s="105">
        <f t="shared" si="129"/>
        <v>-2.5716859218870326E-3</v>
      </c>
      <c r="S186" s="45">
        <f t="shared" si="124"/>
        <v>-6500.6505247699997</v>
      </c>
      <c r="T186" s="45">
        <f t="shared" si="125"/>
        <v>249.99999999941701</v>
      </c>
      <c r="V186" s="61">
        <f t="shared" si="130"/>
        <v>-17194382.008202445</v>
      </c>
      <c r="W186" s="47">
        <f t="shared" si="117"/>
        <v>-17219241.611088458</v>
      </c>
      <c r="X186" s="107">
        <f t="shared" si="131"/>
        <v>4.7435135348092355E-3</v>
      </c>
      <c r="Y186" s="47">
        <f t="shared" si="132"/>
        <v>-20617.006455143255</v>
      </c>
      <c r="Z186" s="47">
        <f t="shared" si="133"/>
        <v>24859.602886013687</v>
      </c>
      <c r="AN186" s="51"/>
      <c r="AO186" s="42"/>
    </row>
    <row r="187" spans="1:41" x14ac:dyDescent="0.25">
      <c r="A187" s="38">
        <v>60909</v>
      </c>
      <c r="B187" s="22">
        <v>2.55555555555009E-5</v>
      </c>
      <c r="C187" s="22">
        <v>-6.7148857166698895E-4</v>
      </c>
      <c r="D187" s="22">
        <v>1.06930008180114</v>
      </c>
      <c r="E187" s="22">
        <v>1.2386085603563999E-3</v>
      </c>
      <c r="F187" s="32">
        <v>0.73757024667620696</v>
      </c>
      <c r="G187" s="5">
        <f t="shared" si="110"/>
        <v>46.930555555555557</v>
      </c>
      <c r="H187" s="5">
        <f t="shared" si="126"/>
        <v>-2.6423501687471286E-3</v>
      </c>
      <c r="I187" s="5">
        <f t="shared" si="127"/>
        <v>1.1322095590443699</v>
      </c>
      <c r="J187" s="32">
        <f t="shared" si="111"/>
        <v>1.7244787521761562</v>
      </c>
      <c r="K187" s="22" t="s">
        <v>94</v>
      </c>
      <c r="L187" s="40">
        <f t="shared" si="128"/>
        <v>-1.875</v>
      </c>
      <c r="M187" s="96">
        <v>60909</v>
      </c>
      <c r="N187" s="99">
        <f t="shared" si="121"/>
        <v>60815</v>
      </c>
      <c r="O187" s="38">
        <f t="shared" si="122"/>
        <v>60909</v>
      </c>
      <c r="P187" s="88">
        <f t="shared" si="123"/>
        <v>94</v>
      </c>
      <c r="Q187" s="45">
        <v>10000000</v>
      </c>
      <c r="R187" s="105">
        <f t="shared" si="129"/>
        <v>-2.5716583595757022E-3</v>
      </c>
      <c r="S187" s="45">
        <f t="shared" si="124"/>
        <v>-6714.8857166698899</v>
      </c>
      <c r="T187" s="45">
        <f t="shared" si="125"/>
        <v>255.55555555500899</v>
      </c>
      <c r="V187" s="61">
        <f t="shared" si="130"/>
        <v>-17219241.611088458</v>
      </c>
      <c r="W187" s="47">
        <f t="shared" si="117"/>
        <v>-17244787.521761563</v>
      </c>
      <c r="X187" s="107">
        <f t="shared" si="131"/>
        <v>4.7436072524287658E-3</v>
      </c>
      <c r="Y187" s="47">
        <f t="shared" si="132"/>
        <v>-21327.900062339293</v>
      </c>
      <c r="Z187" s="47">
        <f t="shared" si="133"/>
        <v>25545.910673104227</v>
      </c>
      <c r="AN187" s="51"/>
      <c r="AO187" s="42"/>
    </row>
    <row r="188" spans="1:41" x14ac:dyDescent="0.25">
      <c r="A188" s="38">
        <v>61001</v>
      </c>
      <c r="B188" s="22">
        <v>2.4999999999941702E-5</v>
      </c>
      <c r="C188" s="22">
        <v>-6.5720627657039898E-4</v>
      </c>
      <c r="D188" s="22">
        <v>1.0700576148599299</v>
      </c>
      <c r="E188" s="22">
        <v>1.2122392199560501E-3</v>
      </c>
      <c r="F188" s="32">
        <v>0.736348702581613</v>
      </c>
      <c r="G188" s="5">
        <f t="shared" si="110"/>
        <v>47.18611111111111</v>
      </c>
      <c r="H188" s="5">
        <f t="shared" si="126"/>
        <v>-2.6234847280381447E-3</v>
      </c>
      <c r="I188" s="5">
        <f t="shared" si="127"/>
        <v>1.1319646028306307</v>
      </c>
      <c r="J188" s="32">
        <f t="shared" si="111"/>
        <v>1.7269658116617481</v>
      </c>
      <c r="K188" s="22" t="s">
        <v>94</v>
      </c>
      <c r="L188" s="40">
        <f t="shared" si="128"/>
        <v>-1.875</v>
      </c>
      <c r="M188" s="96">
        <v>61001</v>
      </c>
      <c r="N188" s="99">
        <f t="shared" si="121"/>
        <v>60909</v>
      </c>
      <c r="O188" s="38">
        <f t="shared" si="122"/>
        <v>61001</v>
      </c>
      <c r="P188" s="88">
        <f t="shared" si="123"/>
        <v>92</v>
      </c>
      <c r="Q188" s="45">
        <v>10000000</v>
      </c>
      <c r="R188" s="105">
        <f t="shared" si="129"/>
        <v>-2.5716767344059091E-3</v>
      </c>
      <c r="S188" s="45">
        <f t="shared" si="124"/>
        <v>-6572.0627657039895</v>
      </c>
      <c r="T188" s="45">
        <f t="shared" si="125"/>
        <v>249.99999999941701</v>
      </c>
      <c r="V188" s="61">
        <f t="shared" si="130"/>
        <v>-17244787.521761563</v>
      </c>
      <c r="W188" s="47">
        <f t="shared" si="117"/>
        <v>-17269658.116617482</v>
      </c>
      <c r="X188" s="107">
        <f t="shared" si="131"/>
        <v>4.7435447737410657E-3</v>
      </c>
      <c r="Y188" s="47">
        <f t="shared" si="132"/>
        <v>-20904.807773688062</v>
      </c>
      <c r="Z188" s="47">
        <f t="shared" si="133"/>
        <v>24870.59485591948</v>
      </c>
      <c r="AN188" s="51"/>
      <c r="AO188" s="42"/>
    </row>
    <row r="189" spans="1:41" x14ac:dyDescent="0.25">
      <c r="A189" s="38">
        <v>61092</v>
      </c>
      <c r="B189" s="22">
        <v>2.5277777777832301E-5</v>
      </c>
      <c r="C189" s="22">
        <v>-6.5006505247699998E-4</v>
      </c>
      <c r="D189" s="22">
        <v>1.07080744180948</v>
      </c>
      <c r="E189" s="22">
        <v>1.19905481018767E-3</v>
      </c>
      <c r="F189" s="32">
        <v>0.73514242637516203</v>
      </c>
      <c r="G189" s="5">
        <f t="shared" si="110"/>
        <v>47.43888888888889</v>
      </c>
      <c r="H189" s="5">
        <f t="shared" si="126"/>
        <v>-2.6048243464673027E-3</v>
      </c>
      <c r="I189" s="5">
        <f t="shared" si="127"/>
        <v>1.1317116167562737</v>
      </c>
      <c r="J189" s="32">
        <f t="shared" si="111"/>
        <v>1.7294129472745026</v>
      </c>
      <c r="K189" s="22" t="s">
        <v>94</v>
      </c>
      <c r="L189" s="40">
        <f t="shared" si="128"/>
        <v>-1.875</v>
      </c>
      <c r="M189" s="96">
        <v>61092</v>
      </c>
      <c r="N189" s="99">
        <f t="shared" si="121"/>
        <v>61001</v>
      </c>
      <c r="O189" s="38">
        <f t="shared" si="122"/>
        <v>61092</v>
      </c>
      <c r="P189" s="88">
        <f t="shared" si="123"/>
        <v>91</v>
      </c>
      <c r="Q189" s="45">
        <v>10000000</v>
      </c>
      <c r="R189" s="105">
        <f t="shared" si="129"/>
        <v>-2.5716859218870326E-3</v>
      </c>
      <c r="S189" s="45">
        <f t="shared" si="124"/>
        <v>-6500.6505247699997</v>
      </c>
      <c r="T189" s="45">
        <f t="shared" si="125"/>
        <v>252.77777777832301</v>
      </c>
      <c r="V189" s="61">
        <f t="shared" si="130"/>
        <v>-17269658.116617482</v>
      </c>
      <c r="W189" s="47">
        <f t="shared" si="117"/>
        <v>-17294129.472745027</v>
      </c>
      <c r="X189" s="107">
        <f t="shared" si="131"/>
        <v>4.7435135348083647E-3</v>
      </c>
      <c r="Y189" s="47">
        <f t="shared" si="132"/>
        <v>-20707.266635026728</v>
      </c>
      <c r="Z189" s="47">
        <f t="shared" si="133"/>
        <v>24471.356127545238</v>
      </c>
      <c r="AN189" s="51"/>
      <c r="AO189" s="42"/>
    </row>
    <row r="190" spans="1:41" x14ac:dyDescent="0.25">
      <c r="A190" s="38">
        <v>61183</v>
      </c>
      <c r="B190" s="22">
        <v>2.4999999999941702E-5</v>
      </c>
      <c r="C190" s="22">
        <v>-6.5006505247688895E-4</v>
      </c>
      <c r="D190" s="22">
        <v>1.0715577941891099</v>
      </c>
      <c r="E190" s="22">
        <v>1.19905481018767E-3</v>
      </c>
      <c r="F190" s="32">
        <v>0.73393812627362198</v>
      </c>
      <c r="G190" s="5">
        <f t="shared" si="110"/>
        <v>47.69166666666667</v>
      </c>
      <c r="H190" s="5">
        <f t="shared" si="126"/>
        <v>-2.5861639648964599E-3</v>
      </c>
      <c r="I190" s="5">
        <f t="shared" si="127"/>
        <v>1.131448004161983</v>
      </c>
      <c r="J190" s="32">
        <f t="shared" si="111"/>
        <v>1.7318471985221549</v>
      </c>
      <c r="K190" s="22" t="s">
        <v>94</v>
      </c>
      <c r="L190" s="40">
        <f t="shared" si="128"/>
        <v>-1.875</v>
      </c>
      <c r="M190" s="96">
        <v>61183</v>
      </c>
      <c r="N190" s="99">
        <f t="shared" si="121"/>
        <v>61092</v>
      </c>
      <c r="O190" s="38">
        <f t="shared" si="122"/>
        <v>61183</v>
      </c>
      <c r="P190" s="88">
        <f t="shared" si="123"/>
        <v>91</v>
      </c>
      <c r="Q190" s="45">
        <v>10000000</v>
      </c>
      <c r="R190" s="105">
        <f t="shared" si="129"/>
        <v>-2.5716859218865937E-3</v>
      </c>
      <c r="S190" s="45">
        <f t="shared" si="124"/>
        <v>-6500.6505247688892</v>
      </c>
      <c r="T190" s="45">
        <f t="shared" si="125"/>
        <v>249.99999999941701</v>
      </c>
      <c r="V190" s="61">
        <f t="shared" si="130"/>
        <v>-17294129.472745027</v>
      </c>
      <c r="W190" s="47">
        <f t="shared" si="117"/>
        <v>-17318471.98522155</v>
      </c>
      <c r="X190" s="107">
        <f t="shared" si="131"/>
        <v>4.7435135348083647E-3</v>
      </c>
      <c r="Y190" s="47">
        <f t="shared" si="132"/>
        <v>-20736.609132303278</v>
      </c>
      <c r="Z190" s="47">
        <f t="shared" si="133"/>
        <v>24342.512476522475</v>
      </c>
      <c r="AN190" s="51"/>
      <c r="AO190" s="42"/>
    </row>
    <row r="191" spans="1:41" x14ac:dyDescent="0.25">
      <c r="A191" s="38">
        <v>61273</v>
      </c>
      <c r="B191" s="22">
        <v>2.44444444443825E-5</v>
      </c>
      <c r="C191" s="22">
        <v>-6.4292377735308804E-4</v>
      </c>
      <c r="D191" s="22">
        <v>1.0723004180998701</v>
      </c>
      <c r="E191" s="22">
        <v>1.1858705740375099E-3</v>
      </c>
      <c r="F191" s="32">
        <v>0.73274900071778504</v>
      </c>
      <c r="G191" s="5">
        <f t="shared" si="110"/>
        <v>47.94166666666667</v>
      </c>
      <c r="H191" s="5">
        <f t="shared" si="126"/>
        <v>-2.567708642463759E-3</v>
      </c>
      <c r="I191" s="5">
        <f t="shared" si="127"/>
        <v>1.1311768440064107</v>
      </c>
      <c r="J191" s="32">
        <f t="shared" si="111"/>
        <v>1.7342419645908611</v>
      </c>
      <c r="K191" s="22" t="s">
        <v>94</v>
      </c>
      <c r="L191" s="40">
        <f t="shared" si="128"/>
        <v>-1.875</v>
      </c>
      <c r="M191" s="96">
        <v>61273</v>
      </c>
      <c r="N191" s="99">
        <f t="shared" si="121"/>
        <v>61183</v>
      </c>
      <c r="O191" s="38">
        <f t="shared" si="122"/>
        <v>61273</v>
      </c>
      <c r="P191" s="88">
        <f t="shared" si="123"/>
        <v>90</v>
      </c>
      <c r="Q191" s="45">
        <v>10000000</v>
      </c>
      <c r="R191" s="105">
        <f t="shared" si="129"/>
        <v>-2.5716951094123522E-3</v>
      </c>
      <c r="S191" s="45">
        <f t="shared" si="124"/>
        <v>-6429.2377735308801</v>
      </c>
      <c r="T191" s="45">
        <f t="shared" si="125"/>
        <v>244.44444444382501</v>
      </c>
      <c r="V191" s="61">
        <f t="shared" si="130"/>
        <v>-17318471.98522155</v>
      </c>
      <c r="W191" s="47">
        <f t="shared" si="117"/>
        <v>-17342419.645908613</v>
      </c>
      <c r="X191" s="107">
        <f t="shared" si="131"/>
        <v>4.7434822961500396E-3</v>
      </c>
      <c r="Y191" s="47">
        <f t="shared" si="132"/>
        <v>-20537.466314567213</v>
      </c>
      <c r="Z191" s="47">
        <f t="shared" si="133"/>
        <v>23947.660687062889</v>
      </c>
      <c r="AN191" s="51"/>
      <c r="AO191" s="42"/>
    </row>
    <row r="192" spans="1:41" x14ac:dyDescent="0.25">
      <c r="A192" s="38">
        <v>61365</v>
      </c>
      <c r="B192" s="22">
        <v>2.4999999999941702E-5</v>
      </c>
      <c r="C192" s="22">
        <v>-6.5720627657039898E-4</v>
      </c>
      <c r="D192" s="22">
        <v>1.0730600767116101</v>
      </c>
      <c r="E192" s="22">
        <v>1.2122392199560501E-3</v>
      </c>
      <c r="F192" s="32">
        <v>0.73153544144166105</v>
      </c>
      <c r="G192" s="5">
        <f t="shared" si="110"/>
        <v>48.197222222222223</v>
      </c>
      <c r="H192" s="5">
        <f t="shared" si="126"/>
        <v>-2.5488432017547751E-3</v>
      </c>
      <c r="I192" s="5">
        <f t="shared" si="127"/>
        <v>1.1308889307210979</v>
      </c>
      <c r="J192" s="32">
        <f t="shared" si="111"/>
        <v>1.7366767934966787</v>
      </c>
      <c r="K192" s="22" t="s">
        <v>94</v>
      </c>
      <c r="L192" s="40">
        <f t="shared" si="128"/>
        <v>-1.875</v>
      </c>
      <c r="M192" s="96">
        <v>61365</v>
      </c>
      <c r="N192" s="99">
        <f t="shared" si="121"/>
        <v>61273</v>
      </c>
      <c r="O192" s="38">
        <f t="shared" si="122"/>
        <v>61365</v>
      </c>
      <c r="P192" s="88">
        <f t="shared" si="123"/>
        <v>92</v>
      </c>
      <c r="Q192" s="45">
        <v>10000000</v>
      </c>
      <c r="R192" s="105">
        <f t="shared" si="129"/>
        <v>-2.5716767344059091E-3</v>
      </c>
      <c r="S192" s="45">
        <f t="shared" si="124"/>
        <v>-6572.0627657039895</v>
      </c>
      <c r="T192" s="45">
        <f t="shared" si="125"/>
        <v>249.99999999941701</v>
      </c>
      <c r="V192" s="61">
        <f t="shared" si="130"/>
        <v>-17342419.645908613</v>
      </c>
      <c r="W192" s="47">
        <f t="shared" si="117"/>
        <v>-17366767.934966788</v>
      </c>
      <c r="X192" s="107">
        <f t="shared" si="131"/>
        <v>4.7435447737410657E-3</v>
      </c>
      <c r="Y192" s="47">
        <f t="shared" si="132"/>
        <v>-21023.161263706734</v>
      </c>
      <c r="Z192" s="47">
        <f t="shared" si="133"/>
        <v>24348.289058174938</v>
      </c>
      <c r="AN192" s="51"/>
      <c r="AO192" s="42"/>
    </row>
    <row r="193" spans="1:41" x14ac:dyDescent="0.25">
      <c r="A193" s="38">
        <v>61455</v>
      </c>
      <c r="B193" s="22">
        <v>2.4722222222273099E-5</v>
      </c>
      <c r="C193" s="22">
        <v>-6.4292377735286599E-4</v>
      </c>
      <c r="D193" s="22">
        <v>1.0738037417523301</v>
      </c>
      <c r="E193" s="22">
        <v>1.1858705740375099E-3</v>
      </c>
      <c r="F193" s="32">
        <v>0.73035020871252698</v>
      </c>
      <c r="G193" s="5">
        <f t="shared" si="110"/>
        <v>48.447222222222223</v>
      </c>
      <c r="H193" s="5">
        <f t="shared" si="126"/>
        <v>-2.5303878793220742E-3</v>
      </c>
      <c r="I193" s="5">
        <f t="shared" si="127"/>
        <v>1.130596790500527</v>
      </c>
      <c r="J193" s="32">
        <f t="shared" si="111"/>
        <v>1.7390457609196366</v>
      </c>
      <c r="K193" s="22" t="s">
        <v>94</v>
      </c>
      <c r="L193" s="40">
        <f t="shared" si="128"/>
        <v>-1.875</v>
      </c>
      <c r="M193" s="96">
        <v>61455</v>
      </c>
      <c r="N193" s="99">
        <f t="shared" si="121"/>
        <v>61365</v>
      </c>
      <c r="O193" s="38">
        <f t="shared" si="122"/>
        <v>61455</v>
      </c>
      <c r="P193" s="88">
        <f t="shared" si="123"/>
        <v>90</v>
      </c>
      <c r="Q193" s="45">
        <v>10000000</v>
      </c>
      <c r="R193" s="105">
        <f t="shared" si="129"/>
        <v>-2.571695109411464E-3</v>
      </c>
      <c r="S193" s="45">
        <f t="shared" si="124"/>
        <v>-6429.23777352866</v>
      </c>
      <c r="T193" s="45">
        <f t="shared" si="125"/>
        <v>247.22222222273101</v>
      </c>
      <c r="V193" s="61">
        <f t="shared" si="130"/>
        <v>-17366767.934966788</v>
      </c>
      <c r="W193" s="47">
        <f t="shared" si="117"/>
        <v>-17390457.609196365</v>
      </c>
      <c r="X193" s="107">
        <f t="shared" si="131"/>
        <v>4.7434822961500396E-3</v>
      </c>
      <c r="Y193" s="47">
        <f t="shared" si="132"/>
        <v>-20594.739060215285</v>
      </c>
      <c r="Z193" s="47">
        <f t="shared" si="133"/>
        <v>23689.674229577184</v>
      </c>
      <c r="AN193" s="51"/>
      <c r="AO193" s="42"/>
    </row>
    <row r="194" spans="1:41" x14ac:dyDescent="0.25">
      <c r="A194" s="38">
        <v>61546</v>
      </c>
      <c r="B194" s="22">
        <v>2.4999999999941702E-5</v>
      </c>
      <c r="C194" s="22">
        <v>-6.50065052477111E-4</v>
      </c>
      <c r="D194" s="22">
        <v>1.07455619374455</v>
      </c>
      <c r="E194" s="22">
        <v>1.19905481018767E-3</v>
      </c>
      <c r="F194" s="32">
        <v>0.72915375915533098</v>
      </c>
      <c r="G194" s="5">
        <f t="shared" ref="G194:G202" si="134">YEARFRAC($BH$2,$A194,2)</f>
        <v>48.7</v>
      </c>
      <c r="H194" s="5">
        <f t="shared" si="126"/>
        <v>-2.5117274977512318E-3</v>
      </c>
      <c r="I194" s="5">
        <f t="shared" si="127"/>
        <v>1.1302908686997419</v>
      </c>
      <c r="J194" s="32">
        <f t="shared" ref="J194:J202" si="135">$BI$2*I194/F194</f>
        <v>1.7414279854611463</v>
      </c>
      <c r="K194" s="22" t="s">
        <v>94</v>
      </c>
      <c r="L194" s="40">
        <f t="shared" si="128"/>
        <v>-1.875</v>
      </c>
      <c r="M194" s="96">
        <v>61546</v>
      </c>
      <c r="N194" s="99">
        <f t="shared" si="121"/>
        <v>61455</v>
      </c>
      <c r="O194" s="38">
        <f t="shared" si="122"/>
        <v>61546</v>
      </c>
      <c r="P194" s="88">
        <f t="shared" si="123"/>
        <v>91</v>
      </c>
      <c r="Q194" s="45">
        <v>10000000</v>
      </c>
      <c r="R194" s="105">
        <f t="shared" si="129"/>
        <v>-2.5716859218874719E-3</v>
      </c>
      <c r="S194" s="45">
        <f t="shared" si="124"/>
        <v>-6500.6505247711102</v>
      </c>
      <c r="T194" s="45">
        <f t="shared" si="125"/>
        <v>249.99999999941701</v>
      </c>
      <c r="V194" s="61">
        <f t="shared" si="130"/>
        <v>-17390457.609196365</v>
      </c>
      <c r="W194" s="47">
        <f t="shared" si="117"/>
        <v>-17414279.854611464</v>
      </c>
      <c r="X194" s="107">
        <f t="shared" si="131"/>
        <v>4.7435135348083647E-3</v>
      </c>
      <c r="Y194" s="47">
        <f t="shared" si="132"/>
        <v>-20852.111847671669</v>
      </c>
      <c r="Z194" s="47">
        <f t="shared" si="133"/>
        <v>23822.245415098965</v>
      </c>
      <c r="AN194" s="51"/>
      <c r="AO194" s="42"/>
    </row>
    <row r="195" spans="1:41" x14ac:dyDescent="0.25">
      <c r="A195" s="38">
        <v>61638</v>
      </c>
      <c r="B195" s="22">
        <v>2.4999999999941702E-5</v>
      </c>
      <c r="C195" s="22">
        <v>-6.5720627657039898E-4</v>
      </c>
      <c r="D195" s="22">
        <v>1.07531745043399</v>
      </c>
      <c r="E195" s="22">
        <v>1.2122392199560501E-3</v>
      </c>
      <c r="F195" s="32">
        <v>0.72794615422202302</v>
      </c>
      <c r="G195" s="5">
        <f t="shared" si="134"/>
        <v>48.955555555555556</v>
      </c>
      <c r="H195" s="5">
        <f t="shared" ref="H195:H202" si="136">RE_MATH_LinearInterpolation($BY$3:$BY$35,$CA$3:$CA$35,$G195)</f>
        <v>-2.4928620570422483E-3</v>
      </c>
      <c r="I195" s="5">
        <f t="shared" ref="I195:I202" si="137">(1+H195)^-$G195</f>
        <v>1.1299708251638525</v>
      </c>
      <c r="J195" s="32">
        <f t="shared" si="135"/>
        <v>1.7438229704582009</v>
      </c>
      <c r="K195" s="22" t="s">
        <v>94</v>
      </c>
      <c r="L195" s="40">
        <f t="shared" ref="L195:L202" si="138">VLOOKUP($K195,$BG$21:$BI$35,3,FALSE)*10000</f>
        <v>-1.875</v>
      </c>
      <c r="M195" s="96">
        <v>61638</v>
      </c>
      <c r="N195" s="99">
        <f t="shared" si="121"/>
        <v>61546</v>
      </c>
      <c r="O195" s="38">
        <f t="shared" si="122"/>
        <v>61638</v>
      </c>
      <c r="P195" s="88">
        <f t="shared" si="123"/>
        <v>92</v>
      </c>
      <c r="Q195" s="45">
        <v>10000000</v>
      </c>
      <c r="R195" s="105">
        <f t="shared" ref="R195:R202" si="139">C195*360/P195</f>
        <v>-2.5716767344059091E-3</v>
      </c>
      <c r="S195" s="45">
        <f t="shared" si="124"/>
        <v>-6572.0627657039895</v>
      </c>
      <c r="T195" s="45">
        <f t="shared" si="125"/>
        <v>249.99999999941701</v>
      </c>
      <c r="V195" s="61">
        <f t="shared" ref="V195:V202" si="140">W194</f>
        <v>-17414279.854611464</v>
      </c>
      <c r="W195" s="47">
        <f t="shared" ref="W195:W202" si="141">-Q195*J195</f>
        <v>-17438229.704582009</v>
      </c>
      <c r="X195" s="107">
        <f t="shared" ref="X195:X202" si="142">E195*360/P195</f>
        <v>4.7435447737410657E-3</v>
      </c>
      <c r="Y195" s="47">
        <f t="shared" ref="Y195:Y202" si="143">V195*E195</f>
        <v>-21110.273027050556</v>
      </c>
      <c r="Z195" s="47">
        <f t="shared" ref="Z195:Z202" si="144">V195-W195</f>
        <v>23949.84997054562</v>
      </c>
      <c r="AN195" s="51"/>
      <c r="AO195" s="42"/>
    </row>
    <row r="196" spans="1:41" x14ac:dyDescent="0.25">
      <c r="A196" s="38">
        <v>61730</v>
      </c>
      <c r="B196" s="22">
        <v>2.4999999999941702E-5</v>
      </c>
      <c r="C196" s="22">
        <v>-6.5720627657039898E-4</v>
      </c>
      <c r="D196" s="22">
        <v>1.0760792464267801</v>
      </c>
      <c r="E196" s="22">
        <v>1.2122392199560501E-3</v>
      </c>
      <c r="F196" s="32">
        <v>0.72674054929167298</v>
      </c>
      <c r="G196" s="5">
        <f t="shared" si="134"/>
        <v>49.211111111111109</v>
      </c>
      <c r="H196" s="5">
        <f t="shared" si="136"/>
        <v>-2.4739966163332648E-3</v>
      </c>
      <c r="I196" s="5">
        <f t="shared" si="137"/>
        <v>1.129639972387368</v>
      </c>
      <c r="J196" s="32">
        <f t="shared" si="135"/>
        <v>1.7462044002042447</v>
      </c>
      <c r="K196" s="22" t="s">
        <v>94</v>
      </c>
      <c r="L196" s="40">
        <f t="shared" si="138"/>
        <v>-1.875</v>
      </c>
      <c r="M196" s="96">
        <v>61730</v>
      </c>
      <c r="N196" s="99">
        <f t="shared" ref="N196:N202" si="145">M195</f>
        <v>61638</v>
      </c>
      <c r="O196" s="38">
        <f t="shared" ref="O196:O202" si="146">M196</f>
        <v>61730</v>
      </c>
      <c r="P196" s="88">
        <f t="shared" ref="P196:P202" si="147">O196-N196</f>
        <v>92</v>
      </c>
      <c r="Q196" s="45">
        <v>10000000</v>
      </c>
      <c r="R196" s="105">
        <f t="shared" si="139"/>
        <v>-2.5716767344059091E-3</v>
      </c>
      <c r="S196" s="45">
        <f t="shared" ref="S196:S202" si="148">Q196*$C196</f>
        <v>-6572.0627657039895</v>
      </c>
      <c r="T196" s="45">
        <f t="shared" ref="T196:T202" si="149">Q196*$B196</f>
        <v>249.99999999941701</v>
      </c>
      <c r="V196" s="61">
        <f t="shared" si="140"/>
        <v>-17438229.704582009</v>
      </c>
      <c r="W196" s="47">
        <f t="shared" si="141"/>
        <v>-17462044.002042446</v>
      </c>
      <c r="X196" s="107">
        <f t="shared" si="142"/>
        <v>4.7435447737410657E-3</v>
      </c>
      <c r="Y196" s="47">
        <f t="shared" si="143"/>
        <v>-21139.305974496918</v>
      </c>
      <c r="Z196" s="47">
        <f t="shared" si="144"/>
        <v>23814.297460436821</v>
      </c>
      <c r="AN196" s="51"/>
      <c r="AO196" s="42"/>
    </row>
    <row r="197" spans="1:41" x14ac:dyDescent="0.25">
      <c r="A197" s="38">
        <v>61820</v>
      </c>
      <c r="B197" s="22">
        <v>2.4999999999941702E-5</v>
      </c>
      <c r="C197" s="22">
        <v>-6.4292377735297702E-4</v>
      </c>
      <c r="D197" s="22">
        <v>1.07682500384892</v>
      </c>
      <c r="E197" s="22">
        <v>1.1858705740375099E-3</v>
      </c>
      <c r="F197" s="32">
        <v>0.72556308524029101</v>
      </c>
      <c r="G197" s="5">
        <f t="shared" si="134"/>
        <v>49.461111111111109</v>
      </c>
      <c r="H197" s="5">
        <f t="shared" si="136"/>
        <v>-2.4555412939005635E-3</v>
      </c>
      <c r="I197" s="5">
        <f t="shared" si="137"/>
        <v>1.1293058622107939</v>
      </c>
      <c r="J197" s="32">
        <f t="shared" si="135"/>
        <v>1.7485208818023754</v>
      </c>
      <c r="K197" s="22" t="s">
        <v>94</v>
      </c>
      <c r="L197" s="40">
        <f t="shared" si="138"/>
        <v>-1.875</v>
      </c>
      <c r="M197" s="96">
        <v>61820</v>
      </c>
      <c r="N197" s="99">
        <f t="shared" si="145"/>
        <v>61730</v>
      </c>
      <c r="O197" s="38">
        <f t="shared" si="146"/>
        <v>61820</v>
      </c>
      <c r="P197" s="88">
        <f t="shared" si="147"/>
        <v>90</v>
      </c>
      <c r="Q197" s="45">
        <v>10000000</v>
      </c>
      <c r="R197" s="105">
        <f t="shared" si="139"/>
        <v>-2.5716951094119081E-3</v>
      </c>
      <c r="S197" s="45">
        <f t="shared" si="148"/>
        <v>-6429.2377735297705</v>
      </c>
      <c r="T197" s="45">
        <f t="shared" si="149"/>
        <v>249.99999999941701</v>
      </c>
      <c r="V197" s="61">
        <f t="shared" si="140"/>
        <v>-17462044.002042446</v>
      </c>
      <c r="W197" s="47">
        <f t="shared" si="141"/>
        <v>-17485208.818023752</v>
      </c>
      <c r="X197" s="107">
        <f t="shared" si="142"/>
        <v>4.7434822961500396E-3</v>
      </c>
      <c r="Y197" s="47">
        <f t="shared" si="143"/>
        <v>-20707.724144570333</v>
      </c>
      <c r="Z197" s="47">
        <f t="shared" si="144"/>
        <v>23164.815981306136</v>
      </c>
      <c r="AN197" s="51"/>
      <c r="AO197" s="42"/>
    </row>
    <row r="198" spans="1:41" x14ac:dyDescent="0.25">
      <c r="A198" s="38">
        <v>61911</v>
      </c>
      <c r="B198" s="22">
        <v>2.4999999999941702E-5</v>
      </c>
      <c r="C198" s="22">
        <v>-6.5006505247699998E-4</v>
      </c>
      <c r="D198" s="22">
        <v>1.0775795729455999</v>
      </c>
      <c r="E198" s="22">
        <v>1.19905481018767E-3</v>
      </c>
      <c r="F198" s="32">
        <v>0.72437447788220699</v>
      </c>
      <c r="G198" s="5">
        <f t="shared" si="134"/>
        <v>49.713888888888889</v>
      </c>
      <c r="H198" s="5">
        <f t="shared" si="136"/>
        <v>-2.4368809123297211E-3</v>
      </c>
      <c r="I198" s="5">
        <f t="shared" si="137"/>
        <v>1.1289575415733559</v>
      </c>
      <c r="J198" s="32">
        <f t="shared" si="135"/>
        <v>1.7508497896163395</v>
      </c>
      <c r="K198" s="22" t="s">
        <v>94</v>
      </c>
      <c r="L198" s="40">
        <f t="shared" si="138"/>
        <v>-1.875</v>
      </c>
      <c r="M198" s="96">
        <v>61911</v>
      </c>
      <c r="N198" s="99">
        <f t="shared" si="145"/>
        <v>61820</v>
      </c>
      <c r="O198" s="38">
        <f t="shared" si="146"/>
        <v>61911</v>
      </c>
      <c r="P198" s="88">
        <f t="shared" si="147"/>
        <v>91</v>
      </c>
      <c r="Q198" s="45">
        <v>10000000</v>
      </c>
      <c r="R198" s="105">
        <f t="shared" si="139"/>
        <v>-2.5716859218870326E-3</v>
      </c>
      <c r="S198" s="45">
        <f t="shared" si="148"/>
        <v>-6500.6505247699997</v>
      </c>
      <c r="T198" s="45">
        <f t="shared" si="149"/>
        <v>249.99999999941701</v>
      </c>
      <c r="V198" s="61">
        <f t="shared" si="140"/>
        <v>-17485208.818023752</v>
      </c>
      <c r="W198" s="47">
        <f t="shared" si="141"/>
        <v>-17508497.896163397</v>
      </c>
      <c r="X198" s="107">
        <f t="shared" si="142"/>
        <v>4.7435135348083647E-3</v>
      </c>
      <c r="Y198" s="47">
        <f t="shared" si="143"/>
        <v>-20965.723740387242</v>
      </c>
      <c r="Z198" s="47">
        <f t="shared" si="144"/>
        <v>23289.078139644116</v>
      </c>
      <c r="AN198" s="51"/>
      <c r="AO198" s="42"/>
    </row>
    <row r="199" spans="1:41" x14ac:dyDescent="0.25">
      <c r="A199" s="38">
        <v>62003</v>
      </c>
      <c r="B199" s="22">
        <v>2.4999999999941702E-5</v>
      </c>
      <c r="C199" s="22">
        <v>-6.5720627657028796E-4</v>
      </c>
      <c r="D199" s="22">
        <v>1.0783429715124599</v>
      </c>
      <c r="E199" s="22">
        <v>1.2122392199560501E-3</v>
      </c>
      <c r="F199" s="32">
        <v>0.72317478826658199</v>
      </c>
      <c r="G199" s="5">
        <f t="shared" si="134"/>
        <v>49.969444444444441</v>
      </c>
      <c r="H199" s="5">
        <f t="shared" si="136"/>
        <v>-2.4180154716207376E-3</v>
      </c>
      <c r="I199" s="5">
        <f t="shared" si="137"/>
        <v>1.1285946727698786</v>
      </c>
      <c r="J199" s="32">
        <f t="shared" si="135"/>
        <v>1.7531906199726539</v>
      </c>
      <c r="K199" s="22" t="s">
        <v>94</v>
      </c>
      <c r="L199" s="40">
        <f t="shared" si="138"/>
        <v>-1.875</v>
      </c>
      <c r="M199" s="96">
        <v>62003</v>
      </c>
      <c r="N199" s="99">
        <f t="shared" si="145"/>
        <v>61911</v>
      </c>
      <c r="O199" s="38">
        <f t="shared" si="146"/>
        <v>62003</v>
      </c>
      <c r="P199" s="88">
        <f t="shared" si="147"/>
        <v>92</v>
      </c>
      <c r="Q199" s="45">
        <v>10000000</v>
      </c>
      <c r="R199" s="105">
        <f t="shared" si="139"/>
        <v>-2.5716767344054745E-3</v>
      </c>
      <c r="S199" s="45">
        <f t="shared" si="148"/>
        <v>-6572.0627657028799</v>
      </c>
      <c r="T199" s="45">
        <f t="shared" si="149"/>
        <v>249.99999999941701</v>
      </c>
      <c r="V199" s="61">
        <f t="shared" si="140"/>
        <v>-17508497.896163397</v>
      </c>
      <c r="W199" s="47">
        <f t="shared" si="141"/>
        <v>-17531906.199726541</v>
      </c>
      <c r="X199" s="107">
        <f t="shared" si="142"/>
        <v>4.7435447737410657E-3</v>
      </c>
      <c r="Y199" s="47">
        <f t="shared" si="143"/>
        <v>-21224.487832247258</v>
      </c>
      <c r="Z199" s="47">
        <f t="shared" si="144"/>
        <v>23408.303563144058</v>
      </c>
      <c r="AN199" s="51"/>
      <c r="AO199" s="42"/>
    </row>
    <row r="200" spans="1:41" x14ac:dyDescent="0.25">
      <c r="A200" s="38">
        <v>62095</v>
      </c>
      <c r="B200" s="22">
        <v>2.4999999999941702E-5</v>
      </c>
      <c r="C200" s="22">
        <v>-6.5720627657062103E-4</v>
      </c>
      <c r="D200" s="22">
        <v>1.07910691090004</v>
      </c>
      <c r="E200" s="22">
        <v>1.2122392199560501E-3</v>
      </c>
      <c r="F200" s="32">
        <v>0.72197708554477702</v>
      </c>
      <c r="G200" s="5">
        <f t="shared" si="134"/>
        <v>50.225000000000001</v>
      </c>
      <c r="H200" s="5">
        <f t="shared" si="136"/>
        <v>-2.3991500309117537E-3</v>
      </c>
      <c r="I200" s="5">
        <f t="shared" si="137"/>
        <v>1.1282210356537297</v>
      </c>
      <c r="J200" s="32">
        <f t="shared" si="135"/>
        <v>1.7555176429138803</v>
      </c>
      <c r="K200" s="22" t="s">
        <v>94</v>
      </c>
      <c r="L200" s="40">
        <f t="shared" si="138"/>
        <v>-1.875</v>
      </c>
      <c r="M200" s="96">
        <v>62095</v>
      </c>
      <c r="N200" s="99">
        <f t="shared" si="145"/>
        <v>62003</v>
      </c>
      <c r="O200" s="38">
        <f t="shared" si="146"/>
        <v>62095</v>
      </c>
      <c r="P200" s="88">
        <f t="shared" si="147"/>
        <v>92</v>
      </c>
      <c r="Q200" s="45">
        <v>10000000</v>
      </c>
      <c r="R200" s="105">
        <f t="shared" si="139"/>
        <v>-2.5716767344067777E-3</v>
      </c>
      <c r="S200" s="45">
        <f t="shared" si="148"/>
        <v>-6572.0627657062105</v>
      </c>
      <c r="T200" s="45">
        <f t="shared" si="149"/>
        <v>249.99999999941701</v>
      </c>
      <c r="V200" s="61">
        <f t="shared" si="140"/>
        <v>-17531906.199726541</v>
      </c>
      <c r="W200" s="47">
        <f t="shared" si="141"/>
        <v>-17555176.429138802</v>
      </c>
      <c r="X200" s="107">
        <f t="shared" si="142"/>
        <v>4.7435447737410657E-3</v>
      </c>
      <c r="Y200" s="47">
        <f t="shared" si="143"/>
        <v>-21252.86429589914</v>
      </c>
      <c r="Z200" s="47">
        <f t="shared" si="144"/>
        <v>23270.229412261397</v>
      </c>
      <c r="AN200" s="51"/>
      <c r="AO200" s="42"/>
    </row>
    <row r="201" spans="1:41" x14ac:dyDescent="0.25">
      <c r="A201" s="38">
        <v>62185</v>
      </c>
      <c r="B201" s="22">
        <v>2.4999999999941702E-5</v>
      </c>
      <c r="C201" s="22">
        <v>-6.4292377735286599E-4</v>
      </c>
      <c r="D201" s="22">
        <v>1.0798547665907501</v>
      </c>
      <c r="E201" s="22">
        <v>1.1858705740375099E-3</v>
      </c>
      <c r="F201" s="32">
        <v>0.72080733925089102</v>
      </c>
      <c r="G201" s="5">
        <f t="shared" si="134"/>
        <v>50.475000000000001</v>
      </c>
      <c r="H201" s="5">
        <f t="shared" si="136"/>
        <v>-2.3806947084790524E-3</v>
      </c>
      <c r="I201" s="5">
        <f t="shared" si="137"/>
        <v>1.127845112010802</v>
      </c>
      <c r="J201" s="32">
        <f t="shared" si="135"/>
        <v>1.7577806576577095</v>
      </c>
      <c r="K201" s="22" t="s">
        <v>94</v>
      </c>
      <c r="L201" s="40">
        <f t="shared" si="138"/>
        <v>-1.875</v>
      </c>
      <c r="M201" s="96">
        <v>62185</v>
      </c>
      <c r="N201" s="99">
        <f t="shared" si="145"/>
        <v>62095</v>
      </c>
      <c r="O201" s="38">
        <f t="shared" si="146"/>
        <v>62185</v>
      </c>
      <c r="P201" s="88">
        <f t="shared" si="147"/>
        <v>90</v>
      </c>
      <c r="Q201" s="45">
        <v>10000000</v>
      </c>
      <c r="R201" s="105">
        <f t="shared" si="139"/>
        <v>-2.571695109411464E-3</v>
      </c>
      <c r="S201" s="45">
        <f t="shared" si="148"/>
        <v>-6429.23777352866</v>
      </c>
      <c r="T201" s="45">
        <f t="shared" si="149"/>
        <v>249.99999999941701</v>
      </c>
      <c r="V201" s="61">
        <f t="shared" si="140"/>
        <v>-17555176.429138802</v>
      </c>
      <c r="W201" s="47">
        <f t="shared" si="141"/>
        <v>-17577806.576577093</v>
      </c>
      <c r="X201" s="107">
        <f t="shared" si="142"/>
        <v>4.7434822961500396E-3</v>
      </c>
      <c r="Y201" s="47">
        <f t="shared" si="143"/>
        <v>-20818.167149352594</v>
      </c>
      <c r="Z201" s="47">
        <f t="shared" si="144"/>
        <v>22630.14743829146</v>
      </c>
      <c r="AN201" s="51"/>
      <c r="AO201" s="42"/>
    </row>
    <row r="202" spans="1:41" x14ac:dyDescent="0.25">
      <c r="A202" s="39">
        <v>62276</v>
      </c>
      <c r="B202" s="11">
        <v>2.4999999999941702E-5</v>
      </c>
      <c r="C202" s="11">
        <v>-6.5006505247699998E-4</v>
      </c>
      <c r="D202" s="11">
        <v>1.08061145874858</v>
      </c>
      <c r="E202" s="11">
        <v>1.19905481018767E-3</v>
      </c>
      <c r="F202" s="33">
        <v>0.71962652268976302</v>
      </c>
      <c r="G202" s="11">
        <f t="shared" si="134"/>
        <v>50.727777777777774</v>
      </c>
      <c r="H202" s="11">
        <f t="shared" si="136"/>
        <v>-2.3620343269082104E-3</v>
      </c>
      <c r="I202" s="11">
        <f t="shared" si="137"/>
        <v>1.1274545554946773</v>
      </c>
      <c r="J202" s="33">
        <f t="shared" si="135"/>
        <v>1.7600552615940126</v>
      </c>
      <c r="K202" s="11" t="s">
        <v>94</v>
      </c>
      <c r="L202" s="41">
        <f t="shared" si="138"/>
        <v>-1.875</v>
      </c>
      <c r="M202" s="95">
        <v>62276</v>
      </c>
      <c r="N202" s="9">
        <f t="shared" si="145"/>
        <v>62185</v>
      </c>
      <c r="O202" s="39">
        <f t="shared" si="146"/>
        <v>62276</v>
      </c>
      <c r="P202" s="87">
        <f t="shared" si="147"/>
        <v>91</v>
      </c>
      <c r="Q202" s="46">
        <v>10000000</v>
      </c>
      <c r="R202" s="106">
        <f t="shared" si="139"/>
        <v>-2.5716859218870326E-3</v>
      </c>
      <c r="S202" s="46">
        <f t="shared" si="148"/>
        <v>-6500.6505247699997</v>
      </c>
      <c r="T202" s="46">
        <f t="shared" si="149"/>
        <v>249.99999999941701</v>
      </c>
      <c r="U202" s="50">
        <f>Q202</f>
        <v>10000000</v>
      </c>
      <c r="V202" s="62">
        <f t="shared" si="140"/>
        <v>-17577806.576577093</v>
      </c>
      <c r="W202" s="46">
        <f t="shared" si="141"/>
        <v>-17600552.615940128</v>
      </c>
      <c r="X202" s="106">
        <f t="shared" si="142"/>
        <v>4.7435135348083647E-3</v>
      </c>
      <c r="Y202" s="46">
        <f t="shared" si="143"/>
        <v>-21076.753528193225</v>
      </c>
      <c r="Z202" s="46">
        <f t="shared" si="144"/>
        <v>22746.03936303407</v>
      </c>
      <c r="AA202" s="50">
        <f>W202</f>
        <v>-17600552.615940128</v>
      </c>
      <c r="AN202" s="51"/>
      <c r="AO202" s="42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A1:BB122"/>
  <sheetViews>
    <sheetView workbookViewId="0">
      <selection activeCell="AO64" sqref="AO64"/>
    </sheetView>
  </sheetViews>
  <sheetFormatPr defaultRowHeight="15" x14ac:dyDescent="0.25"/>
  <cols>
    <col min="1" max="1" width="10.7109375" style="100" bestFit="1" customWidth="1"/>
    <col min="2" max="2" width="12" style="100" bestFit="1" customWidth="1"/>
    <col min="3" max="3" width="11.140625" style="100" bestFit="1" customWidth="1"/>
    <col min="4" max="4" width="5.140625" style="100" bestFit="1" customWidth="1"/>
    <col min="5" max="5" width="13.5703125" style="100" bestFit="1" customWidth="1"/>
    <col min="6" max="6" width="8" style="100" bestFit="1" customWidth="1"/>
    <col min="7" max="8" width="12.7109375" style="120" bestFit="1" customWidth="1"/>
    <col min="9" max="9" width="10.7109375" style="100" bestFit="1" customWidth="1"/>
    <col min="10" max="10" width="10.42578125" style="100" bestFit="1" customWidth="1"/>
    <col min="11" max="11" width="12.7109375" style="120" bestFit="1" customWidth="1"/>
    <col min="12" max="12" width="9" style="100" bestFit="1" customWidth="1"/>
    <col min="13" max="13" width="12.7109375" style="120" bestFit="1" customWidth="1"/>
    <col min="14" max="14" width="9.140625" style="101"/>
    <col min="15" max="18" width="9.140625" style="100" bestFit="1" customWidth="1"/>
    <col min="19" max="19" width="10.5703125" style="120" bestFit="1" customWidth="1"/>
    <col min="20" max="20" width="11.28515625" style="120" bestFit="1" customWidth="1"/>
    <col min="21" max="22" width="9.140625" style="100" bestFit="1" customWidth="1"/>
    <col min="23" max="23" width="11.28515625" style="120" bestFit="1" customWidth="1"/>
    <col min="24" max="24" width="9.140625" style="100" bestFit="1" customWidth="1"/>
    <col min="25" max="25" width="13" style="120" bestFit="1" customWidth="1"/>
    <col min="26" max="26" width="13" style="120" customWidth="1"/>
    <col min="27" max="27" width="10.5703125" bestFit="1" customWidth="1"/>
    <col min="28" max="28" width="10.5703125" style="100" customWidth="1"/>
    <col min="30" max="35" width="11.85546875" style="101" customWidth="1"/>
    <col min="36" max="37" width="14.7109375" style="131" customWidth="1"/>
    <col min="38" max="39" width="11.85546875" style="101" customWidth="1"/>
    <col min="40" max="40" width="14.7109375" style="131" customWidth="1"/>
    <col min="41" max="41" width="11.85546875" style="101" customWidth="1"/>
    <col min="42" max="42" width="14.7109375" style="131" customWidth="1"/>
    <col min="43" max="44" width="14" bestFit="1" customWidth="1"/>
    <col min="45" max="47" width="14" customWidth="1"/>
    <col min="48" max="48" width="14.42578125" style="100" customWidth="1"/>
    <col min="49" max="49" width="15" style="100" customWidth="1"/>
    <col min="50" max="52" width="11.5703125" style="100" customWidth="1"/>
    <col min="53" max="53" width="14.5703125" customWidth="1"/>
    <col min="54" max="54" width="10.7109375" customWidth="1"/>
  </cols>
  <sheetData>
    <row r="1" spans="1:54" x14ac:dyDescent="0.25">
      <c r="A1" s="102" t="s">
        <v>109</v>
      </c>
      <c r="B1" s="102" t="s">
        <v>110</v>
      </c>
      <c r="C1" s="102" t="s">
        <v>111</v>
      </c>
      <c r="D1" s="102" t="s">
        <v>112</v>
      </c>
      <c r="E1" s="102" t="s">
        <v>113</v>
      </c>
      <c r="F1" s="102" t="s">
        <v>114</v>
      </c>
      <c r="G1" s="119" t="s">
        <v>115</v>
      </c>
      <c r="H1" s="119" t="s">
        <v>116</v>
      </c>
      <c r="I1" s="102" t="s">
        <v>117</v>
      </c>
      <c r="J1" s="102" t="s">
        <v>118</v>
      </c>
      <c r="K1" s="119" t="s">
        <v>119</v>
      </c>
      <c r="L1" s="102" t="s">
        <v>120</v>
      </c>
      <c r="M1" s="119" t="s">
        <v>121</v>
      </c>
      <c r="O1" s="102" t="s">
        <v>109</v>
      </c>
      <c r="P1" s="102" t="s">
        <v>110</v>
      </c>
      <c r="Q1" s="102" t="s">
        <v>111</v>
      </c>
      <c r="R1" s="102" t="s">
        <v>112</v>
      </c>
      <c r="S1" s="119" t="s">
        <v>115</v>
      </c>
      <c r="T1" s="119" t="s">
        <v>116</v>
      </c>
      <c r="U1" s="102" t="s">
        <v>117</v>
      </c>
      <c r="V1" s="102" t="s">
        <v>118</v>
      </c>
      <c r="W1" s="119" t="s">
        <v>119</v>
      </c>
      <c r="X1" s="102" t="s">
        <v>120</v>
      </c>
      <c r="Y1" s="119" t="s">
        <v>121</v>
      </c>
      <c r="Z1" s="100"/>
      <c r="AA1" s="119" t="s">
        <v>397</v>
      </c>
      <c r="AC1" s="127" t="s">
        <v>394</v>
      </c>
      <c r="AD1" s="128" t="s">
        <v>109</v>
      </c>
      <c r="AE1" s="128" t="s">
        <v>110</v>
      </c>
      <c r="AF1" s="128" t="s">
        <v>111</v>
      </c>
      <c r="AG1" s="128" t="s">
        <v>112</v>
      </c>
      <c r="AH1" s="128" t="s">
        <v>113</v>
      </c>
      <c r="AI1" s="128" t="s">
        <v>114</v>
      </c>
      <c r="AJ1" s="130" t="s">
        <v>115</v>
      </c>
      <c r="AK1" s="130" t="s">
        <v>116</v>
      </c>
      <c r="AL1" s="128" t="s">
        <v>117</v>
      </c>
      <c r="AM1" s="128" t="s">
        <v>118</v>
      </c>
      <c r="AN1" s="130" t="s">
        <v>119</v>
      </c>
      <c r="AO1" s="128" t="s">
        <v>120</v>
      </c>
      <c r="AP1" s="130" t="s">
        <v>121</v>
      </c>
      <c r="AQ1" s="132" t="s">
        <v>391</v>
      </c>
      <c r="AR1" s="132" t="s">
        <v>418</v>
      </c>
      <c r="AS1" s="132" t="s">
        <v>392</v>
      </c>
      <c r="AT1" s="132" t="s">
        <v>393</v>
      </c>
      <c r="AW1" s="138" t="s">
        <v>404</v>
      </c>
      <c r="AX1" s="132" t="s">
        <v>407</v>
      </c>
      <c r="BA1" t="s">
        <v>396</v>
      </c>
      <c r="BB1" s="139">
        <f>SUMPRODUCT(AO2:AO10,AS2:AS10)</f>
        <v>-50568.782132659107</v>
      </c>
    </row>
    <row r="2" spans="1:54" x14ac:dyDescent="0.25">
      <c r="A2" s="100" t="s">
        <v>122</v>
      </c>
      <c r="H2" s="120">
        <v>11234000</v>
      </c>
      <c r="K2" s="120">
        <v>11234000</v>
      </c>
      <c r="L2" s="100">
        <v>0.99999400000000005</v>
      </c>
      <c r="M2" s="120">
        <v>11233937.59</v>
      </c>
      <c r="O2" s="100" t="s">
        <v>122</v>
      </c>
      <c r="T2" s="120">
        <v>-10000000</v>
      </c>
      <c r="W2" s="120">
        <v>-10000000</v>
      </c>
      <c r="X2" s="100">
        <v>1.00004</v>
      </c>
      <c r="Y2" s="120">
        <v>-10000397.32</v>
      </c>
      <c r="AA2" s="135">
        <f>G3/$T$2</f>
        <v>1.1234</v>
      </c>
      <c r="AD2" s="101" t="str">
        <f>A2</f>
        <v>07/02/2020</v>
      </c>
      <c r="AK2" s="131">
        <f t="shared" ref="AE2:AP10" si="0">H2</f>
        <v>11234000</v>
      </c>
      <c r="AN2" s="131">
        <f t="shared" si="0"/>
        <v>11234000</v>
      </c>
      <c r="AO2" s="101">
        <f t="shared" si="0"/>
        <v>0.99999400000000005</v>
      </c>
      <c r="AP2" s="131">
        <f t="shared" si="0"/>
        <v>11233937.59</v>
      </c>
      <c r="AR2" s="133">
        <f>AK2</f>
        <v>11234000</v>
      </c>
      <c r="AS2" s="133">
        <f>AK2</f>
        <v>11234000</v>
      </c>
      <c r="AT2" s="133">
        <f t="shared" ref="AT2:AT10" si="1">AO2*AS2</f>
        <v>11233932.596000001</v>
      </c>
      <c r="AU2" s="133">
        <f>PRICER_EUR!AA2</f>
        <v>11234000</v>
      </c>
      <c r="AV2" s="133">
        <f>PRICER_EUR!AA2+PRICER_EUR!Z2+PRICER_EUR!Y2</f>
        <v>11234000</v>
      </c>
      <c r="AW2" s="148" t="s">
        <v>416</v>
      </c>
      <c r="AX2" s="140">
        <f>SUMPRODUCT($AQ$2:$AQ$10,$AO$2:$AO$10)</f>
        <v>-51118.945583249995</v>
      </c>
      <c r="BA2" s="100" t="s">
        <v>397</v>
      </c>
      <c r="BB2" s="146">
        <f>AK2/-AL14</f>
        <v>1.1234</v>
      </c>
    </row>
    <row r="3" spans="1:54" x14ac:dyDescent="0.25">
      <c r="A3" s="100" t="s">
        <v>123</v>
      </c>
      <c r="B3" s="100" t="s">
        <v>122</v>
      </c>
      <c r="C3" s="100" t="s">
        <v>123</v>
      </c>
      <c r="D3" s="100">
        <v>92</v>
      </c>
      <c r="E3" s="100" t="s">
        <v>124</v>
      </c>
      <c r="F3" s="100">
        <v>0.89015</v>
      </c>
      <c r="G3" s="120">
        <v>-11234000</v>
      </c>
      <c r="H3" s="120">
        <v>22957.52</v>
      </c>
      <c r="I3" s="100" t="s">
        <v>124</v>
      </c>
      <c r="J3" s="100">
        <v>0.30199999999999999</v>
      </c>
      <c r="K3" s="120">
        <v>14287.37</v>
      </c>
      <c r="L3" s="100">
        <v>0.99982899999999997</v>
      </c>
      <c r="M3" s="120">
        <v>14284.93</v>
      </c>
      <c r="O3" s="100" t="s">
        <v>123</v>
      </c>
      <c r="P3" s="100" t="s">
        <v>122</v>
      </c>
      <c r="Q3" s="100" t="s">
        <v>123</v>
      </c>
      <c r="R3" s="100">
        <v>92</v>
      </c>
      <c r="S3" s="120">
        <v>10000000</v>
      </c>
      <c r="T3" s="120">
        <v>0</v>
      </c>
      <c r="U3" s="100" t="s">
        <v>124</v>
      </c>
      <c r="V3" s="100">
        <v>-0.42199999999999999</v>
      </c>
      <c r="W3" s="120">
        <v>-13878.66</v>
      </c>
      <c r="X3" s="100">
        <v>1.001916</v>
      </c>
      <c r="Y3" s="120">
        <v>-13905.25</v>
      </c>
      <c r="AA3" s="135">
        <f t="shared" ref="AA3:AA66" si="2">G4/$T$2</f>
        <v>1.1256957519999999</v>
      </c>
      <c r="AB3" s="145"/>
      <c r="AD3" s="101" t="str">
        <f t="shared" ref="AD3:AD10" si="3">A3</f>
        <v>10/02/2020</v>
      </c>
      <c r="AE3" s="101" t="str">
        <f t="shared" si="0"/>
        <v>07/02/2020</v>
      </c>
      <c r="AF3" s="101" t="str">
        <f t="shared" si="0"/>
        <v>10/02/2020</v>
      </c>
      <c r="AG3" s="101">
        <f t="shared" si="0"/>
        <v>92</v>
      </c>
      <c r="AH3" s="101" t="str">
        <f t="shared" si="0"/>
        <v>06/30/2020</v>
      </c>
      <c r="AI3" s="101">
        <f t="shared" si="0"/>
        <v>0.89015</v>
      </c>
      <c r="AJ3" s="131">
        <f t="shared" si="0"/>
        <v>-11234000</v>
      </c>
      <c r="AK3" s="131">
        <f t="shared" si="0"/>
        <v>22957.52</v>
      </c>
      <c r="AL3" s="101" t="str">
        <f t="shared" si="0"/>
        <v>06/30/2020</v>
      </c>
      <c r="AM3" s="101">
        <f t="shared" si="0"/>
        <v>0.30199999999999999</v>
      </c>
      <c r="AN3" s="131">
        <f t="shared" si="0"/>
        <v>14287.37</v>
      </c>
      <c r="AO3" s="101">
        <f t="shared" si="0"/>
        <v>0.99982899999999997</v>
      </c>
      <c r="AP3" s="131">
        <f t="shared" si="0"/>
        <v>14284.93</v>
      </c>
      <c r="AQ3" s="133">
        <f>AN3-AK3</f>
        <v>-8670.15</v>
      </c>
      <c r="AR3" s="133">
        <f>AK3</f>
        <v>22957.52</v>
      </c>
      <c r="AS3" s="133">
        <f t="shared" ref="AS3:AS9" si="4">AK3+AQ3</f>
        <v>14287.37</v>
      </c>
      <c r="AT3" s="133">
        <f t="shared" si="1"/>
        <v>14284.92685973</v>
      </c>
      <c r="AU3" s="133">
        <f>PRICER_EUR!Z3</f>
        <v>22940</v>
      </c>
      <c r="AV3" s="133">
        <f>PRICER_EUR!AA3+PRICER_EUR!Z3+PRICER_EUR!Y3</f>
        <v>14269.848444449013</v>
      </c>
      <c r="AW3" s="148" t="s">
        <v>417</v>
      </c>
      <c r="AX3" s="140">
        <f>SUMPRODUCT($AR$2:$AR$10,$AO$2:$AO$10)</f>
        <v>550.1634505931288</v>
      </c>
      <c r="BA3" s="100" t="s">
        <v>400</v>
      </c>
      <c r="BB3" s="139">
        <f>SUMPRODUCT(AM14:AM22,AO14:AO22)</f>
        <v>44997.084741812199</v>
      </c>
    </row>
    <row r="4" spans="1:54" x14ac:dyDescent="0.25">
      <c r="A4" s="100" t="s">
        <v>125</v>
      </c>
      <c r="B4" s="100" t="s">
        <v>123</v>
      </c>
      <c r="C4" s="100" t="s">
        <v>125</v>
      </c>
      <c r="D4" s="100">
        <v>94</v>
      </c>
      <c r="E4" s="100" t="s">
        <v>126</v>
      </c>
      <c r="F4" s="100">
        <v>0.88834000000000002</v>
      </c>
      <c r="G4" s="120">
        <v>-11256957.52</v>
      </c>
      <c r="H4" s="120">
        <v>26698.69</v>
      </c>
      <c r="I4" s="100" t="s">
        <v>126</v>
      </c>
      <c r="J4" s="100">
        <v>0.26280999999999999</v>
      </c>
      <c r="K4" s="120">
        <v>18973.89</v>
      </c>
      <c r="L4" s="100">
        <v>0.99968400000000002</v>
      </c>
      <c r="M4" s="120">
        <v>18967.88</v>
      </c>
      <c r="O4" s="100" t="s">
        <v>125</v>
      </c>
      <c r="P4" s="100" t="s">
        <v>123</v>
      </c>
      <c r="Q4" s="100" t="s">
        <v>125</v>
      </c>
      <c r="R4" s="100">
        <v>94</v>
      </c>
      <c r="S4" s="120">
        <v>10000000</v>
      </c>
      <c r="T4" s="120">
        <v>0</v>
      </c>
      <c r="U4" s="100" t="s">
        <v>126</v>
      </c>
      <c r="V4" s="100">
        <v>-0.46875</v>
      </c>
      <c r="W4" s="120">
        <v>-15401.1</v>
      </c>
      <c r="X4" s="100">
        <v>1.0042439999999999</v>
      </c>
      <c r="Y4" s="120">
        <v>-15466.46</v>
      </c>
      <c r="AA4" s="135">
        <f t="shared" si="2"/>
        <v>1.1283656210000002</v>
      </c>
      <c r="AB4" s="145"/>
      <c r="AD4" s="101" t="str">
        <f t="shared" si="3"/>
        <v>01/04/2021</v>
      </c>
      <c r="AE4" s="101" t="str">
        <f t="shared" si="0"/>
        <v>10/02/2020</v>
      </c>
      <c r="AF4" s="101" t="str">
        <f t="shared" si="0"/>
        <v>01/04/2021</v>
      </c>
      <c r="AG4" s="101">
        <f t="shared" si="0"/>
        <v>94</v>
      </c>
      <c r="AH4" s="101" t="str">
        <f t="shared" si="0"/>
        <v>09/30/2020</v>
      </c>
      <c r="AI4" s="101">
        <f t="shared" si="0"/>
        <v>0.88834000000000002</v>
      </c>
      <c r="AJ4" s="131">
        <f t="shared" si="0"/>
        <v>-11256957.52</v>
      </c>
      <c r="AK4" s="131">
        <f t="shared" si="0"/>
        <v>26698.69</v>
      </c>
      <c r="AL4" s="101" t="str">
        <f t="shared" si="0"/>
        <v>09/30/2020</v>
      </c>
      <c r="AM4" s="101">
        <f t="shared" si="0"/>
        <v>0.26280999999999999</v>
      </c>
      <c r="AN4" s="131">
        <f t="shared" si="0"/>
        <v>18973.89</v>
      </c>
      <c r="AO4" s="101">
        <f t="shared" si="0"/>
        <v>0.99968400000000002</v>
      </c>
      <c r="AP4" s="131">
        <f t="shared" si="0"/>
        <v>18967.88</v>
      </c>
      <c r="AQ4" s="133">
        <f t="shared" ref="AQ4:AQ10" si="5">AN4-AK4</f>
        <v>-7724.7999999999993</v>
      </c>
      <c r="AR4" s="133">
        <f t="shared" ref="AR4:AR9" si="6">AK4</f>
        <v>26698.69</v>
      </c>
      <c r="AS4" s="133">
        <f t="shared" si="4"/>
        <v>18973.89</v>
      </c>
      <c r="AT4" s="133">
        <f t="shared" si="1"/>
        <v>18967.89425076</v>
      </c>
      <c r="AU4" s="133">
        <f>PRICER_EUR!Z4</f>
        <v>27900</v>
      </c>
      <c r="AV4" s="133">
        <f>PRICER_EUR!AA4+PRICER_EUR!Z4+PRICER_EUR!Y4</f>
        <v>19796.316509667246</v>
      </c>
      <c r="AW4" s="148" t="s">
        <v>398</v>
      </c>
      <c r="AX4" s="140">
        <f>AX2+AX3</f>
        <v>-50568.782132656866</v>
      </c>
      <c r="BA4" s="100" t="s">
        <v>401</v>
      </c>
      <c r="BB4" s="139">
        <f>BB1+BB2*BB3</f>
        <v>-19.057133707283356</v>
      </c>
    </row>
    <row r="5" spans="1:54" x14ac:dyDescent="0.25">
      <c r="A5" s="100" t="s">
        <v>127</v>
      </c>
      <c r="B5" s="100" t="s">
        <v>125</v>
      </c>
      <c r="C5" s="100" t="s">
        <v>127</v>
      </c>
      <c r="D5" s="100">
        <v>92</v>
      </c>
      <c r="E5" s="100" t="s">
        <v>128</v>
      </c>
      <c r="F5" s="100">
        <v>0.88624000000000003</v>
      </c>
      <c r="G5" s="120">
        <v>-11283656.210000001</v>
      </c>
      <c r="H5" s="120">
        <v>23352.57</v>
      </c>
      <c r="I5" s="100" t="s">
        <v>128</v>
      </c>
      <c r="J5" s="100">
        <v>0.27339999999999998</v>
      </c>
      <c r="K5" s="120">
        <v>15468.69</v>
      </c>
      <c r="L5" s="100">
        <v>0.99966699999999997</v>
      </c>
      <c r="M5" s="120">
        <v>15463.55</v>
      </c>
      <c r="O5" s="100" t="s">
        <v>127</v>
      </c>
      <c r="P5" s="100" t="s">
        <v>125</v>
      </c>
      <c r="Q5" s="100" t="s">
        <v>127</v>
      </c>
      <c r="R5" s="100">
        <v>92</v>
      </c>
      <c r="S5" s="120">
        <v>10000000</v>
      </c>
      <c r="T5" s="120">
        <v>0</v>
      </c>
      <c r="U5" s="100" t="s">
        <v>128</v>
      </c>
      <c r="V5" s="100">
        <v>-0.45607999999999999</v>
      </c>
      <c r="W5" s="120">
        <v>-14749.71</v>
      </c>
      <c r="X5" s="100">
        <v>1.0062960000000001</v>
      </c>
      <c r="Y5" s="120">
        <v>-14842.57</v>
      </c>
      <c r="AA5" s="135">
        <f t="shared" si="2"/>
        <v>1.1307008779999999</v>
      </c>
      <c r="AB5" s="145"/>
      <c r="AD5" s="101" t="str">
        <f t="shared" si="3"/>
        <v>04/06/2021</v>
      </c>
      <c r="AE5" s="101" t="str">
        <f t="shared" si="0"/>
        <v>01/04/2021</v>
      </c>
      <c r="AF5" s="101" t="str">
        <f t="shared" si="0"/>
        <v>04/06/2021</v>
      </c>
      <c r="AG5" s="101">
        <f t="shared" si="0"/>
        <v>92</v>
      </c>
      <c r="AH5" s="101" t="str">
        <f t="shared" si="0"/>
        <v>12/30/2020</v>
      </c>
      <c r="AI5" s="101">
        <f t="shared" si="0"/>
        <v>0.88624000000000003</v>
      </c>
      <c r="AJ5" s="131">
        <f t="shared" si="0"/>
        <v>-11283656.210000001</v>
      </c>
      <c r="AK5" s="131">
        <f t="shared" si="0"/>
        <v>23352.57</v>
      </c>
      <c r="AL5" s="101" t="str">
        <f t="shared" si="0"/>
        <v>12/30/2020</v>
      </c>
      <c r="AM5" s="101">
        <f t="shared" si="0"/>
        <v>0.27339999999999998</v>
      </c>
      <c r="AN5" s="131">
        <f t="shared" si="0"/>
        <v>15468.69</v>
      </c>
      <c r="AO5" s="101">
        <f t="shared" si="0"/>
        <v>0.99966699999999997</v>
      </c>
      <c r="AP5" s="131">
        <f t="shared" si="0"/>
        <v>15463.55</v>
      </c>
      <c r="AQ5" s="133">
        <f t="shared" si="5"/>
        <v>-7883.8799999999992</v>
      </c>
      <c r="AR5" s="133">
        <f t="shared" si="6"/>
        <v>23352.57</v>
      </c>
      <c r="AS5" s="133">
        <f t="shared" si="4"/>
        <v>15468.69</v>
      </c>
      <c r="AT5" s="133">
        <f t="shared" si="1"/>
        <v>15463.53892623</v>
      </c>
      <c r="AU5" s="133">
        <f>PRICER_EUR!Z5</f>
        <v>23410.000000001863</v>
      </c>
      <c r="AV5" s="133">
        <f>PRICER_EUR!AA5+PRICER_EUR!Z5+PRICER_EUR!Y5</f>
        <v>15378.328597780399</v>
      </c>
    </row>
    <row r="6" spans="1:54" x14ac:dyDescent="0.25">
      <c r="A6" s="100" t="s">
        <v>129</v>
      </c>
      <c r="B6" s="100" t="s">
        <v>127</v>
      </c>
      <c r="C6" s="100" t="s">
        <v>129</v>
      </c>
      <c r="D6" s="100">
        <v>87</v>
      </c>
      <c r="E6" s="100" t="s">
        <v>130</v>
      </c>
      <c r="F6" s="100">
        <v>0.88441000000000003</v>
      </c>
      <c r="G6" s="120">
        <v>-11307008.779999999</v>
      </c>
      <c r="H6" s="120">
        <v>23790.2</v>
      </c>
      <c r="I6" s="100" t="s">
        <v>130</v>
      </c>
      <c r="J6" s="100">
        <v>0.19270000000000001</v>
      </c>
      <c r="K6" s="120">
        <v>18524.62</v>
      </c>
      <c r="L6" s="100">
        <v>0.99967300000000003</v>
      </c>
      <c r="M6" s="120">
        <v>18518.57</v>
      </c>
      <c r="O6" s="100" t="s">
        <v>129</v>
      </c>
      <c r="P6" s="100" t="s">
        <v>127</v>
      </c>
      <c r="Q6" s="100" t="s">
        <v>129</v>
      </c>
      <c r="R6" s="100">
        <v>87</v>
      </c>
      <c r="S6" s="120">
        <v>10000000</v>
      </c>
      <c r="T6" s="120">
        <v>0</v>
      </c>
      <c r="U6" s="100" t="s">
        <v>130</v>
      </c>
      <c r="V6" s="100">
        <v>-0.48375000000000001</v>
      </c>
      <c r="W6" s="120">
        <v>-14616.68</v>
      </c>
      <c r="X6" s="100">
        <v>1.0083329999999999</v>
      </c>
      <c r="Y6" s="120">
        <v>-14738.49</v>
      </c>
      <c r="AA6" s="135">
        <f t="shared" si="2"/>
        <v>1.1330798989999999</v>
      </c>
      <c r="AB6" s="145"/>
      <c r="AD6" s="101" t="str">
        <f t="shared" si="3"/>
        <v>07/02/2021</v>
      </c>
      <c r="AE6" s="101" t="str">
        <f t="shared" si="0"/>
        <v>04/06/2021</v>
      </c>
      <c r="AF6" s="101" t="str">
        <f t="shared" si="0"/>
        <v>07/02/2021</v>
      </c>
      <c r="AG6" s="101">
        <f t="shared" si="0"/>
        <v>87</v>
      </c>
      <c r="AH6" s="101" t="str">
        <f t="shared" si="0"/>
        <v>03/31/2021</v>
      </c>
      <c r="AI6" s="101">
        <f t="shared" si="0"/>
        <v>0.88441000000000003</v>
      </c>
      <c r="AJ6" s="131">
        <f t="shared" si="0"/>
        <v>-11307008.779999999</v>
      </c>
      <c r="AK6" s="131">
        <f t="shared" si="0"/>
        <v>23790.2</v>
      </c>
      <c r="AL6" s="101" t="str">
        <f t="shared" si="0"/>
        <v>03/31/2021</v>
      </c>
      <c r="AM6" s="101">
        <f t="shared" si="0"/>
        <v>0.19270000000000001</v>
      </c>
      <c r="AN6" s="131">
        <f t="shared" si="0"/>
        <v>18524.62</v>
      </c>
      <c r="AO6" s="101">
        <f t="shared" si="0"/>
        <v>0.99967300000000003</v>
      </c>
      <c r="AP6" s="131">
        <f t="shared" si="0"/>
        <v>18518.57</v>
      </c>
      <c r="AQ6" s="133">
        <f t="shared" si="5"/>
        <v>-5265.5800000000017</v>
      </c>
      <c r="AR6" s="133">
        <f t="shared" si="6"/>
        <v>23790.2</v>
      </c>
      <c r="AS6" s="133">
        <f t="shared" si="4"/>
        <v>18524.62</v>
      </c>
      <c r="AT6" s="133">
        <f t="shared" si="1"/>
        <v>18518.56244926</v>
      </c>
      <c r="AU6" s="133">
        <f>PRICER_EUR!Z6</f>
        <v>22179.999999998137</v>
      </c>
      <c r="AV6" s="133">
        <f>PRICER_EUR!AA6+PRICER_EUR!Z6+PRICER_EUR!Y6</f>
        <v>16990.33911822021</v>
      </c>
    </row>
    <row r="7" spans="1:54" x14ac:dyDescent="0.25">
      <c r="A7" s="100" t="s">
        <v>131</v>
      </c>
      <c r="B7" s="100" t="s">
        <v>129</v>
      </c>
      <c r="C7" s="100" t="s">
        <v>131</v>
      </c>
      <c r="D7" s="100">
        <v>94</v>
      </c>
      <c r="E7" s="100" t="s">
        <v>132</v>
      </c>
      <c r="F7" s="100">
        <v>0.88254999999999995</v>
      </c>
      <c r="G7" s="120">
        <v>-11330798.99</v>
      </c>
      <c r="H7" s="120">
        <v>24741.5</v>
      </c>
      <c r="I7" s="100" t="s">
        <v>132</v>
      </c>
      <c r="J7" s="100">
        <v>0.17496999999999999</v>
      </c>
      <c r="K7" s="120">
        <v>19564.97</v>
      </c>
      <c r="L7" s="100">
        <v>0.99970999999999999</v>
      </c>
      <c r="M7" s="120">
        <v>19559.28</v>
      </c>
      <c r="O7" s="100" t="s">
        <v>131</v>
      </c>
      <c r="P7" s="100" t="s">
        <v>129</v>
      </c>
      <c r="Q7" s="100" t="s">
        <v>131</v>
      </c>
      <c r="R7" s="100">
        <v>94</v>
      </c>
      <c r="S7" s="120">
        <v>10000000</v>
      </c>
      <c r="T7" s="120">
        <v>0</v>
      </c>
      <c r="U7" s="100" t="s">
        <v>132</v>
      </c>
      <c r="V7" s="100">
        <v>-0.49634</v>
      </c>
      <c r="W7" s="120">
        <v>-16121.46</v>
      </c>
      <c r="X7" s="100">
        <v>1.010621</v>
      </c>
      <c r="Y7" s="120">
        <v>-16292.69</v>
      </c>
      <c r="AA7" s="135">
        <f t="shared" si="2"/>
        <v>1.135554049</v>
      </c>
      <c r="AB7" s="145"/>
      <c r="AD7" s="101" t="str">
        <f t="shared" si="3"/>
        <v>10/04/2021</v>
      </c>
      <c r="AE7" s="101" t="str">
        <f t="shared" si="0"/>
        <v>07/02/2021</v>
      </c>
      <c r="AF7" s="101" t="str">
        <f t="shared" si="0"/>
        <v>10/04/2021</v>
      </c>
      <c r="AG7" s="101">
        <f t="shared" si="0"/>
        <v>94</v>
      </c>
      <c r="AH7" s="101" t="str">
        <f t="shared" si="0"/>
        <v>06/30/2021</v>
      </c>
      <c r="AI7" s="101">
        <f t="shared" si="0"/>
        <v>0.88254999999999995</v>
      </c>
      <c r="AJ7" s="131">
        <f t="shared" si="0"/>
        <v>-11330798.99</v>
      </c>
      <c r="AK7" s="131">
        <f t="shared" si="0"/>
        <v>24741.5</v>
      </c>
      <c r="AL7" s="101" t="str">
        <f t="shared" si="0"/>
        <v>06/30/2021</v>
      </c>
      <c r="AM7" s="101">
        <f t="shared" si="0"/>
        <v>0.17496999999999999</v>
      </c>
      <c r="AN7" s="131">
        <f t="shared" si="0"/>
        <v>19564.97</v>
      </c>
      <c r="AO7" s="101">
        <f t="shared" si="0"/>
        <v>0.99970999999999999</v>
      </c>
      <c r="AP7" s="131">
        <f t="shared" si="0"/>
        <v>19559.28</v>
      </c>
      <c r="AQ7" s="133">
        <f t="shared" si="5"/>
        <v>-5176.5299999999988</v>
      </c>
      <c r="AR7" s="133">
        <f t="shared" si="6"/>
        <v>24741.5</v>
      </c>
      <c r="AS7" s="133">
        <f t="shared" si="4"/>
        <v>19564.97</v>
      </c>
      <c r="AT7" s="133">
        <f t="shared" si="1"/>
        <v>19559.296158700003</v>
      </c>
      <c r="AU7" s="133">
        <f>PRICER_EUR!Z7</f>
        <v>24820.000000001863</v>
      </c>
      <c r="AV7" s="133">
        <f>PRICER_EUR!AA7+PRICER_EUR!Z7+PRICER_EUR!Y7</f>
        <v>19330.87049027106</v>
      </c>
    </row>
    <row r="8" spans="1:54" x14ac:dyDescent="0.25">
      <c r="A8" s="100" t="s">
        <v>133</v>
      </c>
      <c r="B8" s="100" t="s">
        <v>131</v>
      </c>
      <c r="C8" s="100" t="s">
        <v>133</v>
      </c>
      <c r="D8" s="100">
        <v>92</v>
      </c>
      <c r="E8" s="100" t="s">
        <v>134</v>
      </c>
      <c r="F8" s="100">
        <v>0.88063000000000002</v>
      </c>
      <c r="G8" s="120">
        <v>-11355540.49</v>
      </c>
      <c r="H8" s="120">
        <v>24635.53</v>
      </c>
      <c r="I8" s="100" t="s">
        <v>134</v>
      </c>
      <c r="J8" s="100">
        <v>0.17412</v>
      </c>
      <c r="K8" s="120">
        <v>19582.68</v>
      </c>
      <c r="L8" s="100">
        <v>0.99979200000000001</v>
      </c>
      <c r="M8" s="120">
        <v>19578.62</v>
      </c>
      <c r="O8" s="100" t="s">
        <v>133</v>
      </c>
      <c r="P8" s="100" t="s">
        <v>131</v>
      </c>
      <c r="Q8" s="100" t="s">
        <v>133</v>
      </c>
      <c r="R8" s="100">
        <v>92</v>
      </c>
      <c r="S8" s="120">
        <v>10000000</v>
      </c>
      <c r="T8" s="120">
        <v>0</v>
      </c>
      <c r="U8" s="100" t="s">
        <v>134</v>
      </c>
      <c r="V8" s="100">
        <v>-0.49580999999999997</v>
      </c>
      <c r="W8" s="120">
        <v>-15764.98</v>
      </c>
      <c r="X8" s="100">
        <v>1.012923</v>
      </c>
      <c r="Y8" s="120">
        <v>-15968.7</v>
      </c>
      <c r="AA8" s="135">
        <f t="shared" si="2"/>
        <v>1.1380176019999999</v>
      </c>
      <c r="AB8" s="145"/>
      <c r="AD8" s="101" t="str">
        <f t="shared" si="3"/>
        <v>01/04/2022</v>
      </c>
      <c r="AE8" s="101" t="str">
        <f t="shared" si="0"/>
        <v>10/04/2021</v>
      </c>
      <c r="AF8" s="101" t="str">
        <f t="shared" si="0"/>
        <v>01/04/2022</v>
      </c>
      <c r="AG8" s="101">
        <f t="shared" si="0"/>
        <v>92</v>
      </c>
      <c r="AH8" s="101" t="str">
        <f t="shared" si="0"/>
        <v>09/30/2021</v>
      </c>
      <c r="AI8" s="101">
        <f t="shared" si="0"/>
        <v>0.88063000000000002</v>
      </c>
      <c r="AJ8" s="131">
        <f t="shared" si="0"/>
        <v>-11355540.49</v>
      </c>
      <c r="AK8" s="131">
        <f t="shared" si="0"/>
        <v>24635.53</v>
      </c>
      <c r="AL8" s="101" t="str">
        <f t="shared" si="0"/>
        <v>09/30/2021</v>
      </c>
      <c r="AM8" s="101">
        <f t="shared" si="0"/>
        <v>0.17412</v>
      </c>
      <c r="AN8" s="131">
        <f t="shared" si="0"/>
        <v>19582.68</v>
      </c>
      <c r="AO8" s="101">
        <f t="shared" si="0"/>
        <v>0.99979200000000001</v>
      </c>
      <c r="AP8" s="131">
        <f t="shared" si="0"/>
        <v>19578.62</v>
      </c>
      <c r="AQ8" s="133">
        <f t="shared" si="5"/>
        <v>-5052.8499999999985</v>
      </c>
      <c r="AR8" s="133">
        <f t="shared" si="6"/>
        <v>24635.53</v>
      </c>
      <c r="AS8" s="133">
        <f t="shared" si="4"/>
        <v>19582.68</v>
      </c>
      <c r="AT8" s="133">
        <f t="shared" si="1"/>
        <v>19578.60680256</v>
      </c>
      <c r="AU8" s="133">
        <f>PRICER_EUR!Z8</f>
        <v>25239.999999998137</v>
      </c>
      <c r="AV8" s="133">
        <f>PRICER_EUR!AA8+PRICER_EUR!Z8+PRICER_EUR!Y8</f>
        <v>19967.09645452967</v>
      </c>
    </row>
    <row r="9" spans="1:54" x14ac:dyDescent="0.25">
      <c r="A9" s="100" t="s">
        <v>135</v>
      </c>
      <c r="B9" s="100" t="s">
        <v>133</v>
      </c>
      <c r="C9" s="100" t="s">
        <v>135</v>
      </c>
      <c r="D9" s="100">
        <v>90</v>
      </c>
      <c r="E9" s="100" t="s">
        <v>136</v>
      </c>
      <c r="F9" s="100">
        <v>0.87871999999999995</v>
      </c>
      <c r="G9" s="120">
        <v>-11380176.02</v>
      </c>
      <c r="H9" s="120">
        <v>25339.439999999999</v>
      </c>
      <c r="I9" s="100" t="s">
        <v>136</v>
      </c>
      <c r="J9" s="100">
        <v>0.19459000000000001</v>
      </c>
      <c r="K9" s="120">
        <v>19803.400000000001</v>
      </c>
      <c r="L9" s="100">
        <v>0.99985299999999999</v>
      </c>
      <c r="M9" s="120">
        <v>19800.5</v>
      </c>
      <c r="O9" s="100" t="s">
        <v>135</v>
      </c>
      <c r="P9" s="100" t="s">
        <v>133</v>
      </c>
      <c r="Q9" s="100" t="s">
        <v>135</v>
      </c>
      <c r="R9" s="100">
        <v>90</v>
      </c>
      <c r="S9" s="120">
        <v>10000000</v>
      </c>
      <c r="T9" s="120">
        <v>0</v>
      </c>
      <c r="U9" s="100" t="s">
        <v>137</v>
      </c>
      <c r="V9" s="100">
        <v>-0.49130000000000001</v>
      </c>
      <c r="W9" s="120">
        <v>-15309.48</v>
      </c>
      <c r="X9" s="100">
        <v>1.015218</v>
      </c>
      <c r="Y9" s="120">
        <v>-15542.47</v>
      </c>
      <c r="AA9" s="135">
        <f t="shared" si="2"/>
        <v>1.1405515460000002</v>
      </c>
      <c r="AB9" s="145"/>
      <c r="AD9" s="101" t="str">
        <f t="shared" si="3"/>
        <v>04/04/2022</v>
      </c>
      <c r="AE9" s="101" t="str">
        <f t="shared" si="0"/>
        <v>01/04/2022</v>
      </c>
      <c r="AF9" s="101" t="str">
        <f t="shared" si="0"/>
        <v>04/04/2022</v>
      </c>
      <c r="AG9" s="101">
        <f t="shared" si="0"/>
        <v>90</v>
      </c>
      <c r="AH9" s="101" t="str">
        <f t="shared" si="0"/>
        <v>12/30/2021</v>
      </c>
      <c r="AI9" s="101">
        <f t="shared" si="0"/>
        <v>0.87871999999999995</v>
      </c>
      <c r="AJ9" s="131">
        <f t="shared" si="0"/>
        <v>-11380176.02</v>
      </c>
      <c r="AK9" s="131">
        <f t="shared" si="0"/>
        <v>25339.439999999999</v>
      </c>
      <c r="AL9" s="101" t="str">
        <f t="shared" si="0"/>
        <v>12/30/2021</v>
      </c>
      <c r="AM9" s="101">
        <f t="shared" si="0"/>
        <v>0.19459000000000001</v>
      </c>
      <c r="AN9" s="131">
        <f t="shared" si="0"/>
        <v>19803.400000000001</v>
      </c>
      <c r="AO9" s="101">
        <f t="shared" si="0"/>
        <v>0.99985299999999999</v>
      </c>
      <c r="AP9" s="131">
        <f t="shared" si="0"/>
        <v>19800.5</v>
      </c>
      <c r="AQ9" s="133">
        <f t="shared" si="5"/>
        <v>-5536.0399999999972</v>
      </c>
      <c r="AR9" s="133">
        <f t="shared" si="6"/>
        <v>25339.439999999999</v>
      </c>
      <c r="AS9" s="133">
        <f t="shared" si="4"/>
        <v>19803.400000000001</v>
      </c>
      <c r="AT9" s="133">
        <f t="shared" si="1"/>
        <v>19800.488900200002</v>
      </c>
      <c r="AU9" s="133">
        <f>PRICER_EUR!Z9</f>
        <v>25210</v>
      </c>
      <c r="AV9" s="133">
        <f>PRICER_EUR!AA9+PRICER_EUR!Z9+PRICER_EUR!Y9</f>
        <v>20040.285272106114</v>
      </c>
    </row>
    <row r="10" spans="1:54" x14ac:dyDescent="0.25">
      <c r="A10" s="100" t="s">
        <v>138</v>
      </c>
      <c r="B10" s="100" t="s">
        <v>135</v>
      </c>
      <c r="C10" s="100" t="s">
        <v>138</v>
      </c>
      <c r="D10" s="100">
        <v>92</v>
      </c>
      <c r="E10" s="100" t="s">
        <v>139</v>
      </c>
      <c r="F10" s="100">
        <v>0.87677000000000005</v>
      </c>
      <c r="G10" s="120">
        <v>-11405515.460000001</v>
      </c>
      <c r="H10" s="120">
        <v>25702.36</v>
      </c>
      <c r="I10" s="100" t="s">
        <v>139</v>
      </c>
      <c r="J10" s="100">
        <v>0.19971</v>
      </c>
      <c r="K10" s="120">
        <v>19881.27</v>
      </c>
      <c r="L10" s="100">
        <v>0.999942</v>
      </c>
      <c r="M10" s="120">
        <v>19880.11</v>
      </c>
      <c r="O10" s="100" t="s">
        <v>138</v>
      </c>
      <c r="P10" s="100" t="s">
        <v>135</v>
      </c>
      <c r="Q10" s="100" t="s">
        <v>138</v>
      </c>
      <c r="R10" s="100">
        <v>92</v>
      </c>
      <c r="S10" s="120">
        <v>10000000</v>
      </c>
      <c r="T10" s="120">
        <v>0</v>
      </c>
      <c r="U10" s="100" t="s">
        <v>139</v>
      </c>
      <c r="V10" s="100">
        <v>-0.48679</v>
      </c>
      <c r="W10" s="120">
        <v>-15534.28</v>
      </c>
      <c r="X10" s="100">
        <v>1.017622</v>
      </c>
      <c r="Y10" s="120">
        <v>-15808.04</v>
      </c>
      <c r="AA10" s="135">
        <f t="shared" si="2"/>
        <v>1.1431217819999999</v>
      </c>
      <c r="AB10" s="145"/>
      <c r="AD10" s="101" t="str">
        <f t="shared" si="3"/>
        <v>07/05/2022</v>
      </c>
      <c r="AE10" s="101" t="str">
        <f t="shared" si="0"/>
        <v>04/04/2022</v>
      </c>
      <c r="AF10" s="101" t="str">
        <f t="shared" si="0"/>
        <v>07/05/2022</v>
      </c>
      <c r="AG10" s="101">
        <f t="shared" si="0"/>
        <v>92</v>
      </c>
      <c r="AH10" s="101" t="str">
        <f t="shared" si="0"/>
        <v>03/31/2022</v>
      </c>
      <c r="AI10" s="101">
        <f t="shared" si="0"/>
        <v>0.87677000000000005</v>
      </c>
      <c r="AJ10" s="131">
        <f t="shared" si="0"/>
        <v>-11405515.460000001</v>
      </c>
      <c r="AK10" s="131">
        <f t="shared" si="0"/>
        <v>25702.36</v>
      </c>
      <c r="AL10" s="101" t="str">
        <f t="shared" si="0"/>
        <v>03/31/2022</v>
      </c>
      <c r="AM10" s="101">
        <f t="shared" si="0"/>
        <v>0.19971</v>
      </c>
      <c r="AN10" s="131">
        <f t="shared" si="0"/>
        <v>19881.27</v>
      </c>
      <c r="AO10" s="101">
        <f t="shared" si="0"/>
        <v>0.999942</v>
      </c>
      <c r="AP10" s="131">
        <f t="shared" si="0"/>
        <v>19880.11</v>
      </c>
      <c r="AQ10" s="134">
        <f t="shared" si="5"/>
        <v>-5821.09</v>
      </c>
      <c r="AR10" s="133">
        <f>AJ10</f>
        <v>-11405515.460000001</v>
      </c>
      <c r="AS10" s="134">
        <f>AJ10+AQ10</f>
        <v>-11411336.550000001</v>
      </c>
      <c r="AT10" s="134">
        <f t="shared" si="1"/>
        <v>-11410674.6924801</v>
      </c>
      <c r="AU10" s="133">
        <f>PRICER_EUR!Z10+PRICER_EUR!AA10</f>
        <v>-11405700</v>
      </c>
      <c r="AV10" s="133">
        <f>PRICER_EUR!AA10+PRICER_EUR!Z10+PRICER_EUR!Y10</f>
        <v>-11411014.172540106</v>
      </c>
    </row>
    <row r="11" spans="1:54" x14ac:dyDescent="0.25">
      <c r="A11" s="100" t="s">
        <v>140</v>
      </c>
      <c r="B11" s="100" t="s">
        <v>138</v>
      </c>
      <c r="C11" s="100" t="s">
        <v>140</v>
      </c>
      <c r="D11" s="100">
        <v>90</v>
      </c>
      <c r="E11" s="100" t="s">
        <v>141</v>
      </c>
      <c r="F11" s="100">
        <v>0.87480000000000002</v>
      </c>
      <c r="G11" s="120">
        <v>-11431217.82</v>
      </c>
      <c r="H11" s="120">
        <v>25676.16</v>
      </c>
      <c r="I11" s="100" t="s">
        <v>142</v>
      </c>
      <c r="J11" s="100">
        <v>0.23408999999999999</v>
      </c>
      <c r="K11" s="120">
        <v>18986.37</v>
      </c>
      <c r="L11" s="100">
        <v>0.99996799999999997</v>
      </c>
      <c r="M11" s="120">
        <v>18985.77</v>
      </c>
      <c r="O11" s="100" t="s">
        <v>140</v>
      </c>
      <c r="P11" s="100" t="s">
        <v>138</v>
      </c>
      <c r="Q11" s="100" t="s">
        <v>140</v>
      </c>
      <c r="R11" s="100">
        <v>90</v>
      </c>
      <c r="S11" s="120">
        <v>10000000</v>
      </c>
      <c r="T11" s="120">
        <v>0</v>
      </c>
      <c r="U11" s="100" t="s">
        <v>142</v>
      </c>
      <c r="V11" s="100">
        <v>-0.47950999999999999</v>
      </c>
      <c r="W11" s="120">
        <v>-15014.78</v>
      </c>
      <c r="X11" s="100">
        <v>1.0199100000000001</v>
      </c>
      <c r="Y11" s="120">
        <v>-15313.72</v>
      </c>
      <c r="AA11" s="135">
        <f t="shared" si="2"/>
        <v>1.1456893970000002</v>
      </c>
      <c r="AB11" s="145"/>
    </row>
    <row r="12" spans="1:54" x14ac:dyDescent="0.25">
      <c r="A12" s="100" t="s">
        <v>143</v>
      </c>
      <c r="B12" s="100" t="s">
        <v>140</v>
      </c>
      <c r="C12" s="100" t="s">
        <v>143</v>
      </c>
      <c r="D12" s="100">
        <v>92</v>
      </c>
      <c r="E12" s="100" t="s">
        <v>144</v>
      </c>
      <c r="F12" s="100">
        <v>0.87283999999999995</v>
      </c>
      <c r="G12" s="120">
        <v>-11456893.970000001</v>
      </c>
      <c r="H12" s="120">
        <v>25945.759999999998</v>
      </c>
      <c r="I12" s="100" t="s">
        <v>144</v>
      </c>
      <c r="J12" s="100">
        <v>0.23674000000000001</v>
      </c>
      <c r="K12" s="120">
        <v>19014.36</v>
      </c>
      <c r="L12" s="100">
        <v>1.0000009999999999</v>
      </c>
      <c r="M12" s="120">
        <v>19014.37</v>
      </c>
      <c r="O12" s="100" t="s">
        <v>143</v>
      </c>
      <c r="P12" s="100" t="s">
        <v>140</v>
      </c>
      <c r="Q12" s="100" t="s">
        <v>143</v>
      </c>
      <c r="R12" s="100">
        <v>92</v>
      </c>
      <c r="S12" s="120">
        <v>10000000</v>
      </c>
      <c r="T12" s="120">
        <v>0</v>
      </c>
      <c r="U12" s="100" t="s">
        <v>144</v>
      </c>
      <c r="V12" s="100">
        <v>-0.45032</v>
      </c>
      <c r="W12" s="120">
        <v>-14602.33</v>
      </c>
      <c r="X12" s="100">
        <v>1.0222789999999999</v>
      </c>
      <c r="Y12" s="120">
        <v>-14927.65</v>
      </c>
      <c r="AA12" s="135">
        <f t="shared" si="2"/>
        <v>1.1482839730000001</v>
      </c>
      <c r="AB12" s="145"/>
      <c r="AP12" s="101"/>
      <c r="AQ12" s="101"/>
      <c r="AR12" s="101"/>
      <c r="AS12" s="101"/>
      <c r="AT12" s="101"/>
      <c r="AU12" s="101"/>
      <c r="AV12" s="101"/>
      <c r="AW12" s="101"/>
      <c r="AX12" s="101"/>
      <c r="AY12" s="101"/>
      <c r="BA12" s="101"/>
    </row>
    <row r="13" spans="1:54" x14ac:dyDescent="0.25">
      <c r="A13" s="100" t="s">
        <v>145</v>
      </c>
      <c r="B13" s="100" t="s">
        <v>143</v>
      </c>
      <c r="C13" s="100" t="s">
        <v>145</v>
      </c>
      <c r="D13" s="100">
        <v>90</v>
      </c>
      <c r="E13" s="100" t="s">
        <v>146</v>
      </c>
      <c r="F13" s="100">
        <v>0.87085999999999997</v>
      </c>
      <c r="G13" s="120">
        <v>-11482839.73</v>
      </c>
      <c r="H13" s="120">
        <v>26201.73</v>
      </c>
      <c r="I13" s="100" t="s">
        <v>146</v>
      </c>
      <c r="J13" s="100">
        <v>0.23938000000000001</v>
      </c>
      <c r="K13" s="120">
        <v>19329.8</v>
      </c>
      <c r="L13" s="100">
        <v>1.00004</v>
      </c>
      <c r="M13" s="120">
        <v>19330.560000000001</v>
      </c>
      <c r="O13" s="100" t="s">
        <v>145</v>
      </c>
      <c r="P13" s="100" t="s">
        <v>143</v>
      </c>
      <c r="Q13" s="100" t="s">
        <v>145</v>
      </c>
      <c r="R13" s="100">
        <v>90</v>
      </c>
      <c r="S13" s="120">
        <v>10000000</v>
      </c>
      <c r="T13" s="120">
        <v>0</v>
      </c>
      <c r="U13" s="100" t="s">
        <v>147</v>
      </c>
      <c r="V13" s="100">
        <v>-0.44524000000000002</v>
      </c>
      <c r="W13" s="120">
        <v>-14157.97</v>
      </c>
      <c r="X13" s="100">
        <v>1.024627</v>
      </c>
      <c r="Y13" s="120">
        <v>-14506.64</v>
      </c>
      <c r="AA13" s="135">
        <f t="shared" si="2"/>
        <v>1.1509041470000001</v>
      </c>
      <c r="AB13" s="145"/>
      <c r="AC13" s="127" t="s">
        <v>394</v>
      </c>
      <c r="AD13" s="102" t="s">
        <v>109</v>
      </c>
      <c r="AE13" s="102" t="s">
        <v>110</v>
      </c>
      <c r="AF13" s="102" t="s">
        <v>111</v>
      </c>
      <c r="AG13" s="102" t="s">
        <v>112</v>
      </c>
      <c r="AH13" s="119" t="s">
        <v>115</v>
      </c>
      <c r="AI13" s="119" t="s">
        <v>116</v>
      </c>
      <c r="AJ13" s="102" t="s">
        <v>117</v>
      </c>
      <c r="AK13" s="102" t="s">
        <v>118</v>
      </c>
      <c r="AL13" s="119" t="s">
        <v>119</v>
      </c>
      <c r="AM13" s="102" t="s">
        <v>120</v>
      </c>
      <c r="AN13" s="119" t="s">
        <v>121</v>
      </c>
      <c r="AO13" s="132" t="s">
        <v>399</v>
      </c>
      <c r="AP13" s="132" t="s">
        <v>395</v>
      </c>
      <c r="AQ13" s="132" t="s">
        <v>402</v>
      </c>
      <c r="AR13" s="132" t="s">
        <v>46</v>
      </c>
      <c r="AS13" s="132" t="s">
        <v>403</v>
      </c>
      <c r="AT13" s="132" t="s">
        <v>405</v>
      </c>
      <c r="AW13" s="138" t="s">
        <v>404</v>
      </c>
      <c r="AX13" s="132" t="s">
        <v>61</v>
      </c>
      <c r="AY13" s="132" t="s">
        <v>407</v>
      </c>
    </row>
    <row r="14" spans="1:54" x14ac:dyDescent="0.25">
      <c r="A14" s="100" t="s">
        <v>148</v>
      </c>
      <c r="B14" s="100" t="s">
        <v>145</v>
      </c>
      <c r="C14" s="100" t="s">
        <v>148</v>
      </c>
      <c r="D14" s="100">
        <v>91</v>
      </c>
      <c r="E14" s="100" t="s">
        <v>149</v>
      </c>
      <c r="F14" s="100">
        <v>0.86887999999999999</v>
      </c>
      <c r="G14" s="120">
        <v>-11509041.470000001</v>
      </c>
      <c r="H14" s="120">
        <v>26460.18</v>
      </c>
      <c r="I14" s="100" t="s">
        <v>149</v>
      </c>
      <c r="J14" s="100">
        <v>0.24201</v>
      </c>
      <c r="K14" s="120">
        <v>19419.66</v>
      </c>
      <c r="L14" s="100">
        <v>1.000086</v>
      </c>
      <c r="M14" s="120">
        <v>19421.330000000002</v>
      </c>
      <c r="O14" s="100" t="s">
        <v>148</v>
      </c>
      <c r="P14" s="100" t="s">
        <v>145</v>
      </c>
      <c r="Q14" s="100" t="s">
        <v>148</v>
      </c>
      <c r="R14" s="100">
        <v>91</v>
      </c>
      <c r="S14" s="120">
        <v>10000000</v>
      </c>
      <c r="T14" s="120">
        <v>0</v>
      </c>
      <c r="U14" s="100" t="s">
        <v>149</v>
      </c>
      <c r="V14" s="100">
        <v>-0.44017000000000001</v>
      </c>
      <c r="W14" s="120">
        <v>-14187.01</v>
      </c>
      <c r="X14" s="100">
        <v>1.0270300000000001</v>
      </c>
      <c r="Y14" s="120">
        <v>-14570.49</v>
      </c>
      <c r="AA14" s="135">
        <f t="shared" si="2"/>
        <v>1.153550165</v>
      </c>
      <c r="AB14" s="145"/>
      <c r="AD14" s="100" t="s">
        <v>122</v>
      </c>
      <c r="AE14" s="100"/>
      <c r="AF14" s="100"/>
      <c r="AG14" s="100"/>
      <c r="AH14" s="120"/>
      <c r="AI14" s="120">
        <v>-10000000</v>
      </c>
      <c r="AJ14" s="100"/>
      <c r="AK14" s="100"/>
      <c r="AL14" s="120">
        <v>-10000000</v>
      </c>
      <c r="AM14" s="100">
        <v>1.00004</v>
      </c>
      <c r="AN14" s="120">
        <v>-10000397.32</v>
      </c>
      <c r="AO14" s="120">
        <f>AL14</f>
        <v>-10000000</v>
      </c>
      <c r="AP14" s="101"/>
      <c r="AQ14" s="101"/>
      <c r="AR14" s="101"/>
      <c r="AS14" s="101"/>
      <c r="AT14" s="129">
        <f>AI14+AQ14</f>
        <v>-10000000</v>
      </c>
      <c r="AU14" s="100"/>
      <c r="AV14" s="101"/>
      <c r="AW14" s="101" t="s">
        <v>406</v>
      </c>
      <c r="AX14" s="140">
        <f>SUMPRODUCT($AT$14:$AT$22,$AM$14:$AM$22)</f>
        <v>78145.656051142141</v>
      </c>
      <c r="AY14" s="140">
        <f>AX14*$BB$2</f>
        <v>87788.830007853074</v>
      </c>
    </row>
    <row r="15" spans="1:54" x14ac:dyDescent="0.25">
      <c r="A15" s="100" t="s">
        <v>150</v>
      </c>
      <c r="B15" s="100" t="s">
        <v>148</v>
      </c>
      <c r="C15" s="100" t="s">
        <v>150</v>
      </c>
      <c r="D15" s="100">
        <v>91</v>
      </c>
      <c r="E15" s="100" t="s">
        <v>151</v>
      </c>
      <c r="F15" s="100">
        <v>0.86689000000000005</v>
      </c>
      <c r="G15" s="120">
        <v>-11535501.65</v>
      </c>
      <c r="H15" s="120">
        <v>28583.85</v>
      </c>
      <c r="I15" s="100" t="s">
        <v>151</v>
      </c>
      <c r="J15" s="100">
        <v>0.34394999999999998</v>
      </c>
      <c r="K15" s="120">
        <v>18554.419999999998</v>
      </c>
      <c r="L15" s="100">
        <v>0.99988699999999997</v>
      </c>
      <c r="M15" s="120">
        <v>18552.32</v>
      </c>
      <c r="O15" s="100" t="s">
        <v>150</v>
      </c>
      <c r="P15" s="100" t="s">
        <v>148</v>
      </c>
      <c r="Q15" s="100" t="s">
        <v>150</v>
      </c>
      <c r="R15" s="100">
        <v>91</v>
      </c>
      <c r="S15" s="120">
        <v>10000000</v>
      </c>
      <c r="T15" s="120">
        <v>0</v>
      </c>
      <c r="U15" s="100" t="s">
        <v>151</v>
      </c>
      <c r="V15" s="100">
        <v>-0.40490999999999999</v>
      </c>
      <c r="W15" s="120">
        <v>-13295.81</v>
      </c>
      <c r="X15" s="100">
        <v>1.02938</v>
      </c>
      <c r="Y15" s="120">
        <v>-13686.43</v>
      </c>
      <c r="AA15" s="135">
        <f t="shared" si="2"/>
        <v>1.1564085500000001</v>
      </c>
      <c r="AB15" s="145"/>
      <c r="AD15" s="100" t="s">
        <v>123</v>
      </c>
      <c r="AE15" s="100" t="s">
        <v>122</v>
      </c>
      <c r="AF15" s="100" t="s">
        <v>123</v>
      </c>
      <c r="AG15" s="100">
        <v>92</v>
      </c>
      <c r="AH15" s="120">
        <v>10000000</v>
      </c>
      <c r="AI15" s="120">
        <v>0</v>
      </c>
      <c r="AJ15" s="100" t="s">
        <v>124</v>
      </c>
      <c r="AK15" s="100">
        <v>-0.42199999999999999</v>
      </c>
      <c r="AL15" s="120">
        <v>-13878.66</v>
      </c>
      <c r="AM15" s="100">
        <v>1.001916</v>
      </c>
      <c r="AN15" s="120">
        <v>-13905.25</v>
      </c>
      <c r="AO15" s="120">
        <v>-14905.28</v>
      </c>
      <c r="AP15" s="101">
        <f>AG15/360</f>
        <v>0.25555555555555554</v>
      </c>
      <c r="AQ15" s="129">
        <f>$AI$22*AK15*AP15/100</f>
        <v>-10784.444444444443</v>
      </c>
      <c r="AR15" s="129">
        <f>AO15-AQ15</f>
        <v>-4120.8355555555572</v>
      </c>
      <c r="AS15" s="137">
        <f>AR15/$AI$22/AP15*10000</f>
        <v>-16.125008695652181</v>
      </c>
      <c r="AT15" s="129">
        <f t="shared" ref="AT15:AT22" si="7">AI15+AQ15</f>
        <v>-10784.444444444443</v>
      </c>
      <c r="AU15" s="100"/>
      <c r="AV15" s="101"/>
      <c r="AW15" s="101" t="s">
        <v>408</v>
      </c>
      <c r="AX15">
        <f>AY15/$BB$2</f>
        <v>-33131.607508629131</v>
      </c>
      <c r="AY15" s="139">
        <f>0-(AY14+BB1)</f>
        <v>-37220.047875193966</v>
      </c>
    </row>
    <row r="16" spans="1:54" x14ac:dyDescent="0.25">
      <c r="A16" s="100" t="s">
        <v>152</v>
      </c>
      <c r="B16" s="100" t="s">
        <v>150</v>
      </c>
      <c r="C16" s="100" t="s">
        <v>152</v>
      </c>
      <c r="D16" s="100">
        <v>92</v>
      </c>
      <c r="E16" s="100" t="s">
        <v>153</v>
      </c>
      <c r="F16" s="100">
        <v>0.86475000000000002</v>
      </c>
      <c r="G16" s="120">
        <v>-11564085.5</v>
      </c>
      <c r="H16" s="120">
        <v>29337.56</v>
      </c>
      <c r="I16" s="100" t="s">
        <v>153</v>
      </c>
      <c r="J16" s="100">
        <v>0.36175000000000002</v>
      </c>
      <c r="K16" s="120">
        <v>18646.93</v>
      </c>
      <c r="L16" s="100">
        <v>0.99964399999999998</v>
      </c>
      <c r="M16" s="120">
        <v>18640.3</v>
      </c>
      <c r="O16" s="100" t="s">
        <v>152</v>
      </c>
      <c r="P16" s="100" t="s">
        <v>150</v>
      </c>
      <c r="Q16" s="100" t="s">
        <v>152</v>
      </c>
      <c r="R16" s="100">
        <v>92</v>
      </c>
      <c r="S16" s="120">
        <v>10000000</v>
      </c>
      <c r="T16" s="120">
        <v>0</v>
      </c>
      <c r="U16" s="100" t="s">
        <v>153</v>
      </c>
      <c r="V16" s="100">
        <v>-0.39502999999999999</v>
      </c>
      <c r="W16" s="120">
        <v>-13189.4</v>
      </c>
      <c r="X16" s="100">
        <v>1.0317719999999999</v>
      </c>
      <c r="Y16" s="120">
        <v>-13608.46</v>
      </c>
      <c r="AA16" s="135">
        <f t="shared" si="2"/>
        <v>1.1593423060000001</v>
      </c>
      <c r="AB16" s="145"/>
      <c r="AD16" s="100" t="s">
        <v>125</v>
      </c>
      <c r="AE16" s="100" t="s">
        <v>123</v>
      </c>
      <c r="AF16" s="100" t="s">
        <v>125</v>
      </c>
      <c r="AG16" s="100">
        <v>94</v>
      </c>
      <c r="AH16" s="120">
        <v>10000000</v>
      </c>
      <c r="AI16" s="120">
        <v>0</v>
      </c>
      <c r="AJ16" s="100" t="s">
        <v>126</v>
      </c>
      <c r="AK16" s="100">
        <v>-0.46875</v>
      </c>
      <c r="AL16" s="120">
        <v>-15401.1</v>
      </c>
      <c r="AM16" s="100">
        <v>1.0042439999999999</v>
      </c>
      <c r="AN16" s="120">
        <v>-15466.46</v>
      </c>
      <c r="AO16" s="120">
        <v>-16450.04</v>
      </c>
      <c r="AP16" s="101">
        <f t="shared" ref="AP16:AP22" si="8">AG16/360</f>
        <v>0.26111111111111113</v>
      </c>
      <c r="AQ16" s="129">
        <f t="shared" ref="AQ16:AQ22" si="9">$AI$22*AK16*AP16/100</f>
        <v>-12239.583333333336</v>
      </c>
      <c r="AR16" s="129">
        <f t="shared" ref="AR16:AR21" si="10">AO16-AQ16</f>
        <v>-4210.4566666666651</v>
      </c>
      <c r="AS16" s="137">
        <f t="shared" ref="AS16:AS22" si="11">AR16/$AI$22/AP16*10000</f>
        <v>-16.125153191489353</v>
      </c>
      <c r="AT16" s="129">
        <f t="shared" si="7"/>
        <v>-12239.583333333336</v>
      </c>
      <c r="AU16" s="100"/>
      <c r="AV16" s="101"/>
      <c r="AW16" s="101"/>
      <c r="AX16"/>
      <c r="AY16"/>
    </row>
    <row r="17" spans="1:53" x14ac:dyDescent="0.25">
      <c r="A17" s="100" t="s">
        <v>154</v>
      </c>
      <c r="B17" s="100" t="s">
        <v>152</v>
      </c>
      <c r="C17" s="100" t="s">
        <v>154</v>
      </c>
      <c r="D17" s="100">
        <v>91</v>
      </c>
      <c r="E17" s="100" t="s">
        <v>155</v>
      </c>
      <c r="F17" s="100">
        <v>0.86255999999999999</v>
      </c>
      <c r="G17" s="120">
        <v>-11593423.060000001</v>
      </c>
      <c r="H17" s="120">
        <v>29593.439999999999</v>
      </c>
      <c r="I17" s="100" t="s">
        <v>155</v>
      </c>
      <c r="J17" s="100">
        <v>0.37948999999999999</v>
      </c>
      <c r="K17" s="120">
        <v>18472.240000000002</v>
      </c>
      <c r="L17" s="100">
        <v>0.99937100000000001</v>
      </c>
      <c r="M17" s="120">
        <v>18460.63</v>
      </c>
      <c r="O17" s="100" t="s">
        <v>154</v>
      </c>
      <c r="P17" s="100" t="s">
        <v>152</v>
      </c>
      <c r="Q17" s="100" t="s">
        <v>154</v>
      </c>
      <c r="R17" s="100">
        <v>91</v>
      </c>
      <c r="S17" s="120">
        <v>10000000</v>
      </c>
      <c r="T17" s="120">
        <v>0</v>
      </c>
      <c r="U17" s="100" t="s">
        <v>155</v>
      </c>
      <c r="V17" s="100">
        <v>-0.38512000000000002</v>
      </c>
      <c r="W17" s="120">
        <v>-12795.62</v>
      </c>
      <c r="X17" s="100">
        <v>1.0341549999999999</v>
      </c>
      <c r="Y17" s="120">
        <v>-13232.66</v>
      </c>
      <c r="AA17" s="135">
        <f t="shared" si="2"/>
        <v>1.1623016500000001</v>
      </c>
      <c r="AB17" s="145"/>
      <c r="AD17" s="100" t="s">
        <v>127</v>
      </c>
      <c r="AE17" s="100" t="s">
        <v>125</v>
      </c>
      <c r="AF17" s="100" t="s">
        <v>127</v>
      </c>
      <c r="AG17" s="100">
        <v>92</v>
      </c>
      <c r="AH17" s="120">
        <v>10000000</v>
      </c>
      <c r="AI17" s="120">
        <v>0</v>
      </c>
      <c r="AJ17" s="100" t="s">
        <v>128</v>
      </c>
      <c r="AK17" s="100">
        <v>-0.45607999999999999</v>
      </c>
      <c r="AL17" s="120">
        <v>-14749.71</v>
      </c>
      <c r="AM17" s="100">
        <v>1.0062960000000001</v>
      </c>
      <c r="AN17" s="120">
        <v>-14842.57</v>
      </c>
      <c r="AO17" s="120">
        <v>-15776.33</v>
      </c>
      <c r="AP17" s="101">
        <f t="shared" si="8"/>
        <v>0.25555555555555554</v>
      </c>
      <c r="AQ17" s="129">
        <f t="shared" si="9"/>
        <v>-11655.377777777778</v>
      </c>
      <c r="AR17" s="129">
        <f t="shared" si="10"/>
        <v>-4120.9522222222222</v>
      </c>
      <c r="AS17" s="137">
        <f t="shared" si="11"/>
        <v>-16.125465217391305</v>
      </c>
      <c r="AT17" s="129">
        <f t="shared" si="7"/>
        <v>-11655.377777777778</v>
      </c>
      <c r="AU17" s="100"/>
      <c r="AV17" s="101"/>
      <c r="AW17" s="101" t="s">
        <v>410</v>
      </c>
      <c r="AX17" s="100">
        <f>SUMPRODUCT($AP$15:$AP$22,$AM$15:$AM$22)*$AI$22/10000</f>
        <v>2055.7154027777779</v>
      </c>
      <c r="AY17"/>
    </row>
    <row r="18" spans="1:53" x14ac:dyDescent="0.25">
      <c r="A18" s="100" t="s">
        <v>156</v>
      </c>
      <c r="B18" s="100" t="s">
        <v>154</v>
      </c>
      <c r="C18" s="100" t="s">
        <v>156</v>
      </c>
      <c r="D18" s="100">
        <v>91</v>
      </c>
      <c r="E18" s="100" t="s">
        <v>157</v>
      </c>
      <c r="F18" s="100">
        <v>0.86036000000000001</v>
      </c>
      <c r="G18" s="120">
        <v>-11623016.5</v>
      </c>
      <c r="H18" s="120">
        <v>31187.99</v>
      </c>
      <c r="I18" s="100" t="s">
        <v>157</v>
      </c>
      <c r="J18" s="100">
        <v>0.39709</v>
      </c>
      <c r="K18" s="120">
        <v>19521.41</v>
      </c>
      <c r="L18" s="100">
        <v>0.99906499999999998</v>
      </c>
      <c r="M18" s="120">
        <v>19503.16</v>
      </c>
      <c r="O18" s="100" t="s">
        <v>156</v>
      </c>
      <c r="P18" s="100" t="s">
        <v>154</v>
      </c>
      <c r="Q18" s="100" t="s">
        <v>156</v>
      </c>
      <c r="R18" s="100">
        <v>91</v>
      </c>
      <c r="S18" s="120">
        <v>10000000</v>
      </c>
      <c r="T18" s="120">
        <v>0</v>
      </c>
      <c r="U18" s="100" t="s">
        <v>157</v>
      </c>
      <c r="V18" s="100">
        <v>-0.37524000000000002</v>
      </c>
      <c r="W18" s="120">
        <v>-12545.76</v>
      </c>
      <c r="X18" s="100">
        <v>1.036556</v>
      </c>
      <c r="Y18" s="120">
        <v>-13004.38</v>
      </c>
      <c r="AA18" s="135">
        <f t="shared" si="2"/>
        <v>1.165420449</v>
      </c>
      <c r="AB18" s="145"/>
      <c r="AD18" s="100" t="s">
        <v>129</v>
      </c>
      <c r="AE18" s="100" t="s">
        <v>127</v>
      </c>
      <c r="AF18" s="100" t="s">
        <v>129</v>
      </c>
      <c r="AG18" s="100">
        <v>87</v>
      </c>
      <c r="AH18" s="120">
        <v>10000000</v>
      </c>
      <c r="AI18" s="120">
        <v>0</v>
      </c>
      <c r="AJ18" s="100" t="s">
        <v>130</v>
      </c>
      <c r="AK18" s="100">
        <v>-0.48375000000000001</v>
      </c>
      <c r="AL18" s="120">
        <v>-14616.68</v>
      </c>
      <c r="AM18" s="100">
        <v>1.0083329999999999</v>
      </c>
      <c r="AN18" s="120">
        <v>-14738.49</v>
      </c>
      <c r="AO18" s="120">
        <v>-15587.51</v>
      </c>
      <c r="AP18" s="101">
        <f t="shared" si="8"/>
        <v>0.24166666666666667</v>
      </c>
      <c r="AQ18" s="129">
        <f t="shared" si="9"/>
        <v>-11690.625</v>
      </c>
      <c r="AR18" s="129">
        <f t="shared" si="10"/>
        <v>-3896.8850000000002</v>
      </c>
      <c r="AS18" s="137">
        <f t="shared" si="11"/>
        <v>-16.125041379310346</v>
      </c>
      <c r="AT18" s="129">
        <f t="shared" si="7"/>
        <v>-11690.625</v>
      </c>
      <c r="AU18" s="100"/>
      <c r="AV18" s="101"/>
      <c r="AW18" s="101" t="s">
        <v>411</v>
      </c>
      <c r="AX18">
        <f>AX15/AX17</f>
        <v>-16.116826027503695</v>
      </c>
      <c r="AY18"/>
    </row>
    <row r="19" spans="1:53" x14ac:dyDescent="0.25">
      <c r="A19" s="100" t="s">
        <v>158</v>
      </c>
      <c r="B19" s="100" t="s">
        <v>156</v>
      </c>
      <c r="C19" s="100" t="s">
        <v>158</v>
      </c>
      <c r="D19" s="100">
        <v>92</v>
      </c>
      <c r="E19" s="100" t="s">
        <v>159</v>
      </c>
      <c r="F19" s="100">
        <v>0.85806000000000004</v>
      </c>
      <c r="G19" s="120">
        <v>-11654204.49</v>
      </c>
      <c r="H19" s="120">
        <v>33750.75</v>
      </c>
      <c r="I19" s="100" t="s">
        <v>159</v>
      </c>
      <c r="J19" s="100">
        <v>0.51314000000000004</v>
      </c>
      <c r="K19" s="120">
        <v>18467.79</v>
      </c>
      <c r="L19" s="100">
        <v>0.99837200000000004</v>
      </c>
      <c r="M19" s="120">
        <v>18437.73</v>
      </c>
      <c r="O19" s="100" t="s">
        <v>158</v>
      </c>
      <c r="P19" s="100" t="s">
        <v>156</v>
      </c>
      <c r="Q19" s="100" t="s">
        <v>158</v>
      </c>
      <c r="R19" s="100">
        <v>92</v>
      </c>
      <c r="S19" s="120">
        <v>10000000</v>
      </c>
      <c r="T19" s="120">
        <v>0</v>
      </c>
      <c r="U19" s="100" t="s">
        <v>159</v>
      </c>
      <c r="V19" s="100">
        <v>-0.33237</v>
      </c>
      <c r="W19" s="120">
        <v>-11588.14</v>
      </c>
      <c r="X19" s="100">
        <v>1.03878</v>
      </c>
      <c r="Y19" s="120">
        <v>-12037.53</v>
      </c>
      <c r="AA19" s="135">
        <f t="shared" si="2"/>
        <v>1.168795523</v>
      </c>
      <c r="AB19" s="145"/>
      <c r="AD19" s="100" t="s">
        <v>131</v>
      </c>
      <c r="AE19" s="100" t="s">
        <v>129</v>
      </c>
      <c r="AF19" s="100" t="s">
        <v>131</v>
      </c>
      <c r="AG19" s="100">
        <v>94</v>
      </c>
      <c r="AH19" s="120">
        <v>10000000</v>
      </c>
      <c r="AI19" s="120">
        <v>0</v>
      </c>
      <c r="AJ19" s="100" t="s">
        <v>132</v>
      </c>
      <c r="AK19" s="100">
        <v>-0.49634</v>
      </c>
      <c r="AL19" s="120">
        <v>-16121.46</v>
      </c>
      <c r="AM19" s="100">
        <v>1.010621</v>
      </c>
      <c r="AN19" s="120">
        <v>-16292.69</v>
      </c>
      <c r="AO19" s="120">
        <v>-17170.400000000001</v>
      </c>
      <c r="AP19" s="101">
        <f t="shared" si="8"/>
        <v>0.26111111111111113</v>
      </c>
      <c r="AQ19" s="129">
        <f t="shared" si="9"/>
        <v>-12959.988888888889</v>
      </c>
      <c r="AR19" s="129">
        <f t="shared" si="10"/>
        <v>-4210.4111111111124</v>
      </c>
      <c r="AS19" s="137">
        <f t="shared" si="11"/>
        <v>-16.124978723404258</v>
      </c>
      <c r="AT19" s="129">
        <f t="shared" si="7"/>
        <v>-12959.988888888889</v>
      </c>
      <c r="AU19" s="100"/>
      <c r="AV19" s="101"/>
      <c r="AW19" s="101"/>
      <c r="AX19"/>
      <c r="AY19"/>
    </row>
    <row r="20" spans="1:53" x14ac:dyDescent="0.25">
      <c r="A20" s="100" t="s">
        <v>160</v>
      </c>
      <c r="B20" s="100" t="s">
        <v>158</v>
      </c>
      <c r="C20" s="100" t="s">
        <v>160</v>
      </c>
      <c r="D20" s="100">
        <v>92</v>
      </c>
      <c r="E20" s="100" t="s">
        <v>161</v>
      </c>
      <c r="F20" s="100">
        <v>0.85558000000000001</v>
      </c>
      <c r="G20" s="120">
        <v>-11687955.23</v>
      </c>
      <c r="H20" s="120">
        <v>33650.550000000003</v>
      </c>
      <c r="I20" s="100" t="s">
        <v>161</v>
      </c>
      <c r="J20" s="100">
        <v>0.54222999999999999</v>
      </c>
      <c r="K20" s="120">
        <v>17454.490000000002</v>
      </c>
      <c r="L20" s="100">
        <v>0.99759200000000003</v>
      </c>
      <c r="M20" s="120">
        <v>17412.47</v>
      </c>
      <c r="O20" s="100" t="s">
        <v>160</v>
      </c>
      <c r="P20" s="100" t="s">
        <v>158</v>
      </c>
      <c r="Q20" s="100" t="s">
        <v>160</v>
      </c>
      <c r="R20" s="100">
        <v>92</v>
      </c>
      <c r="S20" s="120">
        <v>10000000</v>
      </c>
      <c r="T20" s="120">
        <v>0</v>
      </c>
      <c r="U20" s="100" t="s">
        <v>161</v>
      </c>
      <c r="V20" s="100">
        <v>-0.31835999999999998</v>
      </c>
      <c r="W20" s="120">
        <v>-11230.12</v>
      </c>
      <c r="X20" s="100">
        <v>1.0409919999999999</v>
      </c>
      <c r="Y20" s="120">
        <v>-11690.46</v>
      </c>
      <c r="AA20" s="135">
        <f t="shared" si="2"/>
        <v>1.172160578</v>
      </c>
      <c r="AB20" s="145"/>
      <c r="AD20" s="100" t="s">
        <v>133</v>
      </c>
      <c r="AE20" s="100" t="s">
        <v>131</v>
      </c>
      <c r="AF20" s="100" t="s">
        <v>133</v>
      </c>
      <c r="AG20" s="100">
        <v>92</v>
      </c>
      <c r="AH20" s="120">
        <v>10000000</v>
      </c>
      <c r="AI20" s="120">
        <v>0</v>
      </c>
      <c r="AJ20" s="100" t="s">
        <v>134</v>
      </c>
      <c r="AK20" s="100">
        <v>-0.49580999999999997</v>
      </c>
      <c r="AL20" s="120">
        <v>-15764.98</v>
      </c>
      <c r="AM20" s="100">
        <v>1.012923</v>
      </c>
      <c r="AN20" s="120">
        <v>-15968.7</v>
      </c>
      <c r="AO20" s="120">
        <v>-16791.599999999999</v>
      </c>
      <c r="AP20" s="101">
        <f t="shared" si="8"/>
        <v>0.25555555555555554</v>
      </c>
      <c r="AQ20" s="129">
        <f t="shared" si="9"/>
        <v>-12670.7</v>
      </c>
      <c r="AR20" s="129">
        <f t="shared" si="10"/>
        <v>-4120.8999999999978</v>
      </c>
      <c r="AS20" s="137">
        <f t="shared" si="11"/>
        <v>-16.12526086956521</v>
      </c>
      <c r="AT20" s="129">
        <f t="shared" si="7"/>
        <v>-12670.7</v>
      </c>
      <c r="AU20" s="100"/>
      <c r="AV20" s="101"/>
      <c r="AW20" s="101" t="s">
        <v>414</v>
      </c>
      <c r="AX20">
        <f>SUMPRODUCT(AQ15:AQ22,AM15:AM22)</f>
        <v>-97674.343948858339</v>
      </c>
      <c r="AY20"/>
    </row>
    <row r="21" spans="1:53" x14ac:dyDescent="0.25">
      <c r="A21" s="100" t="s">
        <v>162</v>
      </c>
      <c r="B21" s="100" t="s">
        <v>160</v>
      </c>
      <c r="C21" s="100" t="s">
        <v>162</v>
      </c>
      <c r="D21" s="100">
        <v>90</v>
      </c>
      <c r="E21" s="100" t="s">
        <v>163</v>
      </c>
      <c r="F21" s="100">
        <v>0.85313000000000005</v>
      </c>
      <c r="G21" s="120">
        <v>-11721605.779999999</v>
      </c>
      <c r="H21" s="120">
        <v>34454.69</v>
      </c>
      <c r="I21" s="100" t="s">
        <v>163</v>
      </c>
      <c r="J21" s="100">
        <v>0.57088000000000005</v>
      </c>
      <c r="K21" s="120">
        <v>17725.650000000001</v>
      </c>
      <c r="L21" s="100">
        <v>0.996757</v>
      </c>
      <c r="M21" s="120">
        <v>17668.169999999998</v>
      </c>
      <c r="O21" s="100" t="s">
        <v>162</v>
      </c>
      <c r="P21" s="100" t="s">
        <v>160</v>
      </c>
      <c r="Q21" s="100" t="s">
        <v>162</v>
      </c>
      <c r="R21" s="100">
        <v>90</v>
      </c>
      <c r="S21" s="120">
        <v>10000000</v>
      </c>
      <c r="T21" s="120">
        <v>0</v>
      </c>
      <c r="U21" s="100" t="s">
        <v>163</v>
      </c>
      <c r="V21" s="100">
        <v>-0.30447000000000002</v>
      </c>
      <c r="W21" s="120">
        <v>-10638.76</v>
      </c>
      <c r="X21" s="100">
        <v>1.0431459999999999</v>
      </c>
      <c r="Y21" s="120">
        <v>-11097.78</v>
      </c>
      <c r="AA21" s="135">
        <f t="shared" si="2"/>
        <v>1.175606047</v>
      </c>
      <c r="AB21" s="145"/>
      <c r="AD21" s="100" t="s">
        <v>135</v>
      </c>
      <c r="AE21" s="100" t="s">
        <v>133</v>
      </c>
      <c r="AF21" s="100" t="s">
        <v>135</v>
      </c>
      <c r="AG21" s="100">
        <v>90</v>
      </c>
      <c r="AH21" s="120">
        <v>10000000</v>
      </c>
      <c r="AI21" s="120">
        <v>0</v>
      </c>
      <c r="AJ21" s="100" t="s">
        <v>137</v>
      </c>
      <c r="AK21" s="100">
        <v>-0.49130000000000001</v>
      </c>
      <c r="AL21" s="120">
        <v>-15309.48</v>
      </c>
      <c r="AM21" s="100">
        <v>1.015218</v>
      </c>
      <c r="AN21" s="120">
        <v>-15542.47</v>
      </c>
      <c r="AO21" s="120">
        <v>-16313.79</v>
      </c>
      <c r="AP21" s="101">
        <f t="shared" si="8"/>
        <v>0.25</v>
      </c>
      <c r="AQ21" s="129">
        <f t="shared" si="9"/>
        <v>-12282.5</v>
      </c>
      <c r="AR21" s="129">
        <f t="shared" si="10"/>
        <v>-4031.2900000000009</v>
      </c>
      <c r="AS21" s="137">
        <f t="shared" si="11"/>
        <v>-16.125160000000001</v>
      </c>
      <c r="AT21" s="129">
        <f t="shared" si="7"/>
        <v>-12282.5</v>
      </c>
      <c r="AU21" s="100"/>
      <c r="AV21" s="101"/>
      <c r="AW21" s="101" t="s">
        <v>415</v>
      </c>
      <c r="AX21" s="139">
        <f>SUMPRODUCT(AI14:AI22,AM14:AM22)</f>
        <v>175820</v>
      </c>
      <c r="AY21"/>
    </row>
    <row r="22" spans="1:53" x14ac:dyDescent="0.25">
      <c r="A22" s="100" t="s">
        <v>164</v>
      </c>
      <c r="B22" s="100" t="s">
        <v>162</v>
      </c>
      <c r="C22" s="100" t="s">
        <v>164</v>
      </c>
      <c r="D22" s="100">
        <v>91</v>
      </c>
      <c r="E22" s="100" t="s">
        <v>165</v>
      </c>
      <c r="F22" s="100">
        <v>0.85063</v>
      </c>
      <c r="G22" s="120">
        <v>-11756060.470000001</v>
      </c>
      <c r="H22" s="120">
        <v>35262.25</v>
      </c>
      <c r="I22" s="100" t="s">
        <v>165</v>
      </c>
      <c r="J22" s="100">
        <v>0.59926000000000001</v>
      </c>
      <c r="K22" s="120">
        <v>17454.27</v>
      </c>
      <c r="L22" s="100">
        <v>0.99583999999999995</v>
      </c>
      <c r="M22" s="120">
        <v>17381.66</v>
      </c>
      <c r="O22" s="100" t="s">
        <v>164</v>
      </c>
      <c r="P22" s="100" t="s">
        <v>162</v>
      </c>
      <c r="Q22" s="100" t="s">
        <v>164</v>
      </c>
      <c r="R22" s="100">
        <v>91</v>
      </c>
      <c r="S22" s="120">
        <v>10000000</v>
      </c>
      <c r="T22" s="120">
        <v>0</v>
      </c>
      <c r="U22" s="100" t="s">
        <v>165</v>
      </c>
      <c r="V22" s="100">
        <v>-0.29061999999999999</v>
      </c>
      <c r="W22" s="120">
        <v>-10406.89</v>
      </c>
      <c r="X22" s="100">
        <v>1.0453129999999999</v>
      </c>
      <c r="Y22" s="120">
        <v>-10878.45</v>
      </c>
      <c r="AA22" s="135">
        <f t="shared" si="2"/>
        <v>1.1791322720000001</v>
      </c>
      <c r="AB22" s="145"/>
      <c r="AD22" s="100" t="s">
        <v>138</v>
      </c>
      <c r="AE22" s="100" t="s">
        <v>135</v>
      </c>
      <c r="AF22" s="100" t="s">
        <v>138</v>
      </c>
      <c r="AG22" s="100">
        <v>92</v>
      </c>
      <c r="AH22" s="120">
        <v>10000000</v>
      </c>
      <c r="AI22" s="120">
        <v>10000000</v>
      </c>
      <c r="AJ22" s="100" t="s">
        <v>139</v>
      </c>
      <c r="AK22" s="100">
        <v>-0.48679</v>
      </c>
      <c r="AL22" s="120">
        <v>-15534.28</v>
      </c>
      <c r="AM22" s="100">
        <v>1.017622</v>
      </c>
      <c r="AN22" s="120">
        <v>-15808.04</v>
      </c>
      <c r="AO22" s="120">
        <v>9983439.0899999999</v>
      </c>
      <c r="AP22" s="101">
        <f t="shared" si="8"/>
        <v>0.25555555555555554</v>
      </c>
      <c r="AQ22" s="129">
        <f t="shared" si="9"/>
        <v>-12440.188888888888</v>
      </c>
      <c r="AR22" s="129">
        <f>AO22-AQ22-AI22</f>
        <v>-4120.7211111113429</v>
      </c>
      <c r="AS22" s="137">
        <f t="shared" si="11"/>
        <v>-16.124560869566125</v>
      </c>
      <c r="AT22" s="129">
        <f t="shared" si="7"/>
        <v>9987559.8111111112</v>
      </c>
      <c r="AU22" s="100"/>
      <c r="AV22" s="101"/>
      <c r="AW22" s="101" t="s">
        <v>409</v>
      </c>
      <c r="AX22" s="139">
        <f>SUMPRODUCT($AP$15:$AP$22,$AM$15:$AM$22)*$AI$22/10000</f>
        <v>2055.7154027777779</v>
      </c>
      <c r="AY22"/>
    </row>
    <row r="23" spans="1:53" x14ac:dyDescent="0.25">
      <c r="A23" s="100" t="s">
        <v>169</v>
      </c>
      <c r="B23" s="100" t="s">
        <v>164</v>
      </c>
      <c r="C23" s="100" t="s">
        <v>169</v>
      </c>
      <c r="D23" s="100">
        <v>92</v>
      </c>
      <c r="E23" s="100" t="s">
        <v>170</v>
      </c>
      <c r="F23" s="100">
        <v>0.84807999999999995</v>
      </c>
      <c r="G23" s="120">
        <v>-11791322.720000001</v>
      </c>
      <c r="H23" s="120">
        <v>36715.97</v>
      </c>
      <c r="I23" s="100" t="s">
        <v>170</v>
      </c>
      <c r="J23" s="100">
        <v>0.69771000000000005</v>
      </c>
      <c r="K23" s="120">
        <v>15691.56</v>
      </c>
      <c r="L23" s="100">
        <v>0.99479099999999998</v>
      </c>
      <c r="M23" s="120">
        <v>15609.83</v>
      </c>
      <c r="O23" s="100" t="s">
        <v>169</v>
      </c>
      <c r="P23" s="100" t="s">
        <v>164</v>
      </c>
      <c r="Q23" s="100" t="s">
        <v>169</v>
      </c>
      <c r="R23" s="100">
        <v>92</v>
      </c>
      <c r="S23" s="120">
        <v>10000000</v>
      </c>
      <c r="T23" s="120">
        <v>0</v>
      </c>
      <c r="U23" s="100" t="s">
        <v>170</v>
      </c>
      <c r="V23" s="100">
        <v>-0.25180000000000002</v>
      </c>
      <c r="W23" s="120">
        <v>-9529.16</v>
      </c>
      <c r="X23" s="100">
        <v>1.047466</v>
      </c>
      <c r="Y23" s="120">
        <v>-9981.48</v>
      </c>
      <c r="AA23" s="135">
        <f t="shared" si="2"/>
        <v>1.182803869</v>
      </c>
      <c r="AB23" s="145"/>
      <c r="AP23" s="101"/>
      <c r="AQ23" s="101"/>
      <c r="AR23" s="101"/>
      <c r="AS23" s="101"/>
      <c r="AT23" s="101"/>
      <c r="AU23" s="100"/>
      <c r="AV23" s="101"/>
      <c r="AW23" s="101"/>
      <c r="AX23" s="101"/>
      <c r="AY23" s="101"/>
      <c r="AZ23" s="101"/>
      <c r="BA23" s="101"/>
    </row>
    <row r="24" spans="1:53" x14ac:dyDescent="0.25">
      <c r="A24" s="100" t="s">
        <v>171</v>
      </c>
      <c r="B24" s="100" t="s">
        <v>169</v>
      </c>
      <c r="C24" s="100" t="s">
        <v>171</v>
      </c>
      <c r="D24" s="100">
        <v>92</v>
      </c>
      <c r="E24" s="100" t="s">
        <v>172</v>
      </c>
      <c r="F24" s="100">
        <v>0.84545000000000003</v>
      </c>
      <c r="G24" s="120">
        <v>-11828038.689999999</v>
      </c>
      <c r="H24" s="120">
        <v>37221.61</v>
      </c>
      <c r="I24" s="100" t="s">
        <v>172</v>
      </c>
      <c r="J24" s="100">
        <v>0.73273999999999995</v>
      </c>
      <c r="K24" s="120">
        <v>15072.87</v>
      </c>
      <c r="L24" s="100">
        <v>0.99366200000000005</v>
      </c>
      <c r="M24" s="120">
        <v>14977.34</v>
      </c>
      <c r="O24" s="100" t="s">
        <v>171</v>
      </c>
      <c r="P24" s="100" t="s">
        <v>169</v>
      </c>
      <c r="Q24" s="100" t="s">
        <v>171</v>
      </c>
      <c r="R24" s="100">
        <v>92</v>
      </c>
      <c r="S24" s="120">
        <v>10000000</v>
      </c>
      <c r="T24" s="120">
        <v>0</v>
      </c>
      <c r="U24" s="100" t="s">
        <v>172</v>
      </c>
      <c r="V24" s="100">
        <v>-0.23524999999999999</v>
      </c>
      <c r="W24" s="120">
        <v>-9106.17</v>
      </c>
      <c r="X24" s="100">
        <v>1.0496080000000001</v>
      </c>
      <c r="Y24" s="120">
        <v>-9557.91</v>
      </c>
      <c r="AA24" s="135">
        <f t="shared" si="2"/>
        <v>1.18652603</v>
      </c>
      <c r="AB24" s="145"/>
      <c r="AM24" s="136"/>
      <c r="AP24" s="101"/>
      <c r="AQ24" s="101"/>
      <c r="AR24" s="101"/>
      <c r="AS24" s="101"/>
      <c r="AT24" s="101"/>
      <c r="AU24" s="101"/>
      <c r="AV24" s="101"/>
      <c r="AW24" s="101"/>
      <c r="AX24" s="101"/>
      <c r="AY24" s="101"/>
      <c r="AZ24" s="101"/>
      <c r="BA24" s="101"/>
    </row>
    <row r="25" spans="1:53" x14ac:dyDescent="0.25">
      <c r="A25" s="100" t="s">
        <v>173</v>
      </c>
      <c r="B25" s="100" t="s">
        <v>171</v>
      </c>
      <c r="C25" s="100" t="s">
        <v>173</v>
      </c>
      <c r="D25" s="100">
        <v>90</v>
      </c>
      <c r="E25" s="100" t="s">
        <v>174</v>
      </c>
      <c r="F25" s="100">
        <v>0.84279999999999999</v>
      </c>
      <c r="G25" s="120">
        <v>-11865260.300000001</v>
      </c>
      <c r="H25" s="120">
        <v>38063.61</v>
      </c>
      <c r="I25" s="100" t="s">
        <v>174</v>
      </c>
      <c r="J25" s="100">
        <v>0.76717999999999997</v>
      </c>
      <c r="K25" s="120">
        <v>15306.54</v>
      </c>
      <c r="L25" s="100">
        <v>0.992483</v>
      </c>
      <c r="M25" s="120">
        <v>15191.47</v>
      </c>
      <c r="O25" s="100" t="s">
        <v>173</v>
      </c>
      <c r="P25" s="100" t="s">
        <v>171</v>
      </c>
      <c r="Q25" s="100" t="s">
        <v>173</v>
      </c>
      <c r="R25" s="100">
        <v>90</v>
      </c>
      <c r="S25" s="120">
        <v>10000000</v>
      </c>
      <c r="T25" s="120">
        <v>0</v>
      </c>
      <c r="U25" s="100" t="s">
        <v>174</v>
      </c>
      <c r="V25" s="100">
        <v>-0.21884999999999999</v>
      </c>
      <c r="W25" s="120">
        <v>-8498.2000000000007</v>
      </c>
      <c r="X25" s="100">
        <v>1.05169</v>
      </c>
      <c r="Y25" s="120">
        <v>-8937.4699999999993</v>
      </c>
      <c r="AA25" s="135">
        <f t="shared" si="2"/>
        <v>1.1903323910000001</v>
      </c>
      <c r="AB25" s="145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01"/>
    </row>
    <row r="26" spans="1:53" x14ac:dyDescent="0.25">
      <c r="A26" s="100" t="s">
        <v>175</v>
      </c>
      <c r="B26" s="100" t="s">
        <v>173</v>
      </c>
      <c r="C26" s="100" t="s">
        <v>175</v>
      </c>
      <c r="D26" s="100">
        <v>91</v>
      </c>
      <c r="E26" s="100" t="s">
        <v>176</v>
      </c>
      <c r="F26" s="100">
        <v>0.84009999999999996</v>
      </c>
      <c r="G26" s="120">
        <v>-11903323.91</v>
      </c>
      <c r="H26" s="120">
        <v>38908.080000000002</v>
      </c>
      <c r="I26" s="100" t="s">
        <v>176</v>
      </c>
      <c r="J26" s="100">
        <v>0.80125999999999997</v>
      </c>
      <c r="K26" s="120">
        <v>14799</v>
      </c>
      <c r="L26" s="100">
        <v>0.99121400000000004</v>
      </c>
      <c r="M26" s="120">
        <v>14668.98</v>
      </c>
      <c r="O26" s="100" t="s">
        <v>175</v>
      </c>
      <c r="P26" s="100" t="s">
        <v>173</v>
      </c>
      <c r="Q26" s="100" t="s">
        <v>175</v>
      </c>
      <c r="R26" s="100">
        <v>91</v>
      </c>
      <c r="S26" s="120">
        <v>10000000</v>
      </c>
      <c r="T26" s="120">
        <v>0</v>
      </c>
      <c r="U26" s="100" t="s">
        <v>176</v>
      </c>
      <c r="V26" s="100">
        <v>-0.20251</v>
      </c>
      <c r="W26" s="120">
        <v>-8179.57</v>
      </c>
      <c r="X26" s="100">
        <v>1.0537799999999999</v>
      </c>
      <c r="Y26" s="120">
        <v>-8619.48</v>
      </c>
      <c r="AA26" s="135">
        <f t="shared" si="2"/>
        <v>1.1942231990000001</v>
      </c>
      <c r="AB26" s="145"/>
    </row>
    <row r="27" spans="1:53" x14ac:dyDescent="0.25">
      <c r="A27" s="100" t="s">
        <v>177</v>
      </c>
      <c r="B27" s="100" t="s">
        <v>175</v>
      </c>
      <c r="C27" s="100" t="s">
        <v>177</v>
      </c>
      <c r="D27" s="100">
        <v>92</v>
      </c>
      <c r="E27" s="100" t="s">
        <v>178</v>
      </c>
      <c r="F27" s="100">
        <v>0.83735999999999999</v>
      </c>
      <c r="G27" s="120">
        <v>-11942231.99</v>
      </c>
      <c r="H27" s="120">
        <v>38769.64</v>
      </c>
      <c r="I27" s="100" t="s">
        <v>178</v>
      </c>
      <c r="J27" s="100">
        <v>0.82462000000000002</v>
      </c>
      <c r="K27" s="120">
        <v>13602.94</v>
      </c>
      <c r="L27" s="100">
        <v>0.98981699999999995</v>
      </c>
      <c r="M27" s="120">
        <v>13464.42</v>
      </c>
      <c r="O27" s="100" t="s">
        <v>177</v>
      </c>
      <c r="P27" s="100" t="s">
        <v>175</v>
      </c>
      <c r="Q27" s="100" t="s">
        <v>177</v>
      </c>
      <c r="R27" s="100">
        <v>92</v>
      </c>
      <c r="S27" s="120">
        <v>10000000</v>
      </c>
      <c r="T27" s="120">
        <v>0</v>
      </c>
      <c r="U27" s="100" t="s">
        <v>178</v>
      </c>
      <c r="V27" s="100">
        <v>-0.16725000000000001</v>
      </c>
      <c r="W27" s="120">
        <v>-7368.45</v>
      </c>
      <c r="X27" s="100">
        <v>1.055709</v>
      </c>
      <c r="Y27" s="120">
        <v>-7778.94</v>
      </c>
      <c r="AA27" s="135">
        <f t="shared" si="2"/>
        <v>1.198100164</v>
      </c>
      <c r="AB27" s="145"/>
    </row>
    <row r="28" spans="1:53" x14ac:dyDescent="0.25">
      <c r="A28" s="100" t="s">
        <v>179</v>
      </c>
      <c r="B28" s="100" t="s">
        <v>177</v>
      </c>
      <c r="C28" s="100" t="s">
        <v>179</v>
      </c>
      <c r="D28" s="100">
        <v>94</v>
      </c>
      <c r="E28" s="100" t="s">
        <v>180</v>
      </c>
      <c r="F28" s="100">
        <v>0.83465</v>
      </c>
      <c r="G28" s="120">
        <v>-11981001.640000001</v>
      </c>
      <c r="H28" s="120">
        <v>39040.74</v>
      </c>
      <c r="I28" s="100" t="s">
        <v>180</v>
      </c>
      <c r="J28" s="100">
        <v>0.85838000000000003</v>
      </c>
      <c r="K28" s="120">
        <v>12187.37</v>
      </c>
      <c r="L28" s="100">
        <v>0.98830600000000002</v>
      </c>
      <c r="M28" s="120">
        <v>12044.84</v>
      </c>
      <c r="O28" s="100" t="s">
        <v>179</v>
      </c>
      <c r="P28" s="100" t="s">
        <v>177</v>
      </c>
      <c r="Q28" s="100" t="s">
        <v>179</v>
      </c>
      <c r="R28" s="100">
        <v>94</v>
      </c>
      <c r="S28" s="120">
        <v>10000000</v>
      </c>
      <c r="T28" s="120">
        <v>0</v>
      </c>
      <c r="U28" s="100" t="s">
        <v>180</v>
      </c>
      <c r="V28" s="100">
        <v>-0.14887</v>
      </c>
      <c r="W28" s="120">
        <v>-7048.6</v>
      </c>
      <c r="X28" s="100">
        <v>1.0576479999999999</v>
      </c>
      <c r="Y28" s="120">
        <v>-7454.94</v>
      </c>
      <c r="AA28" s="135">
        <f t="shared" si="2"/>
        <v>1.202004238</v>
      </c>
      <c r="AB28" s="145"/>
    </row>
    <row r="29" spans="1:53" x14ac:dyDescent="0.25">
      <c r="A29" s="100" t="s">
        <v>181</v>
      </c>
      <c r="B29" s="100" t="s">
        <v>179</v>
      </c>
      <c r="C29" s="100" t="s">
        <v>181</v>
      </c>
      <c r="D29" s="100">
        <v>88</v>
      </c>
      <c r="E29" s="100" t="s">
        <v>182</v>
      </c>
      <c r="F29" s="100">
        <v>0.83194000000000001</v>
      </c>
      <c r="G29" s="120">
        <v>-12020042.380000001</v>
      </c>
      <c r="H29" s="120">
        <v>39759.379999999997</v>
      </c>
      <c r="I29" s="100" t="s">
        <v>182</v>
      </c>
      <c r="J29" s="100">
        <v>0.89110999999999996</v>
      </c>
      <c r="K29" s="120">
        <v>13576.39</v>
      </c>
      <c r="L29" s="100">
        <v>0.98681700000000006</v>
      </c>
      <c r="M29" s="120">
        <v>13397.41</v>
      </c>
      <c r="O29" s="100" t="s">
        <v>181</v>
      </c>
      <c r="P29" s="100" t="s">
        <v>179</v>
      </c>
      <c r="Q29" s="100" t="s">
        <v>181</v>
      </c>
      <c r="R29" s="100">
        <v>88</v>
      </c>
      <c r="S29" s="120">
        <v>10000000</v>
      </c>
      <c r="T29" s="120">
        <v>0</v>
      </c>
      <c r="U29" s="100" t="s">
        <v>182</v>
      </c>
      <c r="V29" s="100">
        <v>-0.13086</v>
      </c>
      <c r="W29" s="120">
        <v>-6158.49</v>
      </c>
      <c r="X29" s="100">
        <v>1.059434</v>
      </c>
      <c r="Y29" s="120">
        <v>-6524.52</v>
      </c>
      <c r="AA29" s="135">
        <f t="shared" si="2"/>
        <v>1.205980176</v>
      </c>
      <c r="AB29" s="145"/>
    </row>
    <row r="30" spans="1:53" x14ac:dyDescent="0.25">
      <c r="A30" s="100" t="s">
        <v>183</v>
      </c>
      <c r="B30" s="100" t="s">
        <v>181</v>
      </c>
      <c r="C30" s="100" t="s">
        <v>183</v>
      </c>
      <c r="D30" s="100">
        <v>91</v>
      </c>
      <c r="E30" s="100" t="s">
        <v>184</v>
      </c>
      <c r="F30" s="100">
        <v>0.82920000000000005</v>
      </c>
      <c r="G30" s="120">
        <v>-12059801.76</v>
      </c>
      <c r="H30" s="120">
        <v>40478.01</v>
      </c>
      <c r="I30" s="100" t="s">
        <v>184</v>
      </c>
      <c r="J30" s="100">
        <v>0.92318</v>
      </c>
      <c r="K30" s="120">
        <v>12335.24</v>
      </c>
      <c r="L30" s="100">
        <v>0.98520200000000002</v>
      </c>
      <c r="M30" s="120">
        <v>12152.71</v>
      </c>
      <c r="O30" s="100" t="s">
        <v>183</v>
      </c>
      <c r="P30" s="100" t="s">
        <v>181</v>
      </c>
      <c r="Q30" s="100" t="s">
        <v>183</v>
      </c>
      <c r="R30" s="100">
        <v>91</v>
      </c>
      <c r="S30" s="120">
        <v>10000000</v>
      </c>
      <c r="T30" s="120">
        <v>0</v>
      </c>
      <c r="U30" s="100" t="s">
        <v>184</v>
      </c>
      <c r="V30" s="100">
        <v>-0.11312999999999999</v>
      </c>
      <c r="W30" s="120">
        <v>-5920.22</v>
      </c>
      <c r="X30" s="100">
        <v>1.0612520000000001</v>
      </c>
      <c r="Y30" s="120">
        <v>-6282.84</v>
      </c>
      <c r="AA30" s="135">
        <f t="shared" si="2"/>
        <v>1.210027977</v>
      </c>
      <c r="AB30" s="145"/>
    </row>
    <row r="31" spans="1:53" x14ac:dyDescent="0.25">
      <c r="A31" s="100" t="s">
        <v>185</v>
      </c>
      <c r="B31" s="100" t="s">
        <v>183</v>
      </c>
      <c r="C31" s="100" t="s">
        <v>185</v>
      </c>
      <c r="D31" s="100">
        <v>94</v>
      </c>
      <c r="E31" s="100" t="s">
        <v>186</v>
      </c>
      <c r="F31" s="100">
        <v>0.82643</v>
      </c>
      <c r="G31" s="120">
        <v>-12100279.77</v>
      </c>
      <c r="H31" s="120">
        <v>38463.800000000003</v>
      </c>
      <c r="I31" s="100" t="s">
        <v>186</v>
      </c>
      <c r="J31" s="100">
        <v>0.91913</v>
      </c>
      <c r="K31" s="120">
        <v>9423.6200000000008</v>
      </c>
      <c r="L31" s="100">
        <v>0.98337799999999997</v>
      </c>
      <c r="M31" s="120">
        <v>9266.9699999999993</v>
      </c>
      <c r="O31" s="100" t="s">
        <v>185</v>
      </c>
      <c r="P31" s="100" t="s">
        <v>183</v>
      </c>
      <c r="Q31" s="100" t="s">
        <v>185</v>
      </c>
      <c r="R31" s="100">
        <v>94</v>
      </c>
      <c r="S31" s="120">
        <v>10000000</v>
      </c>
      <c r="T31" s="120">
        <v>0</v>
      </c>
      <c r="U31" s="100" t="s">
        <v>186</v>
      </c>
      <c r="V31" s="100">
        <v>-5.423E-2</v>
      </c>
      <c r="W31" s="120">
        <v>-4577.3900000000003</v>
      </c>
      <c r="X31" s="100">
        <v>1.0627219999999999</v>
      </c>
      <c r="Y31" s="120">
        <v>-4864.49</v>
      </c>
      <c r="AA31" s="135">
        <f t="shared" si="2"/>
        <v>1.2138743570000001</v>
      </c>
      <c r="AB31" s="145"/>
    </row>
    <row r="32" spans="1:53" x14ac:dyDescent="0.25">
      <c r="A32" s="100" t="s">
        <v>187</v>
      </c>
      <c r="B32" s="100" t="s">
        <v>185</v>
      </c>
      <c r="C32" s="100" t="s">
        <v>187</v>
      </c>
      <c r="D32" s="100">
        <v>92</v>
      </c>
      <c r="E32" s="100" t="s">
        <v>188</v>
      </c>
      <c r="F32" s="100">
        <v>0.82381000000000004</v>
      </c>
      <c r="G32" s="120">
        <v>-12138743.57</v>
      </c>
      <c r="H32" s="120">
        <v>38445.01</v>
      </c>
      <c r="I32" s="100" t="s">
        <v>188</v>
      </c>
      <c r="J32" s="100">
        <v>0.94950999999999997</v>
      </c>
      <c r="K32" s="120">
        <v>8989.92</v>
      </c>
      <c r="L32" s="100">
        <v>0.98150599999999999</v>
      </c>
      <c r="M32" s="120">
        <v>8823.66</v>
      </c>
      <c r="O32" s="100" t="s">
        <v>187</v>
      </c>
      <c r="P32" s="100" t="s">
        <v>185</v>
      </c>
      <c r="Q32" s="100" t="s">
        <v>187</v>
      </c>
      <c r="R32" s="100">
        <v>92</v>
      </c>
      <c r="S32" s="120">
        <v>10000000</v>
      </c>
      <c r="T32" s="120">
        <v>0</v>
      </c>
      <c r="U32" s="100" t="s">
        <v>188</v>
      </c>
      <c r="V32" s="100">
        <v>-3.2910000000000002E-2</v>
      </c>
      <c r="W32" s="120">
        <v>-3935.25</v>
      </c>
      <c r="X32" s="100">
        <v>1.0640970000000001</v>
      </c>
      <c r="Y32" s="120">
        <v>-4187.4799999999996</v>
      </c>
      <c r="AA32" s="135">
        <f t="shared" si="2"/>
        <v>1.217718858</v>
      </c>
      <c r="AB32" s="145"/>
    </row>
    <row r="33" spans="1:28" x14ac:dyDescent="0.25">
      <c r="A33" s="100" t="s">
        <v>189</v>
      </c>
      <c r="B33" s="100" t="s">
        <v>187</v>
      </c>
      <c r="C33" s="100" t="s">
        <v>189</v>
      </c>
      <c r="D33" s="100">
        <v>90</v>
      </c>
      <c r="E33" s="100" t="s">
        <v>190</v>
      </c>
      <c r="F33" s="100">
        <v>0.82121</v>
      </c>
      <c r="G33" s="120">
        <v>-12177188.58</v>
      </c>
      <c r="H33" s="120">
        <v>38905.21</v>
      </c>
      <c r="I33" s="100" t="s">
        <v>190</v>
      </c>
      <c r="J33" s="100">
        <v>0.97902</v>
      </c>
      <c r="K33" s="120">
        <v>9100.9699999999993</v>
      </c>
      <c r="L33" s="100">
        <v>0.97959799999999997</v>
      </c>
      <c r="M33" s="120">
        <v>8915.2900000000009</v>
      </c>
      <c r="O33" s="100" t="s">
        <v>189</v>
      </c>
      <c r="P33" s="100" t="s">
        <v>187</v>
      </c>
      <c r="Q33" s="100" t="s">
        <v>189</v>
      </c>
      <c r="R33" s="100">
        <v>90</v>
      </c>
      <c r="S33" s="120">
        <v>10000000</v>
      </c>
      <c r="T33" s="120">
        <v>0</v>
      </c>
      <c r="U33" s="100" t="s">
        <v>191</v>
      </c>
      <c r="V33" s="100">
        <v>-1.205E-2</v>
      </c>
      <c r="W33" s="120">
        <v>-3328.09</v>
      </c>
      <c r="X33" s="100">
        <v>1.065385</v>
      </c>
      <c r="Y33" s="120">
        <v>-3545.69</v>
      </c>
      <c r="AA33" s="135">
        <f t="shared" si="2"/>
        <v>1.221609379</v>
      </c>
      <c r="AB33" s="145"/>
    </row>
    <row r="34" spans="1:28" x14ac:dyDescent="0.25">
      <c r="A34" s="100" t="s">
        <v>192</v>
      </c>
      <c r="B34" s="100" t="s">
        <v>189</v>
      </c>
      <c r="C34" s="100" t="s">
        <v>192</v>
      </c>
      <c r="D34" s="100">
        <v>91</v>
      </c>
      <c r="E34" s="100" t="s">
        <v>193</v>
      </c>
      <c r="F34" s="100">
        <v>0.81859000000000004</v>
      </c>
      <c r="G34" s="120">
        <v>-12216093.789999999</v>
      </c>
      <c r="H34" s="120">
        <v>39361.379999999997</v>
      </c>
      <c r="I34" s="100" t="s">
        <v>193</v>
      </c>
      <c r="J34" s="100">
        <v>1.0081800000000001</v>
      </c>
      <c r="K34" s="120">
        <v>8229.2099999999991</v>
      </c>
      <c r="L34" s="100">
        <v>0.97759099999999999</v>
      </c>
      <c r="M34" s="120">
        <v>8044.8</v>
      </c>
      <c r="O34" s="100" t="s">
        <v>192</v>
      </c>
      <c r="P34" s="100" t="s">
        <v>189</v>
      </c>
      <c r="Q34" s="100" t="s">
        <v>192</v>
      </c>
      <c r="R34" s="100">
        <v>91</v>
      </c>
      <c r="S34" s="120">
        <v>10000000</v>
      </c>
      <c r="T34" s="120">
        <v>0</v>
      </c>
      <c r="U34" s="100" t="s">
        <v>193</v>
      </c>
      <c r="V34" s="100">
        <v>8.7100000000000007E-3</v>
      </c>
      <c r="W34" s="120">
        <v>-2840.48</v>
      </c>
      <c r="X34" s="100">
        <v>1.06663</v>
      </c>
      <c r="Y34" s="120">
        <v>-3029.74</v>
      </c>
      <c r="AA34" s="135">
        <f t="shared" si="2"/>
        <v>1.225545517</v>
      </c>
      <c r="AB34" s="145"/>
    </row>
    <row r="35" spans="1:28" x14ac:dyDescent="0.25">
      <c r="A35" s="100" t="s">
        <v>194</v>
      </c>
      <c r="B35" s="100" t="s">
        <v>192</v>
      </c>
      <c r="C35" s="100" t="s">
        <v>194</v>
      </c>
      <c r="D35" s="100">
        <v>91</v>
      </c>
      <c r="E35" s="100" t="s">
        <v>195</v>
      </c>
      <c r="F35" s="100">
        <v>0.81596000000000002</v>
      </c>
      <c r="G35" s="120">
        <v>-12255455.17</v>
      </c>
      <c r="H35" s="120">
        <v>38623.67</v>
      </c>
      <c r="I35" s="100" t="s">
        <v>195</v>
      </c>
      <c r="J35" s="100">
        <v>1.00726</v>
      </c>
      <c r="K35" s="120">
        <v>7419.79</v>
      </c>
      <c r="L35" s="100">
        <v>0.97582800000000003</v>
      </c>
      <c r="M35" s="120">
        <v>7240.44</v>
      </c>
      <c r="O35" s="100" t="s">
        <v>194</v>
      </c>
      <c r="P35" s="100" t="s">
        <v>192</v>
      </c>
      <c r="Q35" s="100" t="s">
        <v>194</v>
      </c>
      <c r="R35" s="100">
        <v>91</v>
      </c>
      <c r="S35" s="120">
        <v>10000000</v>
      </c>
      <c r="T35" s="120">
        <v>0</v>
      </c>
      <c r="U35" s="100" t="s">
        <v>195</v>
      </c>
      <c r="V35" s="100">
        <v>4.086E-2</v>
      </c>
      <c r="W35" s="120">
        <v>-2027.72</v>
      </c>
      <c r="X35" s="100">
        <v>1.068058</v>
      </c>
      <c r="Y35" s="120">
        <v>-2165.73</v>
      </c>
      <c r="AA35" s="135">
        <f t="shared" si="2"/>
        <v>1.229407884</v>
      </c>
      <c r="AB35" s="145"/>
    </row>
    <row r="36" spans="1:28" x14ac:dyDescent="0.25">
      <c r="A36" s="100" t="s">
        <v>196</v>
      </c>
      <c r="B36" s="100" t="s">
        <v>194</v>
      </c>
      <c r="C36" s="100" t="s">
        <v>196</v>
      </c>
      <c r="D36" s="100">
        <v>92</v>
      </c>
      <c r="E36" s="100" t="s">
        <v>197</v>
      </c>
      <c r="F36" s="100">
        <v>0.81340000000000001</v>
      </c>
      <c r="G36" s="120">
        <v>-12294078.84</v>
      </c>
      <c r="H36" s="120">
        <v>38932.06</v>
      </c>
      <c r="I36" s="100" t="s">
        <v>197</v>
      </c>
      <c r="J36" s="100">
        <v>1.0346200000000001</v>
      </c>
      <c r="K36" s="120">
        <v>6426.17</v>
      </c>
      <c r="L36" s="100">
        <v>0.973997</v>
      </c>
      <c r="M36" s="120">
        <v>6259.07</v>
      </c>
      <c r="O36" s="100" t="s">
        <v>196</v>
      </c>
      <c r="P36" s="100" t="s">
        <v>194</v>
      </c>
      <c r="Q36" s="100" t="s">
        <v>196</v>
      </c>
      <c r="R36" s="100">
        <v>92</v>
      </c>
      <c r="S36" s="120">
        <v>10000000</v>
      </c>
      <c r="T36" s="120">
        <v>0</v>
      </c>
      <c r="U36" s="100" t="s">
        <v>197</v>
      </c>
      <c r="V36" s="100">
        <v>6.2520000000000006E-2</v>
      </c>
      <c r="W36" s="120">
        <v>-1496.45</v>
      </c>
      <c r="X36" s="100">
        <v>1.069469</v>
      </c>
      <c r="Y36" s="120">
        <v>-1600.41</v>
      </c>
      <c r="AA36" s="135">
        <f t="shared" si="2"/>
        <v>1.2333010900000001</v>
      </c>
      <c r="AB36" s="145"/>
    </row>
    <row r="37" spans="1:28" x14ac:dyDescent="0.25">
      <c r="A37" s="100" t="s">
        <v>198</v>
      </c>
      <c r="B37" s="100" t="s">
        <v>196</v>
      </c>
      <c r="C37" s="100" t="s">
        <v>198</v>
      </c>
      <c r="D37" s="100">
        <v>91</v>
      </c>
      <c r="E37" s="100" t="s">
        <v>199</v>
      </c>
      <c r="F37" s="100">
        <v>0.81083000000000005</v>
      </c>
      <c r="G37" s="120">
        <v>-12333010.9</v>
      </c>
      <c r="H37" s="120">
        <v>38854.17</v>
      </c>
      <c r="I37" s="100" t="s">
        <v>199</v>
      </c>
      <c r="J37" s="100">
        <v>1.0617300000000001</v>
      </c>
      <c r="K37" s="120">
        <v>5754.51</v>
      </c>
      <c r="L37" s="100">
        <v>0.97212900000000002</v>
      </c>
      <c r="M37" s="120">
        <v>5594.12</v>
      </c>
      <c r="O37" s="100" t="s">
        <v>198</v>
      </c>
      <c r="P37" s="100" t="s">
        <v>196</v>
      </c>
      <c r="Q37" s="100" t="s">
        <v>198</v>
      </c>
      <c r="R37" s="100">
        <v>91</v>
      </c>
      <c r="S37" s="120">
        <v>10000000</v>
      </c>
      <c r="T37" s="120">
        <v>0</v>
      </c>
      <c r="U37" s="100" t="s">
        <v>199</v>
      </c>
      <c r="V37" s="100">
        <v>8.4169999999999995E-2</v>
      </c>
      <c r="W37" s="120">
        <v>-932.88</v>
      </c>
      <c r="X37" s="100">
        <v>1.070818</v>
      </c>
      <c r="Y37" s="120">
        <v>-998.95</v>
      </c>
      <c r="AA37" s="135">
        <f t="shared" si="2"/>
        <v>1.237186506</v>
      </c>
      <c r="AB37" s="145"/>
    </row>
    <row r="38" spans="1:28" x14ac:dyDescent="0.25">
      <c r="A38" s="100" t="s">
        <v>200</v>
      </c>
      <c r="B38" s="100" t="s">
        <v>198</v>
      </c>
      <c r="C38" s="100" t="s">
        <v>200</v>
      </c>
      <c r="D38" s="100">
        <v>90</v>
      </c>
      <c r="E38" s="100" t="s">
        <v>201</v>
      </c>
      <c r="F38" s="100">
        <v>0.80828999999999995</v>
      </c>
      <c r="G38" s="120">
        <v>-12371865.060000001</v>
      </c>
      <c r="H38" s="120">
        <v>40071.620000000003</v>
      </c>
      <c r="I38" s="100" t="s">
        <v>201</v>
      </c>
      <c r="J38" s="100">
        <v>1.08833</v>
      </c>
      <c r="K38" s="120">
        <v>6409.99</v>
      </c>
      <c r="L38" s="100">
        <v>0.970225</v>
      </c>
      <c r="M38" s="120">
        <v>6219.13</v>
      </c>
      <c r="O38" s="100" t="s">
        <v>200</v>
      </c>
      <c r="P38" s="100" t="s">
        <v>198</v>
      </c>
      <c r="Q38" s="100" t="s">
        <v>200</v>
      </c>
      <c r="R38" s="100">
        <v>90</v>
      </c>
      <c r="S38" s="120">
        <v>10000000</v>
      </c>
      <c r="T38" s="120">
        <v>0</v>
      </c>
      <c r="U38" s="100" t="s">
        <v>201</v>
      </c>
      <c r="V38" s="100">
        <v>0.10557</v>
      </c>
      <c r="W38" s="120">
        <v>-387.57</v>
      </c>
      <c r="X38" s="100">
        <v>1.072109</v>
      </c>
      <c r="Y38" s="120">
        <v>-415.52</v>
      </c>
      <c r="AA38" s="135">
        <f t="shared" si="2"/>
        <v>1.241193668</v>
      </c>
      <c r="AB38" s="145"/>
    </row>
    <row r="39" spans="1:28" x14ac:dyDescent="0.25">
      <c r="A39" s="100" t="s">
        <v>202</v>
      </c>
      <c r="B39" s="100" t="s">
        <v>200</v>
      </c>
      <c r="C39" s="100" t="s">
        <v>202</v>
      </c>
      <c r="D39" s="100">
        <v>92</v>
      </c>
      <c r="E39" s="100" t="s">
        <v>203</v>
      </c>
      <c r="F39" s="100">
        <v>0.80567999999999995</v>
      </c>
      <c r="G39" s="120">
        <v>-12411936.68</v>
      </c>
      <c r="H39" s="120">
        <v>37386.47</v>
      </c>
      <c r="I39" s="100" t="s">
        <v>203</v>
      </c>
      <c r="J39" s="100">
        <v>1.0562800000000001</v>
      </c>
      <c r="K39" s="120">
        <v>3881.9</v>
      </c>
      <c r="L39" s="100">
        <v>0.96823499999999996</v>
      </c>
      <c r="M39" s="120">
        <v>3758.59</v>
      </c>
      <c r="O39" s="100" t="s">
        <v>202</v>
      </c>
      <c r="P39" s="100" t="s">
        <v>200</v>
      </c>
      <c r="Q39" s="100" t="s">
        <v>202</v>
      </c>
      <c r="R39" s="100">
        <v>92</v>
      </c>
      <c r="S39" s="120">
        <v>10000000</v>
      </c>
      <c r="T39" s="120">
        <v>0</v>
      </c>
      <c r="U39" s="100" t="s">
        <v>203</v>
      </c>
      <c r="V39" s="100">
        <v>0.14857000000000001</v>
      </c>
      <c r="W39" s="120">
        <v>702.56</v>
      </c>
      <c r="X39" s="100">
        <v>1.073121</v>
      </c>
      <c r="Y39" s="120">
        <v>753.93</v>
      </c>
      <c r="AA39" s="135">
        <f t="shared" si="2"/>
        <v>1.244932315</v>
      </c>
      <c r="AB39" s="145"/>
    </row>
    <row r="40" spans="1:28" x14ac:dyDescent="0.25">
      <c r="A40" s="100" t="s">
        <v>204</v>
      </c>
      <c r="B40" s="100" t="s">
        <v>202</v>
      </c>
      <c r="C40" s="100" t="s">
        <v>204</v>
      </c>
      <c r="D40" s="100">
        <v>92</v>
      </c>
      <c r="E40" s="100" t="s">
        <v>205</v>
      </c>
      <c r="F40" s="100">
        <v>0.80325999999999997</v>
      </c>
      <c r="G40" s="120">
        <v>-12449323.15</v>
      </c>
      <c r="H40" s="120">
        <v>36993</v>
      </c>
      <c r="I40" s="100" t="s">
        <v>205</v>
      </c>
      <c r="J40" s="100">
        <v>1.08002</v>
      </c>
      <c r="K40" s="120">
        <v>2632.34</v>
      </c>
      <c r="L40" s="100">
        <v>0.96618899999999996</v>
      </c>
      <c r="M40" s="120">
        <v>2543.34</v>
      </c>
      <c r="O40" s="100" t="s">
        <v>204</v>
      </c>
      <c r="P40" s="100" t="s">
        <v>202</v>
      </c>
      <c r="Q40" s="100" t="s">
        <v>204</v>
      </c>
      <c r="R40" s="100">
        <v>92</v>
      </c>
      <c r="S40" s="120">
        <v>10000000</v>
      </c>
      <c r="T40" s="120">
        <v>0</v>
      </c>
      <c r="U40" s="100" t="s">
        <v>205</v>
      </c>
      <c r="V40" s="100">
        <v>0.17144000000000001</v>
      </c>
      <c r="W40" s="120">
        <v>1287.1300000000001</v>
      </c>
      <c r="X40" s="100">
        <v>1.0740700000000001</v>
      </c>
      <c r="Y40" s="120">
        <v>1382.47</v>
      </c>
      <c r="AA40" s="135">
        <f t="shared" si="2"/>
        <v>1.2486316150000001</v>
      </c>
      <c r="AB40" s="145"/>
    </row>
    <row r="41" spans="1:28" x14ac:dyDescent="0.25">
      <c r="A41" s="100" t="s">
        <v>206</v>
      </c>
      <c r="B41" s="100" t="s">
        <v>204</v>
      </c>
      <c r="C41" s="100" t="s">
        <v>206</v>
      </c>
      <c r="D41" s="100">
        <v>90</v>
      </c>
      <c r="E41" s="100" t="s">
        <v>207</v>
      </c>
      <c r="F41" s="100">
        <v>0.80088000000000004</v>
      </c>
      <c r="G41" s="120">
        <v>-12486316.15</v>
      </c>
      <c r="H41" s="120">
        <v>37129.83</v>
      </c>
      <c r="I41" s="100" t="s">
        <v>207</v>
      </c>
      <c r="J41" s="100">
        <v>1.1032599999999999</v>
      </c>
      <c r="K41" s="120">
        <v>2690.62</v>
      </c>
      <c r="L41" s="100">
        <v>0.96413400000000005</v>
      </c>
      <c r="M41" s="120">
        <v>2594.12</v>
      </c>
      <c r="O41" s="100" t="s">
        <v>206</v>
      </c>
      <c r="P41" s="100" t="s">
        <v>204</v>
      </c>
      <c r="Q41" s="100" t="s">
        <v>206</v>
      </c>
      <c r="R41" s="100">
        <v>90</v>
      </c>
      <c r="S41" s="120">
        <v>10000000</v>
      </c>
      <c r="T41" s="120">
        <v>0</v>
      </c>
      <c r="U41" s="100" t="s">
        <v>207</v>
      </c>
      <c r="V41" s="100">
        <v>0.19403999999999999</v>
      </c>
      <c r="W41" s="120">
        <v>1824.07</v>
      </c>
      <c r="X41" s="100">
        <v>1.0749390000000001</v>
      </c>
      <c r="Y41" s="120">
        <v>1960.76</v>
      </c>
      <c r="AA41" s="135">
        <f t="shared" si="2"/>
        <v>1.2523445980000001</v>
      </c>
      <c r="AB41" s="145"/>
    </row>
    <row r="42" spans="1:28" x14ac:dyDescent="0.25">
      <c r="A42" s="100" t="s">
        <v>208</v>
      </c>
      <c r="B42" s="100" t="s">
        <v>206</v>
      </c>
      <c r="C42" s="100" t="s">
        <v>208</v>
      </c>
      <c r="D42" s="100">
        <v>91</v>
      </c>
      <c r="E42" s="100" t="s">
        <v>209</v>
      </c>
      <c r="F42" s="100">
        <v>0.79849999999999999</v>
      </c>
      <c r="G42" s="120">
        <v>-12523445.98</v>
      </c>
      <c r="H42" s="120">
        <v>37259.019999999997</v>
      </c>
      <c r="I42" s="100" t="s">
        <v>209</v>
      </c>
      <c r="J42" s="100">
        <v>1.1262300000000001</v>
      </c>
      <c r="K42" s="120">
        <v>1606.5</v>
      </c>
      <c r="L42" s="100">
        <v>0.96200399999999997</v>
      </c>
      <c r="M42" s="120">
        <v>1545.46</v>
      </c>
      <c r="O42" s="100" t="s">
        <v>208</v>
      </c>
      <c r="P42" s="100" t="s">
        <v>206</v>
      </c>
      <c r="Q42" s="100" t="s">
        <v>208</v>
      </c>
      <c r="R42" s="100">
        <v>91</v>
      </c>
      <c r="S42" s="120">
        <v>10000000</v>
      </c>
      <c r="T42" s="120">
        <v>0</v>
      </c>
      <c r="U42" s="100" t="s">
        <v>209</v>
      </c>
      <c r="V42" s="100">
        <v>0.21648000000000001</v>
      </c>
      <c r="W42" s="120">
        <v>2411.62</v>
      </c>
      <c r="X42" s="100">
        <v>1.075755</v>
      </c>
      <c r="Y42" s="120">
        <v>2594.3200000000002</v>
      </c>
      <c r="AA42" s="135">
        <f t="shared" si="2"/>
        <v>1.2560705000000001</v>
      </c>
      <c r="AB42" s="145"/>
    </row>
    <row r="43" spans="1:28" x14ac:dyDescent="0.25">
      <c r="A43" s="100" t="s">
        <v>210</v>
      </c>
      <c r="B43" s="100" t="s">
        <v>208</v>
      </c>
      <c r="C43" s="100" t="s">
        <v>210</v>
      </c>
      <c r="D43" s="100">
        <v>92</v>
      </c>
      <c r="E43" s="100" t="s">
        <v>211</v>
      </c>
      <c r="F43" s="100">
        <v>0.79613</v>
      </c>
      <c r="G43" s="120">
        <v>-12560705</v>
      </c>
      <c r="H43" s="120">
        <v>36803.15</v>
      </c>
      <c r="I43" s="100" t="s">
        <v>211</v>
      </c>
      <c r="J43" s="100">
        <v>1.0975999999999999</v>
      </c>
      <c r="K43" s="120">
        <v>1570.62</v>
      </c>
      <c r="L43" s="100">
        <v>0.96013099999999996</v>
      </c>
      <c r="M43" s="120">
        <v>1508.01</v>
      </c>
      <c r="O43" s="100" t="s">
        <v>210</v>
      </c>
      <c r="P43" s="100" t="s">
        <v>208</v>
      </c>
      <c r="Q43" s="100" t="s">
        <v>210</v>
      </c>
      <c r="R43" s="100">
        <v>92</v>
      </c>
      <c r="S43" s="120">
        <v>10000000</v>
      </c>
      <c r="T43" s="120">
        <v>0</v>
      </c>
      <c r="U43" s="100" t="s">
        <v>211</v>
      </c>
      <c r="V43" s="100">
        <v>0.25009999999999999</v>
      </c>
      <c r="W43" s="120">
        <v>3297.21</v>
      </c>
      <c r="X43" s="100">
        <v>1.0767310000000001</v>
      </c>
      <c r="Y43" s="120">
        <v>3550.21</v>
      </c>
      <c r="AA43" s="135">
        <f t="shared" si="2"/>
        <v>1.2597508150000001</v>
      </c>
      <c r="AB43" s="145"/>
    </row>
    <row r="44" spans="1:28" x14ac:dyDescent="0.25">
      <c r="A44" s="100" t="s">
        <v>212</v>
      </c>
      <c r="B44" s="100" t="s">
        <v>210</v>
      </c>
      <c r="C44" s="100" t="s">
        <v>212</v>
      </c>
      <c r="D44" s="100">
        <v>92</v>
      </c>
      <c r="E44" s="100" t="s">
        <v>213</v>
      </c>
      <c r="F44" s="100">
        <v>0.79381000000000002</v>
      </c>
      <c r="G44" s="120">
        <v>-12597508.15</v>
      </c>
      <c r="H44" s="120">
        <v>34989.97</v>
      </c>
      <c r="I44" s="100" t="s">
        <v>213</v>
      </c>
      <c r="J44" s="100">
        <v>1.1182799999999999</v>
      </c>
      <c r="K44" s="120">
        <v>-1011.68</v>
      </c>
      <c r="L44" s="100">
        <v>0.95823100000000005</v>
      </c>
      <c r="M44" s="120">
        <v>-969.42</v>
      </c>
      <c r="O44" s="100" t="s">
        <v>212</v>
      </c>
      <c r="P44" s="100" t="s">
        <v>210</v>
      </c>
      <c r="Q44" s="100" t="s">
        <v>212</v>
      </c>
      <c r="R44" s="100">
        <v>92</v>
      </c>
      <c r="S44" s="120">
        <v>10000000</v>
      </c>
      <c r="T44" s="120">
        <v>0</v>
      </c>
      <c r="U44" s="100" t="s">
        <v>213</v>
      </c>
      <c r="V44" s="100">
        <v>0.27335999999999999</v>
      </c>
      <c r="W44" s="120">
        <v>3891.66</v>
      </c>
      <c r="X44" s="100">
        <v>1.077617</v>
      </c>
      <c r="Y44" s="120">
        <v>4193.72</v>
      </c>
      <c r="AA44" s="135">
        <f t="shared" si="2"/>
        <v>1.2632498109999999</v>
      </c>
      <c r="AB44" s="145"/>
    </row>
    <row r="45" spans="1:28" x14ac:dyDescent="0.25">
      <c r="A45" s="100" t="s">
        <v>214</v>
      </c>
      <c r="B45" s="100" t="s">
        <v>212</v>
      </c>
      <c r="C45" s="100" t="s">
        <v>214</v>
      </c>
      <c r="D45" s="100">
        <v>90</v>
      </c>
      <c r="E45" s="100" t="s">
        <v>215</v>
      </c>
      <c r="F45" s="100">
        <v>0.79161000000000004</v>
      </c>
      <c r="G45" s="120">
        <v>-12632498.109999999</v>
      </c>
      <c r="H45" s="120">
        <v>35080.36</v>
      </c>
      <c r="I45" s="100" t="s">
        <v>215</v>
      </c>
      <c r="J45" s="100">
        <v>1.13853</v>
      </c>
      <c r="K45" s="120">
        <v>-875.73</v>
      </c>
      <c r="L45" s="100">
        <v>0.95633400000000002</v>
      </c>
      <c r="M45" s="120">
        <v>-837.49</v>
      </c>
      <c r="O45" s="100" t="s">
        <v>214</v>
      </c>
      <c r="P45" s="100" t="s">
        <v>212</v>
      </c>
      <c r="Q45" s="100" t="s">
        <v>214</v>
      </c>
      <c r="R45" s="100">
        <v>90</v>
      </c>
      <c r="S45" s="120">
        <v>10000000</v>
      </c>
      <c r="T45" s="120">
        <v>0</v>
      </c>
      <c r="U45" s="100" t="s">
        <v>215</v>
      </c>
      <c r="V45" s="100">
        <v>0.29631999999999997</v>
      </c>
      <c r="W45" s="120">
        <v>4381.05</v>
      </c>
      <c r="X45" s="100">
        <v>1.078438</v>
      </c>
      <c r="Y45" s="120">
        <v>4724.6899999999996</v>
      </c>
      <c r="AA45" s="135">
        <f t="shared" si="2"/>
        <v>1.266757847</v>
      </c>
      <c r="AB45" s="145"/>
    </row>
    <row r="46" spans="1:28" x14ac:dyDescent="0.25">
      <c r="A46" s="100" t="s">
        <v>216</v>
      </c>
      <c r="B46" s="100" t="s">
        <v>214</v>
      </c>
      <c r="C46" s="100" t="s">
        <v>216</v>
      </c>
      <c r="D46" s="100">
        <v>91</v>
      </c>
      <c r="E46" s="100" t="s">
        <v>217</v>
      </c>
      <c r="F46" s="100">
        <v>0.78942000000000001</v>
      </c>
      <c r="G46" s="120">
        <v>-12667578.470000001</v>
      </c>
      <c r="H46" s="120">
        <v>35170.949999999997</v>
      </c>
      <c r="I46" s="100" t="s">
        <v>217</v>
      </c>
      <c r="J46" s="100">
        <v>1.1585300000000001</v>
      </c>
      <c r="K46" s="120">
        <v>-1926.11</v>
      </c>
      <c r="L46" s="100">
        <v>0.95438000000000001</v>
      </c>
      <c r="M46" s="120">
        <v>-1838.24</v>
      </c>
      <c r="O46" s="100" t="s">
        <v>216</v>
      </c>
      <c r="P46" s="100" t="s">
        <v>214</v>
      </c>
      <c r="Q46" s="100" t="s">
        <v>216</v>
      </c>
      <c r="R46" s="100">
        <v>91</v>
      </c>
      <c r="S46" s="120">
        <v>10000000</v>
      </c>
      <c r="T46" s="120">
        <v>0</v>
      </c>
      <c r="U46" s="100" t="s">
        <v>217</v>
      </c>
      <c r="V46" s="100">
        <v>0.31911</v>
      </c>
      <c r="W46" s="120">
        <v>5005.7299999999996</v>
      </c>
      <c r="X46" s="100">
        <v>1.079223</v>
      </c>
      <c r="Y46" s="120">
        <v>5402.29</v>
      </c>
      <c r="AA46" s="135">
        <f t="shared" si="2"/>
        <v>1.2702749419999999</v>
      </c>
      <c r="AB46" s="145"/>
    </row>
    <row r="47" spans="1:28" x14ac:dyDescent="0.25">
      <c r="A47" s="100" t="s">
        <v>218</v>
      </c>
      <c r="B47" s="100" t="s">
        <v>216</v>
      </c>
      <c r="C47" s="100" t="s">
        <v>218</v>
      </c>
      <c r="D47" s="100">
        <v>92</v>
      </c>
      <c r="E47" s="100" t="s">
        <v>219</v>
      </c>
      <c r="F47" s="100">
        <v>0.78722999999999999</v>
      </c>
      <c r="G47" s="120">
        <v>-12702749.42</v>
      </c>
      <c r="H47" s="120">
        <v>35649.730000000003</v>
      </c>
      <c r="I47" s="100" t="s">
        <v>219</v>
      </c>
      <c r="J47" s="100">
        <v>1.1175200000000001</v>
      </c>
      <c r="K47" s="120">
        <v>-627.73</v>
      </c>
      <c r="L47" s="100">
        <v>0.95236699999999996</v>
      </c>
      <c r="M47" s="120">
        <v>-597.83000000000004</v>
      </c>
      <c r="O47" s="100" t="s">
        <v>218</v>
      </c>
      <c r="P47" s="100" t="s">
        <v>216</v>
      </c>
      <c r="Q47" s="100" t="s">
        <v>218</v>
      </c>
      <c r="R47" s="100">
        <v>92</v>
      </c>
      <c r="S47" s="120">
        <v>10000000</v>
      </c>
      <c r="T47" s="120">
        <v>0</v>
      </c>
      <c r="U47" s="100" t="s">
        <v>219</v>
      </c>
      <c r="V47" s="100">
        <v>0.28788000000000002</v>
      </c>
      <c r="W47" s="120">
        <v>4262.7</v>
      </c>
      <c r="X47" s="100">
        <v>1.079969</v>
      </c>
      <c r="Y47" s="120">
        <v>4603.58</v>
      </c>
      <c r="AA47" s="135">
        <f t="shared" si="2"/>
        <v>1.2738399149999999</v>
      </c>
      <c r="AB47" s="145"/>
    </row>
    <row r="48" spans="1:28" x14ac:dyDescent="0.25">
      <c r="A48" s="100" t="s">
        <v>220</v>
      </c>
      <c r="B48" s="100" t="s">
        <v>218</v>
      </c>
      <c r="C48" s="100" t="s">
        <v>220</v>
      </c>
      <c r="D48" s="100">
        <v>92</v>
      </c>
      <c r="E48" s="100" t="s">
        <v>221</v>
      </c>
      <c r="F48" s="100">
        <v>0.78503000000000001</v>
      </c>
      <c r="G48" s="120">
        <v>-12738399.15</v>
      </c>
      <c r="H48" s="120">
        <v>35353.72</v>
      </c>
      <c r="I48" s="100" t="s">
        <v>221</v>
      </c>
      <c r="J48" s="100">
        <v>1.1350899999999999</v>
      </c>
      <c r="K48" s="120">
        <v>-1597.66</v>
      </c>
      <c r="L48" s="100">
        <v>0.95031699999999997</v>
      </c>
      <c r="M48" s="120">
        <v>-1518.29</v>
      </c>
      <c r="O48" s="100" t="s">
        <v>220</v>
      </c>
      <c r="P48" s="100" t="s">
        <v>218</v>
      </c>
      <c r="Q48" s="100" t="s">
        <v>220</v>
      </c>
      <c r="R48" s="100">
        <v>92</v>
      </c>
      <c r="S48" s="120">
        <v>10000000</v>
      </c>
      <c r="T48" s="120">
        <v>0</v>
      </c>
      <c r="U48" s="100" t="s">
        <v>221</v>
      </c>
      <c r="V48" s="100">
        <v>0.30858999999999998</v>
      </c>
      <c r="W48" s="120">
        <v>4792.0600000000004</v>
      </c>
      <c r="X48" s="100">
        <v>1.080668</v>
      </c>
      <c r="Y48" s="120">
        <v>5178.62</v>
      </c>
      <c r="AA48" s="135">
        <f t="shared" si="2"/>
        <v>1.2773752869999999</v>
      </c>
      <c r="AB48" s="145"/>
    </row>
    <row r="49" spans="1:28" x14ac:dyDescent="0.25">
      <c r="A49" s="100" t="s">
        <v>222</v>
      </c>
      <c r="B49" s="100" t="s">
        <v>220</v>
      </c>
      <c r="C49" s="100" t="s">
        <v>222</v>
      </c>
      <c r="D49" s="100">
        <v>91</v>
      </c>
      <c r="E49" s="100" t="s">
        <v>223</v>
      </c>
      <c r="F49" s="100">
        <v>0.78286</v>
      </c>
      <c r="G49" s="120">
        <v>-12773752.869999999</v>
      </c>
      <c r="H49" s="120">
        <v>35834.910000000003</v>
      </c>
      <c r="I49" s="100" t="s">
        <v>223</v>
      </c>
      <c r="J49" s="100">
        <v>1.15239</v>
      </c>
      <c r="K49" s="120">
        <v>-1374.91</v>
      </c>
      <c r="L49" s="100">
        <v>0.94825400000000004</v>
      </c>
      <c r="M49" s="120">
        <v>-1303.76</v>
      </c>
      <c r="O49" s="100" t="s">
        <v>222</v>
      </c>
      <c r="P49" s="100" t="s">
        <v>220</v>
      </c>
      <c r="Q49" s="100" t="s">
        <v>222</v>
      </c>
      <c r="R49" s="100">
        <v>91</v>
      </c>
      <c r="S49" s="120">
        <v>10000000</v>
      </c>
      <c r="T49" s="120">
        <v>0</v>
      </c>
      <c r="U49" s="100" t="s">
        <v>223</v>
      </c>
      <c r="V49" s="100">
        <v>0.32915</v>
      </c>
      <c r="W49" s="120">
        <v>5259.48</v>
      </c>
      <c r="X49" s="100">
        <v>1.0813140000000001</v>
      </c>
      <c r="Y49" s="120">
        <v>5687.16</v>
      </c>
      <c r="AA49" s="135">
        <f t="shared" si="2"/>
        <v>1.280958778</v>
      </c>
      <c r="AB49" s="145"/>
    </row>
    <row r="50" spans="1:28" x14ac:dyDescent="0.25">
      <c r="A50" s="100" t="s">
        <v>224</v>
      </c>
      <c r="B50" s="100" t="s">
        <v>222</v>
      </c>
      <c r="C50" s="100" t="s">
        <v>224</v>
      </c>
      <c r="D50" s="100">
        <v>91</v>
      </c>
      <c r="E50" s="100" t="s">
        <v>225</v>
      </c>
      <c r="F50" s="100">
        <v>0.78066999999999998</v>
      </c>
      <c r="G50" s="120">
        <v>-12809587.779999999</v>
      </c>
      <c r="H50" s="120">
        <v>35537.29</v>
      </c>
      <c r="I50" s="100" t="s">
        <v>225</v>
      </c>
      <c r="J50" s="100">
        <v>1.1694599999999999</v>
      </c>
      <c r="K50" s="120">
        <v>-2329.4899999999998</v>
      </c>
      <c r="L50" s="100">
        <v>0.946156</v>
      </c>
      <c r="M50" s="120">
        <v>-2204.06</v>
      </c>
      <c r="O50" s="100" t="s">
        <v>224</v>
      </c>
      <c r="P50" s="100" t="s">
        <v>222</v>
      </c>
      <c r="Q50" s="100" t="s">
        <v>224</v>
      </c>
      <c r="R50" s="100">
        <v>91</v>
      </c>
      <c r="S50" s="120">
        <v>10000000</v>
      </c>
      <c r="T50" s="120">
        <v>0</v>
      </c>
      <c r="U50" s="100" t="s">
        <v>225</v>
      </c>
      <c r="V50" s="100">
        <v>0.34954000000000002</v>
      </c>
      <c r="W50" s="120">
        <v>5774.92</v>
      </c>
      <c r="X50" s="100">
        <v>1.081915</v>
      </c>
      <c r="Y50" s="120">
        <v>6247.98</v>
      </c>
      <c r="AA50" s="135">
        <f t="shared" si="2"/>
        <v>1.2845125070000001</v>
      </c>
      <c r="AB50" s="145"/>
    </row>
    <row r="51" spans="1:28" x14ac:dyDescent="0.25">
      <c r="A51" s="100" t="s">
        <v>226</v>
      </c>
      <c r="B51" s="100" t="s">
        <v>224</v>
      </c>
      <c r="C51" s="100" t="s">
        <v>226</v>
      </c>
      <c r="D51" s="100">
        <v>94</v>
      </c>
      <c r="E51" s="100" t="s">
        <v>227</v>
      </c>
      <c r="F51" s="100">
        <v>0.77851000000000004</v>
      </c>
      <c r="G51" s="120">
        <v>-12845125.07</v>
      </c>
      <c r="H51" s="120">
        <v>31458.34</v>
      </c>
      <c r="I51" s="100" t="s">
        <v>227</v>
      </c>
      <c r="J51" s="100">
        <v>1.06073</v>
      </c>
      <c r="K51" s="120">
        <v>-4118.47</v>
      </c>
      <c r="L51" s="100">
        <v>0.94420800000000005</v>
      </c>
      <c r="M51" s="120">
        <v>-3888.69</v>
      </c>
      <c r="O51" s="100" t="s">
        <v>226</v>
      </c>
      <c r="P51" s="100" t="s">
        <v>224</v>
      </c>
      <c r="Q51" s="100" t="s">
        <v>226</v>
      </c>
      <c r="R51" s="100">
        <v>94</v>
      </c>
      <c r="S51" s="120">
        <v>10000000</v>
      </c>
      <c r="T51" s="120">
        <v>0</v>
      </c>
      <c r="U51" s="100" t="s">
        <v>227</v>
      </c>
      <c r="V51" s="100">
        <v>0.30480000000000002</v>
      </c>
      <c r="W51" s="120">
        <v>4797.25</v>
      </c>
      <c r="X51" s="100">
        <v>1.0823799999999999</v>
      </c>
      <c r="Y51" s="120">
        <v>5192.45</v>
      </c>
      <c r="AA51" s="135">
        <f t="shared" si="2"/>
        <v>1.287658341</v>
      </c>
      <c r="AB51" s="145"/>
    </row>
    <row r="52" spans="1:28" x14ac:dyDescent="0.25">
      <c r="A52" s="100" t="s">
        <v>228</v>
      </c>
      <c r="B52" s="100" t="s">
        <v>226</v>
      </c>
      <c r="C52" s="100" t="s">
        <v>228</v>
      </c>
      <c r="D52" s="100">
        <v>92</v>
      </c>
      <c r="E52" s="100" t="s">
        <v>229</v>
      </c>
      <c r="F52" s="100">
        <v>0.77659999999999996</v>
      </c>
      <c r="G52" s="120">
        <v>-12876583.41</v>
      </c>
      <c r="H52" s="120">
        <v>30882.53</v>
      </c>
      <c r="I52" s="100" t="s">
        <v>229</v>
      </c>
      <c r="J52" s="100">
        <v>1.0733200000000001</v>
      </c>
      <c r="K52" s="120">
        <v>-4437</v>
      </c>
      <c r="L52" s="100">
        <v>0.94228900000000004</v>
      </c>
      <c r="M52" s="120">
        <v>-4180.9399999999996</v>
      </c>
      <c r="O52" s="100" t="s">
        <v>228</v>
      </c>
      <c r="P52" s="100" t="s">
        <v>226</v>
      </c>
      <c r="Q52" s="100" t="s">
        <v>228</v>
      </c>
      <c r="R52" s="100">
        <v>92</v>
      </c>
      <c r="S52" s="120">
        <v>10000000</v>
      </c>
      <c r="T52" s="120">
        <v>0</v>
      </c>
      <c r="U52" s="100" t="s">
        <v>229</v>
      </c>
      <c r="V52" s="100">
        <v>0.32292999999999999</v>
      </c>
      <c r="W52" s="120">
        <v>5158.3900000000003</v>
      </c>
      <c r="X52" s="100">
        <v>1.0827979999999999</v>
      </c>
      <c r="Y52" s="120">
        <v>5585.5</v>
      </c>
      <c r="AA52" s="135">
        <f t="shared" si="2"/>
        <v>1.290746594</v>
      </c>
      <c r="AB52" s="145"/>
    </row>
    <row r="53" spans="1:28" x14ac:dyDescent="0.25">
      <c r="A53" s="100" t="s">
        <v>230</v>
      </c>
      <c r="B53" s="100" t="s">
        <v>228</v>
      </c>
      <c r="C53" s="100" t="s">
        <v>230</v>
      </c>
      <c r="D53" s="100">
        <v>90</v>
      </c>
      <c r="E53" s="100" t="s">
        <v>231</v>
      </c>
      <c r="F53" s="100">
        <v>0.77475000000000005</v>
      </c>
      <c r="G53" s="120">
        <v>-12907465.939999999</v>
      </c>
      <c r="H53" s="120">
        <v>30745.03</v>
      </c>
      <c r="I53" s="100" t="s">
        <v>231</v>
      </c>
      <c r="J53" s="100">
        <v>1.0855300000000001</v>
      </c>
      <c r="K53" s="120">
        <v>-4283.6099999999997</v>
      </c>
      <c r="L53" s="100">
        <v>0.94038600000000006</v>
      </c>
      <c r="M53" s="120">
        <v>-4028.25</v>
      </c>
      <c r="O53" s="100" t="s">
        <v>230</v>
      </c>
      <c r="P53" s="100" t="s">
        <v>228</v>
      </c>
      <c r="Q53" s="100" t="s">
        <v>230</v>
      </c>
      <c r="R53" s="100">
        <v>90</v>
      </c>
      <c r="S53" s="120">
        <v>10000000</v>
      </c>
      <c r="T53" s="120">
        <v>0</v>
      </c>
      <c r="U53" s="100" t="s">
        <v>232</v>
      </c>
      <c r="V53" s="100">
        <v>0.34061999999999998</v>
      </c>
      <c r="W53" s="120">
        <v>5488.55</v>
      </c>
      <c r="X53" s="100">
        <v>1.0831569999999999</v>
      </c>
      <c r="Y53" s="120">
        <v>5944.96</v>
      </c>
      <c r="AA53" s="135">
        <f t="shared" si="2"/>
        <v>1.293821098</v>
      </c>
      <c r="AB53" s="145"/>
    </row>
    <row r="54" spans="1:28" x14ac:dyDescent="0.25">
      <c r="A54" s="100" t="s">
        <v>233</v>
      </c>
      <c r="B54" s="100" t="s">
        <v>230</v>
      </c>
      <c r="C54" s="100" t="s">
        <v>233</v>
      </c>
      <c r="D54" s="100">
        <v>92</v>
      </c>
      <c r="E54" s="100" t="s">
        <v>234</v>
      </c>
      <c r="F54" s="100">
        <v>0.77290000000000003</v>
      </c>
      <c r="G54" s="120">
        <v>-12938210.98</v>
      </c>
      <c r="H54" s="120">
        <v>30605.35</v>
      </c>
      <c r="I54" s="100" t="s">
        <v>234</v>
      </c>
      <c r="J54" s="100">
        <v>1.0976999999999999</v>
      </c>
      <c r="K54" s="120">
        <v>-5689.35</v>
      </c>
      <c r="L54" s="100">
        <v>0.93841600000000003</v>
      </c>
      <c r="M54" s="120">
        <v>-5338.98</v>
      </c>
      <c r="O54" s="100" t="s">
        <v>233</v>
      </c>
      <c r="P54" s="100" t="s">
        <v>230</v>
      </c>
      <c r="Q54" s="100" t="s">
        <v>233</v>
      </c>
      <c r="R54" s="100">
        <v>92</v>
      </c>
      <c r="S54" s="120">
        <v>10000000</v>
      </c>
      <c r="T54" s="120">
        <v>0</v>
      </c>
      <c r="U54" s="100" t="s">
        <v>234</v>
      </c>
      <c r="V54" s="100">
        <v>0.35826999999999998</v>
      </c>
      <c r="W54" s="120">
        <v>6061.65</v>
      </c>
      <c r="X54" s="100">
        <v>1.083472</v>
      </c>
      <c r="Y54" s="120">
        <v>6567.63</v>
      </c>
      <c r="AA54" s="135">
        <f t="shared" si="2"/>
        <v>1.2968816320000001</v>
      </c>
      <c r="AB54" s="145"/>
    </row>
    <row r="55" spans="1:28" x14ac:dyDescent="0.25">
      <c r="A55" s="100" t="s">
        <v>235</v>
      </c>
      <c r="B55" s="100" t="s">
        <v>233</v>
      </c>
      <c r="C55" s="100" t="s">
        <v>235</v>
      </c>
      <c r="D55" s="100">
        <v>90</v>
      </c>
      <c r="E55" s="100" t="s">
        <v>236</v>
      </c>
      <c r="F55" s="100">
        <v>0.77107999999999999</v>
      </c>
      <c r="G55" s="120">
        <v>-12968816.32</v>
      </c>
      <c r="H55" s="120">
        <v>30463.49</v>
      </c>
      <c r="I55" s="100" t="s">
        <v>237</v>
      </c>
      <c r="J55" s="100">
        <v>1.1096900000000001</v>
      </c>
      <c r="K55" s="120">
        <v>-5515.04</v>
      </c>
      <c r="L55" s="100">
        <v>0.93646499999999999</v>
      </c>
      <c r="M55" s="120">
        <v>-5164.6400000000003</v>
      </c>
      <c r="O55" s="100" t="s">
        <v>235</v>
      </c>
      <c r="P55" s="100" t="s">
        <v>233</v>
      </c>
      <c r="Q55" s="100" t="s">
        <v>235</v>
      </c>
      <c r="R55" s="100">
        <v>90</v>
      </c>
      <c r="S55" s="120">
        <v>10000000</v>
      </c>
      <c r="T55" s="120">
        <v>0</v>
      </c>
      <c r="U55" s="100" t="s">
        <v>237</v>
      </c>
      <c r="V55" s="100">
        <v>0.37586999999999998</v>
      </c>
      <c r="W55" s="120">
        <v>6369.84</v>
      </c>
      <c r="X55" s="100">
        <v>1.0837300000000001</v>
      </c>
      <c r="Y55" s="120">
        <v>6903.19</v>
      </c>
      <c r="AA55" s="135">
        <f t="shared" si="2"/>
        <v>1.299927981</v>
      </c>
      <c r="AB55" s="145"/>
    </row>
    <row r="56" spans="1:28" x14ac:dyDescent="0.25">
      <c r="A56" s="100" t="s">
        <v>238</v>
      </c>
      <c r="B56" s="100" t="s">
        <v>235</v>
      </c>
      <c r="C56" s="100" t="s">
        <v>238</v>
      </c>
      <c r="D56" s="100">
        <v>92</v>
      </c>
      <c r="E56" s="100" t="s">
        <v>239</v>
      </c>
      <c r="F56" s="100">
        <v>0.76927000000000001</v>
      </c>
      <c r="G56" s="120">
        <v>-12999279.810000001</v>
      </c>
      <c r="H56" s="120">
        <v>30319.46</v>
      </c>
      <c r="I56" s="100" t="s">
        <v>239</v>
      </c>
      <c r="J56" s="100">
        <v>1.12165</v>
      </c>
      <c r="K56" s="120">
        <v>-6942.06</v>
      </c>
      <c r="L56" s="100">
        <v>0.934446</v>
      </c>
      <c r="M56" s="120">
        <v>-6486.98</v>
      </c>
      <c r="O56" s="100" t="s">
        <v>238</v>
      </c>
      <c r="P56" s="100" t="s">
        <v>235</v>
      </c>
      <c r="Q56" s="100" t="s">
        <v>238</v>
      </c>
      <c r="R56" s="100">
        <v>92</v>
      </c>
      <c r="S56" s="120">
        <v>10000000</v>
      </c>
      <c r="T56" s="120">
        <v>0</v>
      </c>
      <c r="U56" s="100" t="s">
        <v>239</v>
      </c>
      <c r="V56" s="100">
        <v>0.39343</v>
      </c>
      <c r="W56" s="120">
        <v>6960.06</v>
      </c>
      <c r="X56" s="100">
        <v>1.083942</v>
      </c>
      <c r="Y56" s="120">
        <v>7544.31</v>
      </c>
      <c r="AA56" s="135">
        <f t="shared" si="2"/>
        <v>1.3029599269999999</v>
      </c>
      <c r="AB56" s="145"/>
    </row>
    <row r="57" spans="1:28" x14ac:dyDescent="0.25">
      <c r="A57" s="100" t="s">
        <v>240</v>
      </c>
      <c r="B57" s="100" t="s">
        <v>238</v>
      </c>
      <c r="C57" s="100" t="s">
        <v>240</v>
      </c>
      <c r="D57" s="100">
        <v>90</v>
      </c>
      <c r="E57" s="100" t="s">
        <v>241</v>
      </c>
      <c r="F57" s="100">
        <v>0.76748000000000005</v>
      </c>
      <c r="G57" s="120">
        <v>-13029599.27</v>
      </c>
      <c r="H57" s="120">
        <v>30173.26</v>
      </c>
      <c r="I57" s="100" t="s">
        <v>241</v>
      </c>
      <c r="J57" s="100">
        <v>1.1334200000000001</v>
      </c>
      <c r="K57" s="120">
        <v>-6746.77</v>
      </c>
      <c r="L57" s="100">
        <v>0.93244700000000003</v>
      </c>
      <c r="M57" s="120">
        <v>-6291</v>
      </c>
      <c r="O57" s="100" t="s">
        <v>240</v>
      </c>
      <c r="P57" s="100" t="s">
        <v>238</v>
      </c>
      <c r="Q57" s="100" t="s">
        <v>240</v>
      </c>
      <c r="R57" s="100">
        <v>90</v>
      </c>
      <c r="S57" s="120">
        <v>10000000</v>
      </c>
      <c r="T57" s="120">
        <v>0</v>
      </c>
      <c r="U57" s="100" t="s">
        <v>242</v>
      </c>
      <c r="V57" s="100">
        <v>0.41092000000000001</v>
      </c>
      <c r="W57" s="120">
        <v>7246.17</v>
      </c>
      <c r="X57" s="100">
        <v>1.0841000000000001</v>
      </c>
      <c r="Y57" s="120">
        <v>7855.57</v>
      </c>
      <c r="AA57" s="135">
        <f t="shared" si="2"/>
        <v>1.305977253</v>
      </c>
      <c r="AB57" s="145"/>
    </row>
    <row r="58" spans="1:28" x14ac:dyDescent="0.25">
      <c r="A58" s="100" t="s">
        <v>243</v>
      </c>
      <c r="B58" s="100" t="s">
        <v>240</v>
      </c>
      <c r="C58" s="100" t="s">
        <v>243</v>
      </c>
      <c r="D58" s="100">
        <v>91</v>
      </c>
      <c r="E58" s="100" t="s">
        <v>244</v>
      </c>
      <c r="F58" s="100">
        <v>0.76571</v>
      </c>
      <c r="G58" s="120">
        <v>-13059772.529999999</v>
      </c>
      <c r="H58" s="120">
        <v>30024.89</v>
      </c>
      <c r="I58" s="100" t="s">
        <v>244</v>
      </c>
      <c r="J58" s="100">
        <v>1.14507</v>
      </c>
      <c r="K58" s="120">
        <v>-7776.49</v>
      </c>
      <c r="L58" s="100">
        <v>0.93040299999999998</v>
      </c>
      <c r="M58" s="120">
        <v>-7235.27</v>
      </c>
      <c r="O58" s="100" t="s">
        <v>243</v>
      </c>
      <c r="P58" s="100" t="s">
        <v>240</v>
      </c>
      <c r="Q58" s="100" t="s">
        <v>243</v>
      </c>
      <c r="R58" s="100">
        <v>91</v>
      </c>
      <c r="S58" s="120">
        <v>10000000</v>
      </c>
      <c r="T58" s="120">
        <v>0</v>
      </c>
      <c r="U58" s="100" t="s">
        <v>244</v>
      </c>
      <c r="V58" s="100">
        <v>0.42827999999999999</v>
      </c>
      <c r="W58" s="120">
        <v>7765.34</v>
      </c>
      <c r="X58" s="100">
        <v>1.084209</v>
      </c>
      <c r="Y58" s="120">
        <v>8419.25</v>
      </c>
      <c r="AA58" s="135">
        <f t="shared" si="2"/>
        <v>1.308979742</v>
      </c>
      <c r="AB58" s="145"/>
    </row>
    <row r="59" spans="1:28" x14ac:dyDescent="0.25">
      <c r="A59" s="100" t="s">
        <v>245</v>
      </c>
      <c r="B59" s="100" t="s">
        <v>243</v>
      </c>
      <c r="C59" s="100" t="s">
        <v>245</v>
      </c>
      <c r="D59" s="100">
        <v>91</v>
      </c>
      <c r="E59" s="100" t="s">
        <v>246</v>
      </c>
      <c r="F59" s="100">
        <v>0.76395000000000002</v>
      </c>
      <c r="G59" s="120">
        <v>-13089797.42</v>
      </c>
      <c r="H59" s="120">
        <v>29874.36</v>
      </c>
      <c r="I59" s="100" t="s">
        <v>246</v>
      </c>
      <c r="J59" s="100">
        <v>1.15666</v>
      </c>
      <c r="K59" s="120">
        <v>-8397.4</v>
      </c>
      <c r="L59" s="100">
        <v>0.92833500000000002</v>
      </c>
      <c r="M59" s="120">
        <v>-7795.61</v>
      </c>
      <c r="O59" s="100" t="s">
        <v>245</v>
      </c>
      <c r="P59" s="100" t="s">
        <v>243</v>
      </c>
      <c r="Q59" s="100" t="s">
        <v>245</v>
      </c>
      <c r="R59" s="100">
        <v>91</v>
      </c>
      <c r="S59" s="120">
        <v>10000000</v>
      </c>
      <c r="T59" s="120">
        <v>0</v>
      </c>
      <c r="U59" s="100" t="s">
        <v>246</v>
      </c>
      <c r="V59" s="100">
        <v>0.44567000000000001</v>
      </c>
      <c r="W59" s="120">
        <v>8204.93</v>
      </c>
      <c r="X59" s="100">
        <v>1.084268</v>
      </c>
      <c r="Y59" s="120">
        <v>8896.35</v>
      </c>
      <c r="AA59" s="135">
        <f t="shared" si="2"/>
        <v>1.3119671769999999</v>
      </c>
      <c r="AB59" s="145"/>
    </row>
    <row r="60" spans="1:28" x14ac:dyDescent="0.25">
      <c r="A60" s="100" t="s">
        <v>247</v>
      </c>
      <c r="B60" s="100" t="s">
        <v>245</v>
      </c>
      <c r="C60" s="100" t="s">
        <v>247</v>
      </c>
      <c r="D60" s="100">
        <v>92</v>
      </c>
      <c r="E60" s="100" t="s">
        <v>248</v>
      </c>
      <c r="F60" s="100">
        <v>0.76221000000000005</v>
      </c>
      <c r="G60" s="120">
        <v>-13119671.77</v>
      </c>
      <c r="H60" s="120">
        <v>29721.67</v>
      </c>
      <c r="I60" s="100" t="s">
        <v>248</v>
      </c>
      <c r="J60" s="100">
        <v>1.16822</v>
      </c>
      <c r="K60" s="120">
        <v>-9446.57</v>
      </c>
      <c r="L60" s="100">
        <v>0.92622199999999999</v>
      </c>
      <c r="M60" s="120">
        <v>-8749.6200000000008</v>
      </c>
      <c r="O60" s="100" t="s">
        <v>247</v>
      </c>
      <c r="P60" s="100" t="s">
        <v>245</v>
      </c>
      <c r="Q60" s="100" t="s">
        <v>247</v>
      </c>
      <c r="R60" s="100">
        <v>92</v>
      </c>
      <c r="S60" s="120">
        <v>10000000</v>
      </c>
      <c r="T60" s="120">
        <v>0</v>
      </c>
      <c r="U60" s="100" t="s">
        <v>248</v>
      </c>
      <c r="V60" s="100">
        <v>0.46310000000000001</v>
      </c>
      <c r="W60" s="120">
        <v>8740.5400000000009</v>
      </c>
      <c r="X60" s="100">
        <v>1.0842769999999999</v>
      </c>
      <c r="Y60" s="120">
        <v>9477.17</v>
      </c>
      <c r="AA60" s="135">
        <f t="shared" si="2"/>
        <v>1.3149393439999999</v>
      </c>
      <c r="AB60" s="145"/>
    </row>
    <row r="61" spans="1:28" x14ac:dyDescent="0.25">
      <c r="A61" s="100" t="s">
        <v>249</v>
      </c>
      <c r="B61" s="100" t="s">
        <v>247</v>
      </c>
      <c r="C61" s="100" t="s">
        <v>249</v>
      </c>
      <c r="D61" s="100">
        <v>90</v>
      </c>
      <c r="E61" s="100" t="s">
        <v>250</v>
      </c>
      <c r="F61" s="100">
        <v>0.76049</v>
      </c>
      <c r="G61" s="120">
        <v>-13149393.439999999</v>
      </c>
      <c r="H61" s="120">
        <v>29566.82</v>
      </c>
      <c r="I61" s="100" t="s">
        <v>250</v>
      </c>
      <c r="J61" s="100">
        <v>1.1795500000000001</v>
      </c>
      <c r="K61" s="120">
        <v>-9209.17</v>
      </c>
      <c r="L61" s="100">
        <v>0.92413299999999998</v>
      </c>
      <c r="M61" s="120">
        <v>-8510.5</v>
      </c>
      <c r="O61" s="100" t="s">
        <v>249</v>
      </c>
      <c r="P61" s="100" t="s">
        <v>247</v>
      </c>
      <c r="Q61" s="100" t="s">
        <v>249</v>
      </c>
      <c r="R61" s="100">
        <v>90</v>
      </c>
      <c r="S61" s="120">
        <v>10000000</v>
      </c>
      <c r="T61" s="120">
        <v>0</v>
      </c>
      <c r="U61" s="100" t="s">
        <v>250</v>
      </c>
      <c r="V61" s="100">
        <v>0.48036000000000001</v>
      </c>
      <c r="W61" s="120">
        <v>8982.16</v>
      </c>
      <c r="X61" s="100">
        <v>1.084236</v>
      </c>
      <c r="Y61" s="120">
        <v>9738.7800000000007</v>
      </c>
      <c r="AA61" s="135">
        <f t="shared" si="2"/>
        <v>1.3178960259999999</v>
      </c>
      <c r="AB61" s="145"/>
    </row>
    <row r="62" spans="1:28" x14ac:dyDescent="0.25">
      <c r="A62" s="100" t="s">
        <v>251</v>
      </c>
      <c r="B62" s="100" t="s">
        <v>249</v>
      </c>
      <c r="C62" s="100" t="s">
        <v>251</v>
      </c>
      <c r="D62" s="100">
        <v>91</v>
      </c>
      <c r="E62" s="100" t="s">
        <v>252</v>
      </c>
      <c r="F62" s="100">
        <v>0.75878999999999996</v>
      </c>
      <c r="G62" s="120">
        <v>-13178960.26</v>
      </c>
      <c r="H62" s="120">
        <v>29409.83</v>
      </c>
      <c r="I62" s="100" t="s">
        <v>252</v>
      </c>
      <c r="J62" s="100">
        <v>1.1907700000000001</v>
      </c>
      <c r="K62" s="120">
        <v>-10258.74</v>
      </c>
      <c r="L62" s="100">
        <v>0.92199900000000001</v>
      </c>
      <c r="M62" s="120">
        <v>-9458.5400000000009</v>
      </c>
      <c r="O62" s="100" t="s">
        <v>251</v>
      </c>
      <c r="P62" s="100" t="s">
        <v>249</v>
      </c>
      <c r="Q62" s="100" t="s">
        <v>251</v>
      </c>
      <c r="R62" s="100">
        <v>91</v>
      </c>
      <c r="S62" s="120">
        <v>10000000</v>
      </c>
      <c r="T62" s="120">
        <v>0</v>
      </c>
      <c r="U62" s="100" t="s">
        <v>252</v>
      </c>
      <c r="V62" s="100">
        <v>0.49747999999999998</v>
      </c>
      <c r="W62" s="120">
        <v>9514.65</v>
      </c>
      <c r="X62" s="100">
        <v>1.0841449999999999</v>
      </c>
      <c r="Y62" s="120">
        <v>10315.27</v>
      </c>
      <c r="AA62" s="135">
        <f t="shared" si="2"/>
        <v>1.3208370089999999</v>
      </c>
      <c r="AB62" s="145"/>
    </row>
    <row r="63" spans="1:28" x14ac:dyDescent="0.25">
      <c r="A63" s="100" t="s">
        <v>253</v>
      </c>
      <c r="B63" s="100" t="s">
        <v>251</v>
      </c>
      <c r="C63" s="100" t="s">
        <v>253</v>
      </c>
      <c r="D63" s="100">
        <v>92</v>
      </c>
      <c r="E63" s="100" t="s">
        <v>254</v>
      </c>
      <c r="F63" s="100">
        <v>0.7571</v>
      </c>
      <c r="G63" s="120">
        <v>-13208370.09</v>
      </c>
      <c r="H63" s="120">
        <v>32296.48</v>
      </c>
      <c r="I63" s="100" t="s">
        <v>254</v>
      </c>
      <c r="J63" s="100">
        <v>1.05596</v>
      </c>
      <c r="K63" s="120">
        <v>-3347.12</v>
      </c>
      <c r="L63" s="100">
        <v>0.92017000000000004</v>
      </c>
      <c r="M63" s="120">
        <v>-3079.93</v>
      </c>
      <c r="O63" s="100" t="s">
        <v>253</v>
      </c>
      <c r="P63" s="100" t="s">
        <v>251</v>
      </c>
      <c r="Q63" s="100" t="s">
        <v>253</v>
      </c>
      <c r="R63" s="100">
        <v>92</v>
      </c>
      <c r="S63" s="120">
        <v>10000000</v>
      </c>
      <c r="T63" s="120">
        <v>0</v>
      </c>
      <c r="U63" s="100" t="s">
        <v>254</v>
      </c>
      <c r="V63" s="100">
        <v>0.22694</v>
      </c>
      <c r="W63" s="120">
        <v>2705.38</v>
      </c>
      <c r="X63" s="100">
        <v>1.084651</v>
      </c>
      <c r="Y63" s="120">
        <v>2934.39</v>
      </c>
      <c r="AA63" s="135">
        <f t="shared" si="2"/>
        <v>1.324066658</v>
      </c>
      <c r="AB63" s="145"/>
    </row>
    <row r="64" spans="1:28" x14ac:dyDescent="0.25">
      <c r="A64" s="100" t="s">
        <v>255</v>
      </c>
      <c r="B64" s="100" t="s">
        <v>253</v>
      </c>
      <c r="C64" s="100" t="s">
        <v>255</v>
      </c>
      <c r="D64" s="100">
        <v>92</v>
      </c>
      <c r="E64" s="100" t="s">
        <v>256</v>
      </c>
      <c r="F64" s="100">
        <v>0.75524999999999998</v>
      </c>
      <c r="G64" s="120">
        <v>-13240666.58</v>
      </c>
      <c r="H64" s="120">
        <v>32016.93</v>
      </c>
      <c r="I64" s="100" t="s">
        <v>256</v>
      </c>
      <c r="J64" s="100">
        <v>1.06315</v>
      </c>
      <c r="K64" s="120">
        <v>-3957.04</v>
      </c>
      <c r="L64" s="100">
        <v>0.91834099999999996</v>
      </c>
      <c r="M64" s="120">
        <v>-3633.91</v>
      </c>
      <c r="O64" s="100" t="s">
        <v>255</v>
      </c>
      <c r="P64" s="100" t="s">
        <v>253</v>
      </c>
      <c r="Q64" s="100" t="s">
        <v>255</v>
      </c>
      <c r="R64" s="100">
        <v>92</v>
      </c>
      <c r="S64" s="120">
        <v>10000000</v>
      </c>
      <c r="T64" s="120">
        <v>0</v>
      </c>
      <c r="U64" s="100" t="s">
        <v>256</v>
      </c>
      <c r="V64" s="100">
        <v>0.23526</v>
      </c>
      <c r="W64" s="120">
        <v>2918.03</v>
      </c>
      <c r="X64" s="100">
        <v>1.08514</v>
      </c>
      <c r="Y64" s="120">
        <v>3166.47</v>
      </c>
      <c r="AA64" s="135">
        <f t="shared" si="2"/>
        <v>1.3272683510000001</v>
      </c>
      <c r="AB64" s="145"/>
    </row>
    <row r="65" spans="1:28" x14ac:dyDescent="0.25">
      <c r="A65" s="100" t="s">
        <v>257</v>
      </c>
      <c r="B65" s="100" t="s">
        <v>255</v>
      </c>
      <c r="C65" s="100" t="s">
        <v>257</v>
      </c>
      <c r="D65" s="100">
        <v>91</v>
      </c>
      <c r="E65" s="100" t="s">
        <v>258</v>
      </c>
      <c r="F65" s="100">
        <v>0.75343000000000004</v>
      </c>
      <c r="G65" s="120">
        <v>-13272683.51</v>
      </c>
      <c r="H65" s="120">
        <v>33020.410000000003</v>
      </c>
      <c r="I65" s="100" t="s">
        <v>258</v>
      </c>
      <c r="J65" s="100">
        <v>1.0702100000000001</v>
      </c>
      <c r="K65" s="120">
        <v>-2885.69</v>
      </c>
      <c r="L65" s="100">
        <v>0.91651899999999997</v>
      </c>
      <c r="M65" s="120">
        <v>-2644.79</v>
      </c>
      <c r="O65" s="100" t="s">
        <v>257</v>
      </c>
      <c r="P65" s="100" t="s">
        <v>255</v>
      </c>
      <c r="Q65" s="100" t="s">
        <v>257</v>
      </c>
      <c r="R65" s="100">
        <v>91</v>
      </c>
      <c r="S65" s="120">
        <v>10000000</v>
      </c>
      <c r="T65" s="120">
        <v>0</v>
      </c>
      <c r="U65" s="100" t="s">
        <v>258</v>
      </c>
      <c r="V65" s="100">
        <v>0.24351999999999999</v>
      </c>
      <c r="W65" s="120">
        <v>3095.12</v>
      </c>
      <c r="X65" s="100">
        <v>1.0855950000000001</v>
      </c>
      <c r="Y65" s="120">
        <v>3360.04</v>
      </c>
      <c r="AA65" s="135">
        <f t="shared" si="2"/>
        <v>1.330570392</v>
      </c>
      <c r="AB65" s="145"/>
    </row>
    <row r="66" spans="1:28" x14ac:dyDescent="0.25">
      <c r="A66" s="100" t="s">
        <v>259</v>
      </c>
      <c r="B66" s="100" t="s">
        <v>257</v>
      </c>
      <c r="C66" s="100" t="s">
        <v>259</v>
      </c>
      <c r="D66" s="100">
        <v>91</v>
      </c>
      <c r="E66" s="100" t="s">
        <v>260</v>
      </c>
      <c r="F66" s="100">
        <v>0.75156000000000001</v>
      </c>
      <c r="G66" s="120">
        <v>-13305703.92</v>
      </c>
      <c r="H66" s="120">
        <v>31914.93</v>
      </c>
      <c r="I66" s="100" t="s">
        <v>260</v>
      </c>
      <c r="J66" s="100">
        <v>1.0771900000000001</v>
      </c>
      <c r="K66" s="120">
        <v>-4315.24</v>
      </c>
      <c r="L66" s="100">
        <v>0.91468499999999997</v>
      </c>
      <c r="M66" s="120">
        <v>-3947.09</v>
      </c>
      <c r="O66" s="100" t="s">
        <v>259</v>
      </c>
      <c r="P66" s="100" t="s">
        <v>257</v>
      </c>
      <c r="Q66" s="100" t="s">
        <v>259</v>
      </c>
      <c r="R66" s="100">
        <v>91</v>
      </c>
      <c r="S66" s="120">
        <v>10000000</v>
      </c>
      <c r="T66" s="120">
        <v>0</v>
      </c>
      <c r="U66" s="100" t="s">
        <v>260</v>
      </c>
      <c r="V66" s="100">
        <v>0.25172</v>
      </c>
      <c r="W66" s="120">
        <v>3302.42</v>
      </c>
      <c r="X66" s="100">
        <v>1.0860209999999999</v>
      </c>
      <c r="Y66" s="120">
        <v>3586.49</v>
      </c>
      <c r="AA66" s="135">
        <f t="shared" si="2"/>
        <v>1.3337618849999999</v>
      </c>
      <c r="AB66" s="145"/>
    </row>
    <row r="67" spans="1:28" x14ac:dyDescent="0.25">
      <c r="A67" s="100" t="s">
        <v>261</v>
      </c>
      <c r="B67" s="100" t="s">
        <v>259</v>
      </c>
      <c r="C67" s="100" t="s">
        <v>261</v>
      </c>
      <c r="D67" s="100">
        <v>92</v>
      </c>
      <c r="E67" s="100" t="s">
        <v>262</v>
      </c>
      <c r="F67" s="100">
        <v>0.74975999999999998</v>
      </c>
      <c r="G67" s="120">
        <v>-13337618.85</v>
      </c>
      <c r="H67" s="120">
        <v>32212.73</v>
      </c>
      <c r="I67" s="100" t="s">
        <v>262</v>
      </c>
      <c r="J67" s="100">
        <v>1.08416</v>
      </c>
      <c r="K67" s="120">
        <v>-4740.97</v>
      </c>
      <c r="L67" s="100">
        <v>0.91281800000000002</v>
      </c>
      <c r="M67" s="120">
        <v>-4327.6499999999996</v>
      </c>
      <c r="O67" s="100" t="s">
        <v>261</v>
      </c>
      <c r="P67" s="100" t="s">
        <v>259</v>
      </c>
      <c r="Q67" s="100" t="s">
        <v>261</v>
      </c>
      <c r="R67" s="100">
        <v>92</v>
      </c>
      <c r="S67" s="120">
        <v>10000000</v>
      </c>
      <c r="T67" s="120">
        <v>0</v>
      </c>
      <c r="U67" s="100" t="s">
        <v>262</v>
      </c>
      <c r="V67" s="100">
        <v>0.25995000000000001</v>
      </c>
      <c r="W67" s="120">
        <v>3549.06</v>
      </c>
      <c r="X67" s="100">
        <v>1.086422</v>
      </c>
      <c r="Y67" s="120">
        <v>3855.77</v>
      </c>
      <c r="AA67" s="135">
        <f t="shared" ref="AA67:AA122" si="12">G68/$T$2</f>
        <v>1.336983158</v>
      </c>
      <c r="AB67" s="145"/>
    </row>
    <row r="68" spans="1:28" x14ac:dyDescent="0.25">
      <c r="A68" s="100" t="s">
        <v>263</v>
      </c>
      <c r="B68" s="100" t="s">
        <v>261</v>
      </c>
      <c r="C68" s="100" t="s">
        <v>263</v>
      </c>
      <c r="D68" s="100">
        <v>92</v>
      </c>
      <c r="E68" s="100" t="s">
        <v>264</v>
      </c>
      <c r="F68" s="100">
        <v>0.74795</v>
      </c>
      <c r="G68" s="120">
        <v>-13369831.58</v>
      </c>
      <c r="H68" s="120">
        <v>31808.99</v>
      </c>
      <c r="I68" s="100" t="s">
        <v>264</v>
      </c>
      <c r="J68" s="100">
        <v>1.0910899999999999</v>
      </c>
      <c r="K68" s="120">
        <v>-5470.57</v>
      </c>
      <c r="L68" s="100">
        <v>0.91093999999999997</v>
      </c>
      <c r="M68" s="120">
        <v>-4983.3599999999997</v>
      </c>
      <c r="O68" s="100" t="s">
        <v>263</v>
      </c>
      <c r="P68" s="100" t="s">
        <v>261</v>
      </c>
      <c r="Q68" s="100" t="s">
        <v>263</v>
      </c>
      <c r="R68" s="100">
        <v>92</v>
      </c>
      <c r="S68" s="120">
        <v>10000000</v>
      </c>
      <c r="T68" s="120">
        <v>0</v>
      </c>
      <c r="U68" s="100" t="s">
        <v>264</v>
      </c>
      <c r="V68" s="100">
        <v>0.26821</v>
      </c>
      <c r="W68" s="120">
        <v>3760.12</v>
      </c>
      <c r="X68" s="100">
        <v>1.086794</v>
      </c>
      <c r="Y68" s="120">
        <v>4086.47</v>
      </c>
      <c r="AA68" s="135">
        <f t="shared" si="12"/>
        <v>1.340164058</v>
      </c>
      <c r="AB68" s="145"/>
    </row>
    <row r="69" spans="1:28" x14ac:dyDescent="0.25">
      <c r="A69" s="100" t="s">
        <v>265</v>
      </c>
      <c r="B69" s="100" t="s">
        <v>263</v>
      </c>
      <c r="C69" s="100" t="s">
        <v>265</v>
      </c>
      <c r="D69" s="100">
        <v>90</v>
      </c>
      <c r="E69" s="100" t="s">
        <v>266</v>
      </c>
      <c r="F69" s="100">
        <v>0.74617999999999995</v>
      </c>
      <c r="G69" s="120">
        <v>-13401640.58</v>
      </c>
      <c r="H69" s="120">
        <v>31754.44</v>
      </c>
      <c r="I69" s="100" t="s">
        <v>266</v>
      </c>
      <c r="J69" s="100">
        <v>1.0978399999999999</v>
      </c>
      <c r="K69" s="120">
        <v>-5027.68</v>
      </c>
      <c r="L69" s="100">
        <v>0.90908999999999995</v>
      </c>
      <c r="M69" s="120">
        <v>-4570.62</v>
      </c>
      <c r="O69" s="100" t="s">
        <v>265</v>
      </c>
      <c r="P69" s="100" t="s">
        <v>263</v>
      </c>
      <c r="Q69" s="100" t="s">
        <v>265</v>
      </c>
      <c r="R69" s="100">
        <v>90</v>
      </c>
      <c r="S69" s="120">
        <v>10000000</v>
      </c>
      <c r="T69" s="120">
        <v>0</v>
      </c>
      <c r="U69" s="100" t="s">
        <v>266</v>
      </c>
      <c r="V69" s="100">
        <v>0.27635999999999999</v>
      </c>
      <c r="W69" s="120">
        <v>3882.14</v>
      </c>
      <c r="X69" s="100">
        <v>1.087129</v>
      </c>
      <c r="Y69" s="120">
        <v>4220.38</v>
      </c>
      <c r="AA69" s="135">
        <f t="shared" si="12"/>
        <v>1.343339501</v>
      </c>
      <c r="AB69" s="145"/>
    </row>
    <row r="70" spans="1:28" x14ac:dyDescent="0.25">
      <c r="A70" s="100" t="s">
        <v>267</v>
      </c>
      <c r="B70" s="100" t="s">
        <v>265</v>
      </c>
      <c r="C70" s="100" t="s">
        <v>267</v>
      </c>
      <c r="D70" s="100">
        <v>91</v>
      </c>
      <c r="E70" s="100" t="s">
        <v>268</v>
      </c>
      <c r="F70" s="100">
        <v>0.74441000000000002</v>
      </c>
      <c r="G70" s="120">
        <v>-13433395.01</v>
      </c>
      <c r="H70" s="120">
        <v>31698.63</v>
      </c>
      <c r="I70" s="100" t="s">
        <v>268</v>
      </c>
      <c r="J70" s="100">
        <v>1.1045400000000001</v>
      </c>
      <c r="K70" s="120">
        <v>-5807.83</v>
      </c>
      <c r="L70" s="100">
        <v>0.90720900000000004</v>
      </c>
      <c r="M70" s="120">
        <v>-5268.91</v>
      </c>
      <c r="O70" s="100" t="s">
        <v>267</v>
      </c>
      <c r="P70" s="100" t="s">
        <v>265</v>
      </c>
      <c r="Q70" s="100" t="s">
        <v>267</v>
      </c>
      <c r="R70" s="100">
        <v>91</v>
      </c>
      <c r="S70" s="120">
        <v>10000000</v>
      </c>
      <c r="T70" s="120">
        <v>0</v>
      </c>
      <c r="U70" s="100" t="s">
        <v>268</v>
      </c>
      <c r="V70" s="100">
        <v>0.28445999999999999</v>
      </c>
      <c r="W70" s="120">
        <v>4129.8100000000004</v>
      </c>
      <c r="X70" s="100">
        <v>1.0874379999999999</v>
      </c>
      <c r="Y70" s="120">
        <v>4490.92</v>
      </c>
      <c r="AA70" s="135">
        <f t="shared" si="12"/>
        <v>1.3465093640000001</v>
      </c>
      <c r="AB70" s="145"/>
    </row>
    <row r="71" spans="1:28" x14ac:dyDescent="0.25">
      <c r="A71" s="100" t="s">
        <v>269</v>
      </c>
      <c r="B71" s="100" t="s">
        <v>267</v>
      </c>
      <c r="C71" s="100" t="s">
        <v>269</v>
      </c>
      <c r="D71" s="100">
        <v>92</v>
      </c>
      <c r="E71" s="100" t="s">
        <v>270</v>
      </c>
      <c r="F71" s="100">
        <v>0.74265999999999999</v>
      </c>
      <c r="G71" s="120">
        <v>-13465093.640000001</v>
      </c>
      <c r="H71" s="120">
        <v>31988.95</v>
      </c>
      <c r="I71" s="100" t="s">
        <v>270</v>
      </c>
      <c r="J71" s="100">
        <v>1.1112500000000001</v>
      </c>
      <c r="K71" s="120">
        <v>-6250.03</v>
      </c>
      <c r="L71" s="100">
        <v>0.90529499999999996</v>
      </c>
      <c r="M71" s="120">
        <v>-5658.12</v>
      </c>
      <c r="O71" s="100" t="s">
        <v>269</v>
      </c>
      <c r="P71" s="100" t="s">
        <v>267</v>
      </c>
      <c r="Q71" s="100" t="s">
        <v>269</v>
      </c>
      <c r="R71" s="100">
        <v>92</v>
      </c>
      <c r="S71" s="120">
        <v>10000000</v>
      </c>
      <c r="T71" s="120">
        <v>0</v>
      </c>
      <c r="U71" s="100" t="s">
        <v>270</v>
      </c>
      <c r="V71" s="100">
        <v>0.29261999999999999</v>
      </c>
      <c r="W71" s="120">
        <v>4383.82</v>
      </c>
      <c r="X71" s="100">
        <v>1.0877220000000001</v>
      </c>
      <c r="Y71" s="120">
        <v>4768.38</v>
      </c>
      <c r="AA71" s="135">
        <f t="shared" si="12"/>
        <v>1.349708259</v>
      </c>
      <c r="AB71" s="145"/>
    </row>
    <row r="72" spans="1:28" x14ac:dyDescent="0.25">
      <c r="A72" s="100" t="s">
        <v>271</v>
      </c>
      <c r="B72" s="100" t="s">
        <v>269</v>
      </c>
      <c r="C72" s="100" t="s">
        <v>271</v>
      </c>
      <c r="D72" s="100">
        <v>94</v>
      </c>
      <c r="E72" s="100" t="s">
        <v>272</v>
      </c>
      <c r="F72" s="100">
        <v>0.7409</v>
      </c>
      <c r="G72" s="120">
        <v>-13497082.59</v>
      </c>
      <c r="H72" s="120">
        <v>31582.59</v>
      </c>
      <c r="I72" s="100" t="s">
        <v>272</v>
      </c>
      <c r="J72" s="100">
        <v>1.11802</v>
      </c>
      <c r="K72" s="120">
        <v>-7819.1</v>
      </c>
      <c r="L72" s="100">
        <v>0.90332800000000002</v>
      </c>
      <c r="M72" s="120">
        <v>-7063.21</v>
      </c>
      <c r="O72" s="100" t="s">
        <v>271</v>
      </c>
      <c r="P72" s="100" t="s">
        <v>269</v>
      </c>
      <c r="Q72" s="100" t="s">
        <v>271</v>
      </c>
      <c r="R72" s="100">
        <v>94</v>
      </c>
      <c r="S72" s="120">
        <v>10000000</v>
      </c>
      <c r="T72" s="120">
        <v>0</v>
      </c>
      <c r="U72" s="100" t="s">
        <v>272</v>
      </c>
      <c r="V72" s="100">
        <v>0.3009</v>
      </c>
      <c r="W72" s="120">
        <v>4695.33</v>
      </c>
      <c r="X72" s="100">
        <v>1.087982</v>
      </c>
      <c r="Y72" s="120">
        <v>5108.4399999999996</v>
      </c>
      <c r="AA72" s="135">
        <f t="shared" si="12"/>
        <v>1.3528665179999999</v>
      </c>
      <c r="AB72" s="145"/>
    </row>
    <row r="73" spans="1:28" x14ac:dyDescent="0.25">
      <c r="A73" s="100" t="s">
        <v>273</v>
      </c>
      <c r="B73" s="100" t="s">
        <v>271</v>
      </c>
      <c r="C73" s="100" t="s">
        <v>273</v>
      </c>
      <c r="D73" s="100">
        <v>88</v>
      </c>
      <c r="E73" s="100" t="s">
        <v>274</v>
      </c>
      <c r="F73" s="100">
        <v>0.73916999999999999</v>
      </c>
      <c r="G73" s="120">
        <v>-13528665.18</v>
      </c>
      <c r="H73" s="120">
        <v>31522.99</v>
      </c>
      <c r="I73" s="100" t="s">
        <v>274</v>
      </c>
      <c r="J73" s="100">
        <v>1.1244400000000001</v>
      </c>
      <c r="K73" s="120">
        <v>-5662.37</v>
      </c>
      <c r="L73" s="100">
        <v>0.90147600000000006</v>
      </c>
      <c r="M73" s="120">
        <v>-5104.49</v>
      </c>
      <c r="O73" s="100" t="s">
        <v>273</v>
      </c>
      <c r="P73" s="100" t="s">
        <v>271</v>
      </c>
      <c r="Q73" s="100" t="s">
        <v>273</v>
      </c>
      <c r="R73" s="100">
        <v>88</v>
      </c>
      <c r="S73" s="120">
        <v>10000000</v>
      </c>
      <c r="T73" s="120">
        <v>0</v>
      </c>
      <c r="U73" s="100" t="s">
        <v>274</v>
      </c>
      <c r="V73" s="100">
        <v>0.30897000000000002</v>
      </c>
      <c r="W73" s="120">
        <v>4592.9799999999996</v>
      </c>
      <c r="X73" s="100">
        <v>1.088198</v>
      </c>
      <c r="Y73" s="120">
        <v>4998.07</v>
      </c>
      <c r="AA73" s="135">
        <f t="shared" si="12"/>
        <v>1.356018817</v>
      </c>
      <c r="AB73" s="145"/>
    </row>
    <row r="74" spans="1:28" x14ac:dyDescent="0.25">
      <c r="A74" s="100" t="s">
        <v>275</v>
      </c>
      <c r="B74" s="100" t="s">
        <v>273</v>
      </c>
      <c r="C74" s="100" t="s">
        <v>275</v>
      </c>
      <c r="D74" s="100">
        <v>91</v>
      </c>
      <c r="E74" s="100" t="s">
        <v>276</v>
      </c>
      <c r="F74" s="100">
        <v>0.73745000000000005</v>
      </c>
      <c r="G74" s="120">
        <v>-13560188.17</v>
      </c>
      <c r="H74" s="120">
        <v>31462.13</v>
      </c>
      <c r="I74" s="100" t="s">
        <v>276</v>
      </c>
      <c r="J74" s="100">
        <v>1.1308499999999999</v>
      </c>
      <c r="K74" s="120">
        <v>-7300.16</v>
      </c>
      <c r="L74" s="100">
        <v>0.89955099999999999</v>
      </c>
      <c r="M74" s="120">
        <v>-6566.87</v>
      </c>
      <c r="O74" s="100" t="s">
        <v>275</v>
      </c>
      <c r="P74" s="100" t="s">
        <v>273</v>
      </c>
      <c r="Q74" s="100" t="s">
        <v>275</v>
      </c>
      <c r="R74" s="100">
        <v>91</v>
      </c>
      <c r="S74" s="120">
        <v>10000000</v>
      </c>
      <c r="T74" s="120">
        <v>0</v>
      </c>
      <c r="U74" s="100" t="s">
        <v>276</v>
      </c>
      <c r="V74" s="100">
        <v>0.31691000000000003</v>
      </c>
      <c r="W74" s="120">
        <v>4950.1000000000004</v>
      </c>
      <c r="X74" s="100">
        <v>1.0883929999999999</v>
      </c>
      <c r="Y74" s="120">
        <v>5387.65</v>
      </c>
      <c r="AA74" s="135">
        <f t="shared" si="12"/>
        <v>1.35916503</v>
      </c>
      <c r="AB74" s="145"/>
    </row>
    <row r="75" spans="1:28" x14ac:dyDescent="0.25">
      <c r="A75" s="100" t="s">
        <v>277</v>
      </c>
      <c r="B75" s="100" t="s">
        <v>275</v>
      </c>
      <c r="C75" s="100" t="s">
        <v>277</v>
      </c>
      <c r="D75" s="100">
        <v>94</v>
      </c>
      <c r="E75" s="100" t="s">
        <v>278</v>
      </c>
      <c r="F75" s="100">
        <v>0.73575000000000002</v>
      </c>
      <c r="G75" s="120">
        <v>-13591650.300000001</v>
      </c>
      <c r="H75" s="120">
        <v>31744.7</v>
      </c>
      <c r="I75" s="100" t="s">
        <v>278</v>
      </c>
      <c r="J75" s="100">
        <v>1.13741</v>
      </c>
      <c r="K75" s="120">
        <v>-8621.07</v>
      </c>
      <c r="L75" s="100">
        <v>0.89755099999999999</v>
      </c>
      <c r="M75" s="120">
        <v>-7737.85</v>
      </c>
      <c r="O75" s="100" t="s">
        <v>277</v>
      </c>
      <c r="P75" s="100" t="s">
        <v>275</v>
      </c>
      <c r="Q75" s="100" t="s">
        <v>277</v>
      </c>
      <c r="R75" s="100">
        <v>94</v>
      </c>
      <c r="S75" s="120">
        <v>10000000</v>
      </c>
      <c r="T75" s="120">
        <v>0</v>
      </c>
      <c r="U75" s="100" t="s">
        <v>278</v>
      </c>
      <c r="V75" s="100">
        <v>0.32508999999999999</v>
      </c>
      <c r="W75" s="120">
        <v>5326.87</v>
      </c>
      <c r="X75" s="100">
        <v>1.0885640000000001</v>
      </c>
      <c r="Y75" s="120">
        <v>5798.64</v>
      </c>
      <c r="AA75" s="135">
        <f t="shared" si="12"/>
        <v>1.3623395009999999</v>
      </c>
      <c r="AB75" s="145"/>
    </row>
    <row r="76" spans="1:28" x14ac:dyDescent="0.25">
      <c r="A76" s="100" t="s">
        <v>279</v>
      </c>
      <c r="B76" s="100" t="s">
        <v>277</v>
      </c>
      <c r="C76" s="100" t="s">
        <v>279</v>
      </c>
      <c r="D76" s="100">
        <v>92</v>
      </c>
      <c r="E76" s="100" t="s">
        <v>280</v>
      </c>
      <c r="F76" s="100">
        <v>0.73402999999999996</v>
      </c>
      <c r="G76" s="120">
        <v>-13623395.01</v>
      </c>
      <c r="H76" s="120">
        <v>31335.89</v>
      </c>
      <c r="I76" s="100" t="s">
        <v>280</v>
      </c>
      <c r="J76" s="100">
        <v>1.14384</v>
      </c>
      <c r="K76" s="120">
        <v>-8487.39</v>
      </c>
      <c r="L76" s="100">
        <v>0.89558199999999999</v>
      </c>
      <c r="M76" s="120">
        <v>-7601.15</v>
      </c>
      <c r="O76" s="100" t="s">
        <v>279</v>
      </c>
      <c r="P76" s="100" t="s">
        <v>277</v>
      </c>
      <c r="Q76" s="100" t="s">
        <v>279</v>
      </c>
      <c r="R76" s="100">
        <v>92</v>
      </c>
      <c r="S76" s="120">
        <v>10000000</v>
      </c>
      <c r="T76" s="120">
        <v>0</v>
      </c>
      <c r="U76" s="100" t="s">
        <v>280</v>
      </c>
      <c r="V76" s="100">
        <v>0.33328000000000002</v>
      </c>
      <c r="W76" s="120">
        <v>5422.99</v>
      </c>
      <c r="X76" s="100">
        <v>1.0887020000000001</v>
      </c>
      <c r="Y76" s="120">
        <v>5904.02</v>
      </c>
      <c r="AA76" s="135">
        <f t="shared" si="12"/>
        <v>1.3654730900000001</v>
      </c>
      <c r="AB76" s="145"/>
    </row>
    <row r="77" spans="1:28" x14ac:dyDescent="0.25">
      <c r="A77" s="100" t="s">
        <v>281</v>
      </c>
      <c r="B77" s="100" t="s">
        <v>279</v>
      </c>
      <c r="C77" s="100" t="s">
        <v>281</v>
      </c>
      <c r="D77" s="100">
        <v>90</v>
      </c>
      <c r="E77" s="100" t="s">
        <v>282</v>
      </c>
      <c r="F77" s="100">
        <v>0.73234999999999995</v>
      </c>
      <c r="G77" s="120">
        <v>-13654730.9</v>
      </c>
      <c r="H77" s="120">
        <v>31271.21</v>
      </c>
      <c r="I77" s="100" t="s">
        <v>282</v>
      </c>
      <c r="J77" s="100">
        <v>1.1500699999999999</v>
      </c>
      <c r="K77" s="120">
        <v>-7988.68</v>
      </c>
      <c r="L77" s="100">
        <v>0.89364699999999997</v>
      </c>
      <c r="M77" s="120">
        <v>-7139.06</v>
      </c>
      <c r="O77" s="100" t="s">
        <v>281</v>
      </c>
      <c r="P77" s="100" t="s">
        <v>279</v>
      </c>
      <c r="Q77" s="100" t="s">
        <v>281</v>
      </c>
      <c r="R77" s="100">
        <v>90</v>
      </c>
      <c r="S77" s="120">
        <v>10000000</v>
      </c>
      <c r="T77" s="120">
        <v>0</v>
      </c>
      <c r="U77" s="100" t="s">
        <v>283</v>
      </c>
      <c r="V77" s="100">
        <v>0.34127999999999997</v>
      </c>
      <c r="W77" s="120">
        <v>5505.07</v>
      </c>
      <c r="X77" s="100">
        <v>1.0888089999999999</v>
      </c>
      <c r="Y77" s="120">
        <v>5993.97</v>
      </c>
      <c r="AA77" s="135">
        <f t="shared" si="12"/>
        <v>1.368600211</v>
      </c>
      <c r="AB77" s="145"/>
    </row>
    <row r="78" spans="1:28" x14ac:dyDescent="0.25">
      <c r="A78" s="100" t="s">
        <v>284</v>
      </c>
      <c r="B78" s="100" t="s">
        <v>281</v>
      </c>
      <c r="C78" s="100" t="s">
        <v>284</v>
      </c>
      <c r="D78" s="100">
        <v>92</v>
      </c>
      <c r="E78" s="100" t="s">
        <v>285</v>
      </c>
      <c r="F78" s="100">
        <v>0.73067000000000004</v>
      </c>
      <c r="G78" s="120">
        <v>-13686002.109999999</v>
      </c>
      <c r="H78" s="120">
        <v>31205.24</v>
      </c>
      <c r="I78" s="100" t="s">
        <v>285</v>
      </c>
      <c r="J78" s="100">
        <v>1.15632</v>
      </c>
      <c r="K78" s="120">
        <v>-9237.27</v>
      </c>
      <c r="L78" s="100">
        <v>0.89165799999999995</v>
      </c>
      <c r="M78" s="120">
        <v>-8236.49</v>
      </c>
      <c r="O78" s="100" t="s">
        <v>284</v>
      </c>
      <c r="P78" s="100" t="s">
        <v>281</v>
      </c>
      <c r="Q78" s="100" t="s">
        <v>284</v>
      </c>
      <c r="R78" s="100">
        <v>92</v>
      </c>
      <c r="S78" s="120">
        <v>10000000</v>
      </c>
      <c r="T78" s="120">
        <v>0</v>
      </c>
      <c r="U78" s="100" t="s">
        <v>285</v>
      </c>
      <c r="V78" s="100">
        <v>0.34927000000000002</v>
      </c>
      <c r="W78" s="120">
        <v>5831.46</v>
      </c>
      <c r="X78" s="100">
        <v>1.0888899999999999</v>
      </c>
      <c r="Y78" s="120">
        <v>6349.82</v>
      </c>
      <c r="AA78" s="135">
        <f t="shared" si="12"/>
        <v>1.371720735</v>
      </c>
      <c r="AB78" s="145"/>
    </row>
    <row r="79" spans="1:28" x14ac:dyDescent="0.25">
      <c r="A79" s="100" t="s">
        <v>286</v>
      </c>
      <c r="B79" s="100" t="s">
        <v>284</v>
      </c>
      <c r="C79" s="100" t="s">
        <v>286</v>
      </c>
      <c r="D79" s="100">
        <v>90</v>
      </c>
      <c r="E79" s="100" t="s">
        <v>287</v>
      </c>
      <c r="F79" s="100">
        <v>0.72901000000000005</v>
      </c>
      <c r="G79" s="120">
        <v>-13717207.35</v>
      </c>
      <c r="H79" s="120">
        <v>31138</v>
      </c>
      <c r="I79" s="100" t="s">
        <v>288</v>
      </c>
      <c r="J79" s="100">
        <v>1.16242</v>
      </c>
      <c r="K79" s="120">
        <v>-8724.82</v>
      </c>
      <c r="L79" s="100">
        <v>0.88970300000000002</v>
      </c>
      <c r="M79" s="120">
        <v>-7762.5</v>
      </c>
      <c r="O79" s="100" t="s">
        <v>286</v>
      </c>
      <c r="P79" s="100" t="s">
        <v>284</v>
      </c>
      <c r="Q79" s="100" t="s">
        <v>286</v>
      </c>
      <c r="R79" s="100">
        <v>90</v>
      </c>
      <c r="S79" s="120">
        <v>10000000</v>
      </c>
      <c r="T79" s="120">
        <v>0</v>
      </c>
      <c r="U79" s="100" t="s">
        <v>288</v>
      </c>
      <c r="V79" s="100">
        <v>0.35721999999999998</v>
      </c>
      <c r="W79" s="120">
        <v>5903.61</v>
      </c>
      <c r="X79" s="100">
        <v>1.0889409999999999</v>
      </c>
      <c r="Y79" s="120">
        <v>6428.68</v>
      </c>
      <c r="AA79" s="135">
        <f t="shared" si="12"/>
        <v>1.374834535</v>
      </c>
      <c r="AB79" s="145"/>
    </row>
    <row r="80" spans="1:28" x14ac:dyDescent="0.25">
      <c r="A80" s="100" t="s">
        <v>289</v>
      </c>
      <c r="B80" s="100" t="s">
        <v>286</v>
      </c>
      <c r="C80" s="100" t="s">
        <v>289</v>
      </c>
      <c r="D80" s="100">
        <v>92</v>
      </c>
      <c r="E80" s="100" t="s">
        <v>290</v>
      </c>
      <c r="F80" s="100">
        <v>0.72736000000000001</v>
      </c>
      <c r="G80" s="120">
        <v>-13748345.35</v>
      </c>
      <c r="H80" s="120">
        <v>31069.48</v>
      </c>
      <c r="I80" s="100" t="s">
        <v>290</v>
      </c>
      <c r="J80" s="100">
        <v>1.1685300000000001</v>
      </c>
      <c r="K80" s="120">
        <v>-9986.5</v>
      </c>
      <c r="L80" s="100">
        <v>0.88769500000000001</v>
      </c>
      <c r="M80" s="120">
        <v>-8864.9599999999991</v>
      </c>
      <c r="O80" s="100" t="s">
        <v>289</v>
      </c>
      <c r="P80" s="100" t="s">
        <v>286</v>
      </c>
      <c r="Q80" s="100" t="s">
        <v>289</v>
      </c>
      <c r="R80" s="100">
        <v>92</v>
      </c>
      <c r="S80" s="120">
        <v>10000000</v>
      </c>
      <c r="T80" s="120">
        <v>0</v>
      </c>
      <c r="U80" s="100" t="s">
        <v>290</v>
      </c>
      <c r="V80" s="100">
        <v>0.36515999999999998</v>
      </c>
      <c r="W80" s="120">
        <v>6237.76</v>
      </c>
      <c r="X80" s="100">
        <v>1.088965</v>
      </c>
      <c r="Y80" s="120">
        <v>6792.7</v>
      </c>
      <c r="AA80" s="135">
        <f t="shared" si="12"/>
        <v>1.377941482</v>
      </c>
      <c r="AB80" s="145"/>
    </row>
    <row r="81" spans="1:28" x14ac:dyDescent="0.25">
      <c r="A81" s="100" t="s">
        <v>291</v>
      </c>
      <c r="B81" s="100" t="s">
        <v>289</v>
      </c>
      <c r="C81" s="100" t="s">
        <v>291</v>
      </c>
      <c r="D81" s="100">
        <v>91</v>
      </c>
      <c r="E81" s="100" t="s">
        <v>292</v>
      </c>
      <c r="F81" s="100">
        <v>0.72572000000000003</v>
      </c>
      <c r="G81" s="120">
        <v>-13779414.82</v>
      </c>
      <c r="H81" s="120">
        <v>30659.4</v>
      </c>
      <c r="I81" s="100" t="s">
        <v>292</v>
      </c>
      <c r="J81" s="100">
        <v>1.17456</v>
      </c>
      <c r="K81" s="120">
        <v>-10252.01</v>
      </c>
      <c r="L81" s="100">
        <v>0.88569900000000001</v>
      </c>
      <c r="M81" s="120">
        <v>-9080.2000000000007</v>
      </c>
      <c r="O81" s="100" t="s">
        <v>291</v>
      </c>
      <c r="P81" s="100" t="s">
        <v>289</v>
      </c>
      <c r="Q81" s="100" t="s">
        <v>291</v>
      </c>
      <c r="R81" s="100">
        <v>91</v>
      </c>
      <c r="S81" s="120">
        <v>10000000</v>
      </c>
      <c r="T81" s="120">
        <v>0</v>
      </c>
      <c r="U81" s="100" t="s">
        <v>293</v>
      </c>
      <c r="V81" s="100">
        <v>0.37312000000000001</v>
      </c>
      <c r="W81" s="120">
        <v>6371.12</v>
      </c>
      <c r="X81" s="100">
        <v>1.0889599999999999</v>
      </c>
      <c r="Y81" s="120">
        <v>6937.9</v>
      </c>
      <c r="AA81" s="135">
        <f t="shared" si="12"/>
        <v>1.3810074220000002</v>
      </c>
      <c r="AB81" s="145"/>
    </row>
    <row r="82" spans="1:28" x14ac:dyDescent="0.25">
      <c r="A82" s="100" t="s">
        <v>294</v>
      </c>
      <c r="B82" s="100" t="s">
        <v>291</v>
      </c>
      <c r="C82" s="100" t="s">
        <v>294</v>
      </c>
      <c r="D82" s="100">
        <v>90</v>
      </c>
      <c r="E82" s="100" t="s">
        <v>295</v>
      </c>
      <c r="F82" s="100">
        <v>0.72411000000000003</v>
      </c>
      <c r="G82" s="120">
        <v>-13810074.220000001</v>
      </c>
      <c r="H82" s="120">
        <v>31268.85</v>
      </c>
      <c r="I82" s="100" t="s">
        <v>295</v>
      </c>
      <c r="J82" s="100">
        <v>1.1804600000000001</v>
      </c>
      <c r="K82" s="120">
        <v>-9486.61</v>
      </c>
      <c r="L82" s="100">
        <v>0.88371599999999995</v>
      </c>
      <c r="M82" s="120">
        <v>-8383.4699999999993</v>
      </c>
      <c r="O82" s="100" t="s">
        <v>294</v>
      </c>
      <c r="P82" s="100" t="s">
        <v>291</v>
      </c>
      <c r="Q82" s="100" t="s">
        <v>294</v>
      </c>
      <c r="R82" s="100">
        <v>90</v>
      </c>
      <c r="S82" s="120">
        <v>10000000</v>
      </c>
      <c r="T82" s="120">
        <v>0</v>
      </c>
      <c r="U82" s="100" t="s">
        <v>295</v>
      </c>
      <c r="V82" s="100">
        <v>0.38096999999999998</v>
      </c>
      <c r="W82" s="120">
        <v>6497.32</v>
      </c>
      <c r="X82" s="100">
        <v>1.0889279999999999</v>
      </c>
      <c r="Y82" s="120">
        <v>7075.11</v>
      </c>
      <c r="AA82" s="135">
        <f t="shared" si="12"/>
        <v>1.3841343079999999</v>
      </c>
      <c r="AB82" s="145"/>
    </row>
    <row r="83" spans="1:28" x14ac:dyDescent="0.25">
      <c r="A83" s="100" t="s">
        <v>296</v>
      </c>
      <c r="B83" s="100" t="s">
        <v>294</v>
      </c>
      <c r="C83" s="100" t="s">
        <v>296</v>
      </c>
      <c r="D83" s="100">
        <v>92</v>
      </c>
      <c r="E83" s="100" t="s">
        <v>297</v>
      </c>
      <c r="F83" s="100">
        <v>0.72246999999999995</v>
      </c>
      <c r="G83" s="120">
        <v>-13841343.08</v>
      </c>
      <c r="H83" s="120">
        <v>34950.71</v>
      </c>
      <c r="I83" s="100" t="s">
        <v>297</v>
      </c>
      <c r="J83" s="100">
        <v>0.98872000000000004</v>
      </c>
      <c r="K83" s="120">
        <v>-22.6</v>
      </c>
      <c r="L83" s="100">
        <v>0.88209599999999999</v>
      </c>
      <c r="M83" s="120">
        <v>-19.93</v>
      </c>
      <c r="O83" s="100" t="s">
        <v>296</v>
      </c>
      <c r="P83" s="100" t="s">
        <v>294</v>
      </c>
      <c r="Q83" s="100" t="s">
        <v>296</v>
      </c>
      <c r="R83" s="100">
        <v>92</v>
      </c>
      <c r="S83" s="120">
        <v>10000000</v>
      </c>
      <c r="T83" s="120">
        <v>0</v>
      </c>
      <c r="U83" s="100" t="s">
        <v>297</v>
      </c>
      <c r="V83" s="100">
        <v>5.5050000000000002E-2</v>
      </c>
      <c r="W83" s="120">
        <v>-1687.48</v>
      </c>
      <c r="X83" s="100">
        <v>1.08969</v>
      </c>
      <c r="Y83" s="120">
        <v>-1838.83</v>
      </c>
      <c r="AA83" s="135">
        <f t="shared" si="12"/>
        <v>1.3876293789999998</v>
      </c>
      <c r="AB83" s="145"/>
    </row>
    <row r="84" spans="1:28" x14ac:dyDescent="0.25">
      <c r="A84" s="100" t="s">
        <v>298</v>
      </c>
      <c r="B84" s="100" t="s">
        <v>296</v>
      </c>
      <c r="C84" s="100" t="s">
        <v>298</v>
      </c>
      <c r="D84" s="100">
        <v>92</v>
      </c>
      <c r="E84" s="100" t="s">
        <v>299</v>
      </c>
      <c r="F84" s="100">
        <v>0.72065000000000001</v>
      </c>
      <c r="G84" s="120">
        <v>-13876293.789999999</v>
      </c>
      <c r="H84" s="120">
        <v>34788.78</v>
      </c>
      <c r="I84" s="100" t="s">
        <v>299</v>
      </c>
      <c r="J84" s="100">
        <v>0.99080000000000001</v>
      </c>
      <c r="K84" s="120">
        <v>-346.64</v>
      </c>
      <c r="L84" s="100">
        <v>0.88048899999999997</v>
      </c>
      <c r="M84" s="120">
        <v>-305.20999999999998</v>
      </c>
      <c r="O84" s="100" t="s">
        <v>298</v>
      </c>
      <c r="P84" s="100" t="s">
        <v>296</v>
      </c>
      <c r="Q84" s="100" t="s">
        <v>298</v>
      </c>
      <c r="R84" s="100">
        <v>92</v>
      </c>
      <c r="S84" s="120">
        <v>10000000</v>
      </c>
      <c r="T84" s="120">
        <v>0</v>
      </c>
      <c r="U84" s="100" t="s">
        <v>299</v>
      </c>
      <c r="V84" s="100">
        <v>5.5059999999999998E-2</v>
      </c>
      <c r="W84" s="120">
        <v>-1687.05</v>
      </c>
      <c r="X84" s="100">
        <v>1.0904609999999999</v>
      </c>
      <c r="Y84" s="120">
        <v>-1839.66</v>
      </c>
      <c r="AA84" s="135">
        <f t="shared" si="12"/>
        <v>1.391108257</v>
      </c>
      <c r="AB84" s="145"/>
    </row>
    <row r="85" spans="1:28" x14ac:dyDescent="0.25">
      <c r="A85" s="100" t="s">
        <v>300</v>
      </c>
      <c r="B85" s="100" t="s">
        <v>298</v>
      </c>
      <c r="C85" s="100" t="s">
        <v>300</v>
      </c>
      <c r="D85" s="100">
        <v>90</v>
      </c>
      <c r="E85" s="100" t="s">
        <v>301</v>
      </c>
      <c r="F85" s="100">
        <v>0.71884999999999999</v>
      </c>
      <c r="G85" s="120">
        <v>-13911082.57</v>
      </c>
      <c r="H85" s="120">
        <v>34840.17</v>
      </c>
      <c r="I85" s="100" t="s">
        <v>301</v>
      </c>
      <c r="J85" s="100">
        <v>0.99280999999999997</v>
      </c>
      <c r="K85" s="120">
        <v>312.49</v>
      </c>
      <c r="L85" s="100">
        <v>0.87891399999999997</v>
      </c>
      <c r="M85" s="120">
        <v>274.64999999999998</v>
      </c>
      <c r="O85" s="100" t="s">
        <v>300</v>
      </c>
      <c r="P85" s="100" t="s">
        <v>298</v>
      </c>
      <c r="Q85" s="100" t="s">
        <v>300</v>
      </c>
      <c r="R85" s="100">
        <v>90</v>
      </c>
      <c r="S85" s="120">
        <v>10000000</v>
      </c>
      <c r="T85" s="120">
        <v>0</v>
      </c>
      <c r="U85" s="100" t="s">
        <v>301</v>
      </c>
      <c r="V85" s="100">
        <v>5.5079999999999997E-2</v>
      </c>
      <c r="W85" s="120">
        <v>-1649.95</v>
      </c>
      <c r="X85" s="100">
        <v>1.091207</v>
      </c>
      <c r="Y85" s="120">
        <v>-1800.44</v>
      </c>
      <c r="AA85" s="135">
        <f t="shared" si="12"/>
        <v>1.3945922740000001</v>
      </c>
      <c r="AB85" s="145"/>
    </row>
    <row r="86" spans="1:28" x14ac:dyDescent="0.25">
      <c r="A86" s="100" t="s">
        <v>302</v>
      </c>
      <c r="B86" s="100" t="s">
        <v>300</v>
      </c>
      <c r="C86" s="100" t="s">
        <v>302</v>
      </c>
      <c r="D86" s="100">
        <v>91</v>
      </c>
      <c r="E86" s="100" t="s">
        <v>303</v>
      </c>
      <c r="F86" s="100">
        <v>0.71706000000000003</v>
      </c>
      <c r="G86" s="120">
        <v>-13945922.74</v>
      </c>
      <c r="H86" s="120">
        <v>34891.360000000001</v>
      </c>
      <c r="I86" s="100" t="s">
        <v>303</v>
      </c>
      <c r="J86" s="100">
        <v>0.99482999999999999</v>
      </c>
      <c r="K86" s="120">
        <v>-178.53</v>
      </c>
      <c r="L86" s="100">
        <v>0.87732100000000002</v>
      </c>
      <c r="M86" s="120">
        <v>-156.63</v>
      </c>
      <c r="O86" s="100" t="s">
        <v>302</v>
      </c>
      <c r="P86" s="100" t="s">
        <v>300</v>
      </c>
      <c r="Q86" s="100" t="s">
        <v>302</v>
      </c>
      <c r="R86" s="100">
        <v>91</v>
      </c>
      <c r="S86" s="120">
        <v>10000000</v>
      </c>
      <c r="T86" s="120">
        <v>0</v>
      </c>
      <c r="U86" s="100" t="s">
        <v>303</v>
      </c>
      <c r="V86" s="100">
        <v>5.5100000000000003E-2</v>
      </c>
      <c r="W86" s="120">
        <v>-1667.86</v>
      </c>
      <c r="X86" s="100">
        <v>1.091953</v>
      </c>
      <c r="Y86" s="120">
        <v>-1821.23</v>
      </c>
      <c r="AA86" s="135">
        <f t="shared" si="12"/>
        <v>1.3980814099999999</v>
      </c>
      <c r="AB86" s="145"/>
    </row>
    <row r="87" spans="1:28" x14ac:dyDescent="0.25">
      <c r="A87" s="100" t="s">
        <v>304</v>
      </c>
      <c r="B87" s="100" t="s">
        <v>302</v>
      </c>
      <c r="C87" s="100" t="s">
        <v>304</v>
      </c>
      <c r="D87" s="100">
        <v>92</v>
      </c>
      <c r="E87" s="100" t="s">
        <v>305</v>
      </c>
      <c r="F87" s="100">
        <v>0.71526999999999996</v>
      </c>
      <c r="G87" s="120">
        <v>-13980814.1</v>
      </c>
      <c r="H87" s="120">
        <v>36095.19</v>
      </c>
      <c r="I87" s="100" t="s">
        <v>305</v>
      </c>
      <c r="J87" s="100">
        <v>0.99685000000000001</v>
      </c>
      <c r="K87" s="120">
        <v>479.07</v>
      </c>
      <c r="L87" s="100">
        <v>0.87570800000000004</v>
      </c>
      <c r="M87" s="120">
        <v>419.53</v>
      </c>
      <c r="O87" s="100" t="s">
        <v>304</v>
      </c>
      <c r="P87" s="100" t="s">
        <v>302</v>
      </c>
      <c r="Q87" s="100" t="s">
        <v>304</v>
      </c>
      <c r="R87" s="100">
        <v>92</v>
      </c>
      <c r="S87" s="120">
        <v>10000000</v>
      </c>
      <c r="T87" s="120">
        <v>0</v>
      </c>
      <c r="U87" s="100" t="s">
        <v>305</v>
      </c>
      <c r="V87" s="100">
        <v>5.5109999999999999E-2</v>
      </c>
      <c r="W87" s="120">
        <v>-1685.76</v>
      </c>
      <c r="X87" s="100">
        <v>1.0927</v>
      </c>
      <c r="Y87" s="120">
        <v>-1842.03</v>
      </c>
      <c r="AA87" s="135">
        <f t="shared" si="12"/>
        <v>1.4016909289999999</v>
      </c>
      <c r="AB87" s="145"/>
    </row>
    <row r="88" spans="1:28" x14ac:dyDescent="0.25">
      <c r="A88" s="100" t="s">
        <v>306</v>
      </c>
      <c r="B88" s="100" t="s">
        <v>304</v>
      </c>
      <c r="C88" s="100" t="s">
        <v>306</v>
      </c>
      <c r="D88" s="100">
        <v>92</v>
      </c>
      <c r="E88" s="100" t="s">
        <v>307</v>
      </c>
      <c r="F88" s="100">
        <v>0.71342000000000005</v>
      </c>
      <c r="G88" s="120">
        <v>-14016909.289999999</v>
      </c>
      <c r="H88" s="120">
        <v>34994.870000000003</v>
      </c>
      <c r="I88" s="100" t="s">
        <v>307</v>
      </c>
      <c r="J88" s="100">
        <v>0.99883999999999995</v>
      </c>
      <c r="K88" s="120">
        <v>-784.64</v>
      </c>
      <c r="L88" s="100">
        <v>0.87409300000000001</v>
      </c>
      <c r="M88" s="120">
        <v>-685.85</v>
      </c>
      <c r="O88" s="100" t="s">
        <v>306</v>
      </c>
      <c r="P88" s="100" t="s">
        <v>304</v>
      </c>
      <c r="Q88" s="100" t="s">
        <v>306</v>
      </c>
      <c r="R88" s="100">
        <v>92</v>
      </c>
      <c r="S88" s="120">
        <v>10000000</v>
      </c>
      <c r="T88" s="120">
        <v>0</v>
      </c>
      <c r="U88" s="100" t="s">
        <v>307</v>
      </c>
      <c r="V88" s="100">
        <v>5.5129999999999998E-2</v>
      </c>
      <c r="W88" s="120">
        <v>-1685.32</v>
      </c>
      <c r="X88" s="100">
        <v>1.0934379999999999</v>
      </c>
      <c r="Y88" s="120">
        <v>-1842.8</v>
      </c>
      <c r="AA88" s="135">
        <f t="shared" si="12"/>
        <v>1.4051904150000001</v>
      </c>
      <c r="AB88" s="145"/>
    </row>
    <row r="89" spans="1:28" x14ac:dyDescent="0.25">
      <c r="A89" s="100" t="s">
        <v>308</v>
      </c>
      <c r="B89" s="100" t="s">
        <v>306</v>
      </c>
      <c r="C89" s="100" t="s">
        <v>308</v>
      </c>
      <c r="D89" s="100">
        <v>90</v>
      </c>
      <c r="E89" s="100" t="s">
        <v>309</v>
      </c>
      <c r="F89" s="100">
        <v>0.71165</v>
      </c>
      <c r="G89" s="120">
        <v>-14051904.15</v>
      </c>
      <c r="H89" s="120">
        <v>35045.49</v>
      </c>
      <c r="I89" s="100" t="s">
        <v>309</v>
      </c>
      <c r="J89" s="100">
        <v>1.0007699999999999</v>
      </c>
      <c r="K89" s="120">
        <v>-111.17</v>
      </c>
      <c r="L89" s="100">
        <v>0.87251199999999995</v>
      </c>
      <c r="M89" s="120">
        <v>-97</v>
      </c>
      <c r="O89" s="100" t="s">
        <v>308</v>
      </c>
      <c r="P89" s="100" t="s">
        <v>306</v>
      </c>
      <c r="Q89" s="100" t="s">
        <v>308</v>
      </c>
      <c r="R89" s="100">
        <v>90</v>
      </c>
      <c r="S89" s="120">
        <v>10000000</v>
      </c>
      <c r="T89" s="120">
        <v>0</v>
      </c>
      <c r="U89" s="100" t="s">
        <v>309</v>
      </c>
      <c r="V89" s="100">
        <v>5.5149999999999998E-2</v>
      </c>
      <c r="W89" s="120">
        <v>-1648.27</v>
      </c>
      <c r="X89" s="100">
        <v>1.094152</v>
      </c>
      <c r="Y89" s="120">
        <v>-1803.46</v>
      </c>
      <c r="AA89" s="135">
        <f t="shared" si="12"/>
        <v>1.4086949640000002</v>
      </c>
      <c r="AB89" s="145"/>
    </row>
    <row r="90" spans="1:28" x14ac:dyDescent="0.25">
      <c r="A90" s="100" t="s">
        <v>310</v>
      </c>
      <c r="B90" s="100" t="s">
        <v>308</v>
      </c>
      <c r="C90" s="100" t="s">
        <v>310</v>
      </c>
      <c r="D90" s="100">
        <v>91</v>
      </c>
      <c r="E90" s="100" t="s">
        <v>311</v>
      </c>
      <c r="F90" s="100">
        <v>0.70987999999999996</v>
      </c>
      <c r="G90" s="120">
        <v>-14086949.640000001</v>
      </c>
      <c r="H90" s="120">
        <v>35095.910000000003</v>
      </c>
      <c r="I90" s="100" t="s">
        <v>311</v>
      </c>
      <c r="J90" s="100">
        <v>1.0026999999999999</v>
      </c>
      <c r="K90" s="120">
        <v>-608.88</v>
      </c>
      <c r="L90" s="100">
        <v>0.87091099999999999</v>
      </c>
      <c r="M90" s="120">
        <v>-530.28</v>
      </c>
      <c r="O90" s="100" t="s">
        <v>310</v>
      </c>
      <c r="P90" s="100" t="s">
        <v>308</v>
      </c>
      <c r="Q90" s="100" t="s">
        <v>310</v>
      </c>
      <c r="R90" s="100">
        <v>91</v>
      </c>
      <c r="S90" s="120">
        <v>10000000</v>
      </c>
      <c r="T90" s="120">
        <v>0</v>
      </c>
      <c r="U90" s="100" t="s">
        <v>311</v>
      </c>
      <c r="V90" s="100">
        <v>5.5160000000000001E-2</v>
      </c>
      <c r="W90" s="120">
        <v>-1666.16</v>
      </c>
      <c r="X90" s="100">
        <v>1.0948659999999999</v>
      </c>
      <c r="Y90" s="120">
        <v>-1824.22</v>
      </c>
      <c r="AA90" s="135">
        <f t="shared" si="12"/>
        <v>1.412204555</v>
      </c>
      <c r="AB90" s="145"/>
    </row>
    <row r="91" spans="1:28" x14ac:dyDescent="0.25">
      <c r="A91" s="100" t="s">
        <v>312</v>
      </c>
      <c r="B91" s="100" t="s">
        <v>310</v>
      </c>
      <c r="C91" s="100" t="s">
        <v>312</v>
      </c>
      <c r="D91" s="100">
        <v>92</v>
      </c>
      <c r="E91" s="100" t="s">
        <v>313</v>
      </c>
      <c r="F91" s="100">
        <v>0.70811000000000002</v>
      </c>
      <c r="G91" s="120">
        <v>-14122045.550000001</v>
      </c>
      <c r="H91" s="120">
        <v>35532.639999999999</v>
      </c>
      <c r="I91" s="100" t="s">
        <v>313</v>
      </c>
      <c r="J91" s="100">
        <v>1.0046299999999999</v>
      </c>
      <c r="K91" s="120">
        <v>-724.24</v>
      </c>
      <c r="L91" s="100">
        <v>0.86929199999999995</v>
      </c>
      <c r="M91" s="120">
        <v>-629.57000000000005</v>
      </c>
      <c r="O91" s="100" t="s">
        <v>312</v>
      </c>
      <c r="P91" s="100" t="s">
        <v>310</v>
      </c>
      <c r="Q91" s="100" t="s">
        <v>312</v>
      </c>
      <c r="R91" s="100">
        <v>92</v>
      </c>
      <c r="S91" s="120">
        <v>10000000</v>
      </c>
      <c r="T91" s="120">
        <v>0</v>
      </c>
      <c r="U91" s="100" t="s">
        <v>313</v>
      </c>
      <c r="V91" s="100">
        <v>5.518E-2</v>
      </c>
      <c r="W91" s="120">
        <v>-1684.04</v>
      </c>
      <c r="X91" s="100">
        <v>1.0955790000000001</v>
      </c>
      <c r="Y91" s="120">
        <v>-1845</v>
      </c>
      <c r="AA91" s="135">
        <f t="shared" si="12"/>
        <v>1.415757819</v>
      </c>
      <c r="AB91" s="145"/>
    </row>
    <row r="92" spans="1:28" x14ac:dyDescent="0.25">
      <c r="A92" s="100" t="s">
        <v>314</v>
      </c>
      <c r="B92" s="100" t="s">
        <v>312</v>
      </c>
      <c r="C92" s="100" t="s">
        <v>314</v>
      </c>
      <c r="D92" s="100">
        <v>92</v>
      </c>
      <c r="E92" s="100" t="s">
        <v>315</v>
      </c>
      <c r="F92" s="100">
        <v>0.70633999999999997</v>
      </c>
      <c r="G92" s="120">
        <v>-14157578.189999999</v>
      </c>
      <c r="H92" s="120">
        <v>35196.720000000001</v>
      </c>
      <c r="I92" s="100" t="s">
        <v>315</v>
      </c>
      <c r="J92" s="100">
        <v>1.00654</v>
      </c>
      <c r="K92" s="120">
        <v>-1220.46</v>
      </c>
      <c r="L92" s="100">
        <v>0.86767099999999997</v>
      </c>
      <c r="M92" s="120">
        <v>-1058.95</v>
      </c>
      <c r="O92" s="100" t="s">
        <v>314</v>
      </c>
      <c r="P92" s="100" t="s">
        <v>312</v>
      </c>
      <c r="Q92" s="100" t="s">
        <v>314</v>
      </c>
      <c r="R92" s="100">
        <v>92</v>
      </c>
      <c r="S92" s="120">
        <v>10000000</v>
      </c>
      <c r="T92" s="120">
        <v>0</v>
      </c>
      <c r="U92" s="100" t="s">
        <v>315</v>
      </c>
      <c r="V92" s="100">
        <v>5.5199999999999999E-2</v>
      </c>
      <c r="W92" s="120">
        <v>-1683.61</v>
      </c>
      <c r="X92" s="100">
        <v>1.096285</v>
      </c>
      <c r="Y92" s="120">
        <v>-1845.71</v>
      </c>
      <c r="AA92" s="135">
        <f t="shared" si="12"/>
        <v>1.4192774910000001</v>
      </c>
      <c r="AB92" s="145"/>
    </row>
    <row r="93" spans="1:28" x14ac:dyDescent="0.25">
      <c r="A93" s="100" t="s">
        <v>316</v>
      </c>
      <c r="B93" s="100" t="s">
        <v>314</v>
      </c>
      <c r="C93" s="100" t="s">
        <v>316</v>
      </c>
      <c r="D93" s="100">
        <v>90</v>
      </c>
      <c r="E93" s="100" t="s">
        <v>317</v>
      </c>
      <c r="F93" s="100">
        <v>0.70457999999999998</v>
      </c>
      <c r="G93" s="120">
        <v>-14192774.91</v>
      </c>
      <c r="H93" s="120">
        <v>35246.54</v>
      </c>
      <c r="I93" s="100" t="s">
        <v>317</v>
      </c>
      <c r="J93" s="100">
        <v>1.0083800000000001</v>
      </c>
      <c r="K93" s="120">
        <v>-532.78</v>
      </c>
      <c r="L93" s="100">
        <v>0.86608300000000005</v>
      </c>
      <c r="M93" s="120">
        <v>-461.43</v>
      </c>
      <c r="O93" s="100" t="s">
        <v>316</v>
      </c>
      <c r="P93" s="100" t="s">
        <v>314</v>
      </c>
      <c r="Q93" s="100" t="s">
        <v>316</v>
      </c>
      <c r="R93" s="100">
        <v>90</v>
      </c>
      <c r="S93" s="120">
        <v>10000000</v>
      </c>
      <c r="T93" s="120">
        <v>0</v>
      </c>
      <c r="U93" s="100" t="s">
        <v>317</v>
      </c>
      <c r="V93" s="100">
        <v>5.5210000000000002E-2</v>
      </c>
      <c r="W93" s="120">
        <v>-1646.59</v>
      </c>
      <c r="X93" s="100">
        <v>1.096967</v>
      </c>
      <c r="Y93" s="120">
        <v>-1806.25</v>
      </c>
      <c r="AA93" s="135">
        <f t="shared" si="12"/>
        <v>1.422802146</v>
      </c>
      <c r="AB93" s="145"/>
    </row>
    <row r="94" spans="1:28" x14ac:dyDescent="0.25">
      <c r="A94" s="100" t="s">
        <v>318</v>
      </c>
      <c r="B94" s="100" t="s">
        <v>316</v>
      </c>
      <c r="C94" s="100" t="s">
        <v>318</v>
      </c>
      <c r="D94" s="100">
        <v>91</v>
      </c>
      <c r="E94" s="100" t="s">
        <v>319</v>
      </c>
      <c r="F94" s="100">
        <v>0.70284000000000002</v>
      </c>
      <c r="G94" s="120">
        <v>-14228021.460000001</v>
      </c>
      <c r="H94" s="120">
        <v>35296.160000000003</v>
      </c>
      <c r="I94" s="100" t="s">
        <v>319</v>
      </c>
      <c r="J94" s="100">
        <v>1.01023</v>
      </c>
      <c r="K94" s="120">
        <v>-1037.1099999999999</v>
      </c>
      <c r="L94" s="100">
        <v>0.86447700000000005</v>
      </c>
      <c r="M94" s="120">
        <v>-896.56</v>
      </c>
      <c r="O94" s="100" t="s">
        <v>318</v>
      </c>
      <c r="P94" s="100" t="s">
        <v>316</v>
      </c>
      <c r="Q94" s="100" t="s">
        <v>318</v>
      </c>
      <c r="R94" s="100">
        <v>91</v>
      </c>
      <c r="S94" s="120">
        <v>10000000</v>
      </c>
      <c r="T94" s="120">
        <v>0</v>
      </c>
      <c r="U94" s="100" t="s">
        <v>319</v>
      </c>
      <c r="V94" s="100">
        <v>5.5230000000000001E-2</v>
      </c>
      <c r="W94" s="120">
        <v>-1664.46</v>
      </c>
      <c r="X94" s="100">
        <v>1.0976490000000001</v>
      </c>
      <c r="Y94" s="120">
        <v>-1826.99</v>
      </c>
      <c r="AA94" s="135">
        <f t="shared" si="12"/>
        <v>1.426331762</v>
      </c>
      <c r="AB94" s="145"/>
    </row>
    <row r="95" spans="1:28" x14ac:dyDescent="0.25">
      <c r="A95" s="100" t="s">
        <v>320</v>
      </c>
      <c r="B95" s="100" t="s">
        <v>318</v>
      </c>
      <c r="C95" s="100" t="s">
        <v>320</v>
      </c>
      <c r="D95" s="100">
        <v>92</v>
      </c>
      <c r="E95" s="100" t="s">
        <v>321</v>
      </c>
      <c r="F95" s="100">
        <v>0.70109999999999995</v>
      </c>
      <c r="G95" s="120">
        <v>-14263317.619999999</v>
      </c>
      <c r="H95" s="120">
        <v>35734.26</v>
      </c>
      <c r="I95" s="100" t="s">
        <v>321</v>
      </c>
      <c r="J95" s="100">
        <v>1.0120800000000001</v>
      </c>
      <c r="K95" s="120">
        <v>-1156.8399999999999</v>
      </c>
      <c r="L95" s="100">
        <v>0.86285199999999995</v>
      </c>
      <c r="M95" s="120">
        <v>-998.18</v>
      </c>
      <c r="O95" s="100" t="s">
        <v>320</v>
      </c>
      <c r="P95" s="100" t="s">
        <v>318</v>
      </c>
      <c r="Q95" s="100" t="s">
        <v>320</v>
      </c>
      <c r="R95" s="100">
        <v>92</v>
      </c>
      <c r="S95" s="120">
        <v>10000000</v>
      </c>
      <c r="T95" s="120">
        <v>0</v>
      </c>
      <c r="U95" s="100" t="s">
        <v>321</v>
      </c>
      <c r="V95" s="100">
        <v>5.525E-2</v>
      </c>
      <c r="W95" s="120">
        <v>-1682.32</v>
      </c>
      <c r="X95" s="100">
        <v>1.09833</v>
      </c>
      <c r="Y95" s="120">
        <v>-1847.74</v>
      </c>
      <c r="AA95" s="135">
        <f t="shared" si="12"/>
        <v>1.429905188</v>
      </c>
      <c r="AB95" s="145"/>
    </row>
    <row r="96" spans="1:28" x14ac:dyDescent="0.25">
      <c r="A96" s="100" t="s">
        <v>322</v>
      </c>
      <c r="B96" s="100" t="s">
        <v>320</v>
      </c>
      <c r="C96" s="100" t="s">
        <v>322</v>
      </c>
      <c r="D96" s="100">
        <v>94</v>
      </c>
      <c r="E96" s="100" t="s">
        <v>323</v>
      </c>
      <c r="F96" s="100">
        <v>0.69935000000000003</v>
      </c>
      <c r="G96" s="120">
        <v>-14299051.880000001</v>
      </c>
      <c r="H96" s="120">
        <v>35395.32</v>
      </c>
      <c r="I96" s="100" t="s">
        <v>323</v>
      </c>
      <c r="J96" s="100">
        <v>1.01396</v>
      </c>
      <c r="K96" s="120">
        <v>-2462.15</v>
      </c>
      <c r="L96" s="100">
        <v>0.86119000000000001</v>
      </c>
      <c r="M96" s="120">
        <v>-2120.38</v>
      </c>
      <c r="O96" s="100" t="s">
        <v>322</v>
      </c>
      <c r="P96" s="100" t="s">
        <v>320</v>
      </c>
      <c r="Q96" s="100" t="s">
        <v>322</v>
      </c>
      <c r="R96" s="100">
        <v>94</v>
      </c>
      <c r="S96" s="120">
        <v>10000000</v>
      </c>
      <c r="T96" s="120">
        <v>0</v>
      </c>
      <c r="U96" s="100" t="s">
        <v>323</v>
      </c>
      <c r="V96" s="100">
        <v>5.527E-2</v>
      </c>
      <c r="W96" s="120">
        <v>-1718.45</v>
      </c>
      <c r="X96" s="100">
        <v>1.0990169999999999</v>
      </c>
      <c r="Y96" s="120">
        <v>-1888.6</v>
      </c>
      <c r="AA96" s="135">
        <f t="shared" si="12"/>
        <v>1.43344472</v>
      </c>
      <c r="AB96" s="145"/>
    </row>
    <row r="97" spans="1:28" x14ac:dyDescent="0.25">
      <c r="A97" s="100" t="s">
        <v>324</v>
      </c>
      <c r="B97" s="100" t="s">
        <v>322</v>
      </c>
      <c r="C97" s="100" t="s">
        <v>324</v>
      </c>
      <c r="D97" s="100">
        <v>91</v>
      </c>
      <c r="E97" s="100" t="s">
        <v>325</v>
      </c>
      <c r="F97" s="100">
        <v>0.69762000000000002</v>
      </c>
      <c r="G97" s="120">
        <v>-14334447.199999999</v>
      </c>
      <c r="H97" s="120">
        <v>35834.080000000002</v>
      </c>
      <c r="I97" s="100" t="s">
        <v>325</v>
      </c>
      <c r="J97" s="100">
        <v>1.01573</v>
      </c>
      <c r="K97" s="120">
        <v>-970.07</v>
      </c>
      <c r="L97" s="100">
        <v>0.85958000000000001</v>
      </c>
      <c r="M97" s="120">
        <v>-833.85</v>
      </c>
      <c r="O97" s="100" t="s">
        <v>324</v>
      </c>
      <c r="P97" s="100" t="s">
        <v>322</v>
      </c>
      <c r="Q97" s="100" t="s">
        <v>324</v>
      </c>
      <c r="R97" s="100">
        <v>91</v>
      </c>
      <c r="S97" s="120">
        <v>10000000</v>
      </c>
      <c r="T97" s="120">
        <v>0</v>
      </c>
      <c r="U97" s="100" t="s">
        <v>325</v>
      </c>
      <c r="V97" s="100">
        <v>5.5280000000000003E-2</v>
      </c>
      <c r="W97" s="120">
        <v>-1663.17</v>
      </c>
      <c r="X97" s="100">
        <v>1.099674</v>
      </c>
      <c r="Y97" s="120">
        <v>-1828.95</v>
      </c>
      <c r="AA97" s="135">
        <f t="shared" si="12"/>
        <v>1.4370281279999999</v>
      </c>
      <c r="AB97" s="145"/>
    </row>
    <row r="98" spans="1:28" x14ac:dyDescent="0.25">
      <c r="A98" s="100" t="s">
        <v>326</v>
      </c>
      <c r="B98" s="100" t="s">
        <v>324</v>
      </c>
      <c r="C98" s="100" t="s">
        <v>326</v>
      </c>
      <c r="D98" s="100">
        <v>92</v>
      </c>
      <c r="E98" s="100" t="s">
        <v>327</v>
      </c>
      <c r="F98" s="100">
        <v>0.69588000000000005</v>
      </c>
      <c r="G98" s="120">
        <v>-14370281.279999999</v>
      </c>
      <c r="H98" s="120">
        <v>35493.620000000003</v>
      </c>
      <c r="I98" s="100" t="s">
        <v>327</v>
      </c>
      <c r="J98" s="100">
        <v>1.0175099999999999</v>
      </c>
      <c r="K98" s="120">
        <v>-1873.65</v>
      </c>
      <c r="L98" s="100">
        <v>0.85795100000000002</v>
      </c>
      <c r="M98" s="120">
        <v>-1607.5</v>
      </c>
      <c r="O98" s="100" t="s">
        <v>326</v>
      </c>
      <c r="P98" s="100" t="s">
        <v>324</v>
      </c>
      <c r="Q98" s="100" t="s">
        <v>326</v>
      </c>
      <c r="R98" s="100">
        <v>92</v>
      </c>
      <c r="S98" s="120">
        <v>10000000</v>
      </c>
      <c r="T98" s="120">
        <v>0</v>
      </c>
      <c r="U98" s="100" t="s">
        <v>327</v>
      </c>
      <c r="V98" s="100">
        <v>5.5300000000000002E-2</v>
      </c>
      <c r="W98" s="120">
        <v>-1681.02</v>
      </c>
      <c r="X98" s="100">
        <v>1.1003309999999999</v>
      </c>
      <c r="Y98" s="120">
        <v>-1849.68</v>
      </c>
      <c r="AA98" s="135">
        <f t="shared" si="12"/>
        <v>1.4405774900000001</v>
      </c>
      <c r="AB98" s="145"/>
    </row>
    <row r="99" spans="1:28" x14ac:dyDescent="0.25">
      <c r="A99" s="100" t="s">
        <v>328</v>
      </c>
      <c r="B99" s="100" t="s">
        <v>326</v>
      </c>
      <c r="C99" s="100" t="s">
        <v>328</v>
      </c>
      <c r="D99" s="100">
        <v>90</v>
      </c>
      <c r="E99" s="100" t="s">
        <v>329</v>
      </c>
      <c r="F99" s="100">
        <v>0.69416999999999995</v>
      </c>
      <c r="G99" s="120">
        <v>-14405774.9</v>
      </c>
      <c r="H99" s="120">
        <v>35542.17</v>
      </c>
      <c r="I99" s="100" t="s">
        <v>330</v>
      </c>
      <c r="J99" s="100">
        <v>1.0192300000000001</v>
      </c>
      <c r="K99" s="120">
        <v>-1164.81</v>
      </c>
      <c r="L99" s="100">
        <v>0.85635600000000001</v>
      </c>
      <c r="M99" s="120">
        <v>-997.49</v>
      </c>
      <c r="O99" s="100" t="s">
        <v>328</v>
      </c>
      <c r="P99" s="100" t="s">
        <v>326</v>
      </c>
      <c r="Q99" s="100" t="s">
        <v>328</v>
      </c>
      <c r="R99" s="100">
        <v>90</v>
      </c>
      <c r="S99" s="120">
        <v>10000000</v>
      </c>
      <c r="T99" s="120">
        <v>0</v>
      </c>
      <c r="U99" s="100" t="s">
        <v>330</v>
      </c>
      <c r="V99" s="100">
        <v>5.5320000000000001E-2</v>
      </c>
      <c r="W99" s="120">
        <v>-1644.06</v>
      </c>
      <c r="X99" s="100">
        <v>1.100965</v>
      </c>
      <c r="Y99" s="120">
        <v>-1810.05</v>
      </c>
      <c r="AA99" s="135">
        <f t="shared" si="12"/>
        <v>1.4441317069999999</v>
      </c>
      <c r="AB99" s="145"/>
    </row>
    <row r="100" spans="1:28" x14ac:dyDescent="0.25">
      <c r="A100" s="100" t="s">
        <v>331</v>
      </c>
      <c r="B100" s="100" t="s">
        <v>328</v>
      </c>
      <c r="C100" s="100" t="s">
        <v>331</v>
      </c>
      <c r="D100" s="100">
        <v>92</v>
      </c>
      <c r="E100" s="100" t="s">
        <v>332</v>
      </c>
      <c r="F100" s="100">
        <v>0.69245999999999996</v>
      </c>
      <c r="G100" s="120">
        <v>-14441317.07</v>
      </c>
      <c r="H100" s="120">
        <v>35590.51</v>
      </c>
      <c r="I100" s="100" t="s">
        <v>332</v>
      </c>
      <c r="J100" s="100">
        <v>1.02098</v>
      </c>
      <c r="K100" s="120">
        <v>-2089.4299999999998</v>
      </c>
      <c r="L100" s="100">
        <v>0.85472400000000004</v>
      </c>
      <c r="M100" s="120">
        <v>-1785.89</v>
      </c>
      <c r="O100" s="100" t="s">
        <v>331</v>
      </c>
      <c r="P100" s="100" t="s">
        <v>328</v>
      </c>
      <c r="Q100" s="100" t="s">
        <v>331</v>
      </c>
      <c r="R100" s="100">
        <v>92</v>
      </c>
      <c r="S100" s="120">
        <v>10000000</v>
      </c>
      <c r="T100" s="120">
        <v>0</v>
      </c>
      <c r="U100" s="100" t="s">
        <v>332</v>
      </c>
      <c r="V100" s="100">
        <v>5.5329999999999997E-2</v>
      </c>
      <c r="W100" s="120">
        <v>-1680.17</v>
      </c>
      <c r="X100" s="100">
        <v>1.1016060000000001</v>
      </c>
      <c r="Y100" s="120">
        <v>-1850.88</v>
      </c>
      <c r="AA100" s="135">
        <f t="shared" si="12"/>
        <v>1.4476907569999999</v>
      </c>
      <c r="AB100" s="145"/>
    </row>
    <row r="101" spans="1:28" x14ac:dyDescent="0.25">
      <c r="A101" s="100" t="s">
        <v>333</v>
      </c>
      <c r="B101" s="100" t="s">
        <v>331</v>
      </c>
      <c r="C101" s="100" t="s">
        <v>333</v>
      </c>
      <c r="D101" s="100">
        <v>90</v>
      </c>
      <c r="E101" s="100" t="s">
        <v>334</v>
      </c>
      <c r="F101" s="100">
        <v>0.69076000000000004</v>
      </c>
      <c r="G101" s="120">
        <v>-14476907.57</v>
      </c>
      <c r="H101" s="120">
        <v>35638.620000000003</v>
      </c>
      <c r="I101" s="100" t="s">
        <v>334</v>
      </c>
      <c r="J101" s="100">
        <v>1.0226599999999999</v>
      </c>
      <c r="K101" s="120">
        <v>-1373.64</v>
      </c>
      <c r="L101" s="100">
        <v>0.85312699999999997</v>
      </c>
      <c r="M101" s="120">
        <v>-1171.8900000000001</v>
      </c>
      <c r="O101" s="100" t="s">
        <v>333</v>
      </c>
      <c r="P101" s="100" t="s">
        <v>331</v>
      </c>
      <c r="Q101" s="100" t="s">
        <v>333</v>
      </c>
      <c r="R101" s="100">
        <v>90</v>
      </c>
      <c r="S101" s="120">
        <v>10000000</v>
      </c>
      <c r="T101" s="120">
        <v>0</v>
      </c>
      <c r="U101" s="100" t="s">
        <v>335</v>
      </c>
      <c r="V101" s="100">
        <v>5.5350000000000003E-2</v>
      </c>
      <c r="W101" s="120">
        <v>-1643.23</v>
      </c>
      <c r="X101" s="100">
        <v>1.1022240000000001</v>
      </c>
      <c r="Y101" s="120">
        <v>-1811.2</v>
      </c>
      <c r="AA101" s="135">
        <f t="shared" si="12"/>
        <v>1.451254619</v>
      </c>
      <c r="AB101" s="145"/>
    </row>
    <row r="102" spans="1:28" x14ac:dyDescent="0.25">
      <c r="A102" s="100" t="s">
        <v>336</v>
      </c>
      <c r="B102" s="100" t="s">
        <v>333</v>
      </c>
      <c r="C102" s="100" t="s">
        <v>336</v>
      </c>
      <c r="D102" s="100">
        <v>91</v>
      </c>
      <c r="E102" s="100" t="s">
        <v>337</v>
      </c>
      <c r="F102" s="100">
        <v>0.68906000000000001</v>
      </c>
      <c r="G102" s="120">
        <v>-14512546.189999999</v>
      </c>
      <c r="H102" s="120">
        <v>35686.51</v>
      </c>
      <c r="I102" s="100" t="s">
        <v>337</v>
      </c>
      <c r="J102" s="100">
        <v>1.0243500000000001</v>
      </c>
      <c r="K102" s="120">
        <v>-1891.08</v>
      </c>
      <c r="L102" s="100">
        <v>0.85151100000000002</v>
      </c>
      <c r="M102" s="120">
        <v>-1610.27</v>
      </c>
      <c r="O102" s="100" t="s">
        <v>336</v>
      </c>
      <c r="P102" s="100" t="s">
        <v>333</v>
      </c>
      <c r="Q102" s="100" t="s">
        <v>336</v>
      </c>
      <c r="R102" s="100">
        <v>91</v>
      </c>
      <c r="S102" s="120">
        <v>10000000</v>
      </c>
      <c r="T102" s="120">
        <v>0</v>
      </c>
      <c r="U102" s="100" t="s">
        <v>337</v>
      </c>
      <c r="V102" s="100">
        <v>5.5370000000000003E-2</v>
      </c>
      <c r="W102" s="120">
        <v>-1661.07</v>
      </c>
      <c r="X102" s="100">
        <v>1.1028420000000001</v>
      </c>
      <c r="Y102" s="120">
        <v>-1831.89</v>
      </c>
      <c r="AA102" s="135">
        <f t="shared" si="12"/>
        <v>1.4548232699999999</v>
      </c>
      <c r="AB102" s="145"/>
    </row>
    <row r="103" spans="1:28" x14ac:dyDescent="0.25">
      <c r="A103" s="100" t="s">
        <v>338</v>
      </c>
      <c r="B103" s="100" t="s">
        <v>336</v>
      </c>
      <c r="C103" s="100" t="s">
        <v>338</v>
      </c>
      <c r="D103" s="100">
        <v>91</v>
      </c>
      <c r="E103" s="100" t="s">
        <v>339</v>
      </c>
      <c r="F103" s="100">
        <v>0.68737000000000004</v>
      </c>
      <c r="G103" s="120">
        <v>-14548232.699999999</v>
      </c>
      <c r="H103" s="120">
        <v>35734.17</v>
      </c>
      <c r="I103" s="100" t="s">
        <v>339</v>
      </c>
      <c r="J103" s="100">
        <v>0.95454000000000006</v>
      </c>
      <c r="K103" s="120">
        <v>631.19000000000005</v>
      </c>
      <c r="L103" s="100">
        <v>0.85006999999999999</v>
      </c>
      <c r="M103" s="120">
        <v>536.55999999999995</v>
      </c>
      <c r="O103" s="100" t="s">
        <v>338</v>
      </c>
      <c r="P103" s="100" t="s">
        <v>336</v>
      </c>
      <c r="Q103" s="100" t="s">
        <v>338</v>
      </c>
      <c r="R103" s="100">
        <v>91</v>
      </c>
      <c r="S103" s="120">
        <v>10000000</v>
      </c>
      <c r="T103" s="120">
        <v>0</v>
      </c>
      <c r="U103" s="100" t="s">
        <v>339</v>
      </c>
      <c r="V103" s="100">
        <v>-8.4390000000000007E-2</v>
      </c>
      <c r="W103" s="120">
        <v>-5193.78</v>
      </c>
      <c r="X103" s="100">
        <v>1.1036790000000001</v>
      </c>
      <c r="Y103" s="120">
        <v>-5732.26</v>
      </c>
      <c r="AA103" s="135">
        <f t="shared" si="12"/>
        <v>1.4583966859999999</v>
      </c>
      <c r="AB103" s="145"/>
    </row>
    <row r="104" spans="1:28" x14ac:dyDescent="0.25">
      <c r="A104" s="100" t="s">
        <v>340</v>
      </c>
      <c r="B104" s="100" t="s">
        <v>338</v>
      </c>
      <c r="C104" s="100" t="s">
        <v>340</v>
      </c>
      <c r="D104" s="100">
        <v>92</v>
      </c>
      <c r="E104" s="100" t="s">
        <v>341</v>
      </c>
      <c r="F104" s="100">
        <v>0.68567999999999996</v>
      </c>
      <c r="G104" s="120">
        <v>-14583966.859999999</v>
      </c>
      <c r="H104" s="120">
        <v>35781.599999999999</v>
      </c>
      <c r="I104" s="100" t="s">
        <v>341</v>
      </c>
      <c r="J104" s="100">
        <v>0.95515000000000005</v>
      </c>
      <c r="K104" s="120">
        <v>182.96</v>
      </c>
      <c r="L104" s="100">
        <v>0.84862000000000004</v>
      </c>
      <c r="M104" s="120">
        <v>155.27000000000001</v>
      </c>
      <c r="O104" s="100" t="s">
        <v>340</v>
      </c>
      <c r="P104" s="100" t="s">
        <v>338</v>
      </c>
      <c r="Q104" s="100" t="s">
        <v>340</v>
      </c>
      <c r="R104" s="100">
        <v>92</v>
      </c>
      <c r="S104" s="120">
        <v>10000000</v>
      </c>
      <c r="T104" s="120">
        <v>0</v>
      </c>
      <c r="U104" s="100" t="s">
        <v>341</v>
      </c>
      <c r="V104" s="100">
        <v>-8.7160000000000001E-2</v>
      </c>
      <c r="W104" s="120">
        <v>-5321.57</v>
      </c>
      <c r="X104" s="100">
        <v>1.1045290000000001</v>
      </c>
      <c r="Y104" s="120">
        <v>-5877.83</v>
      </c>
      <c r="AA104" s="135">
        <f t="shared" si="12"/>
        <v>1.4619748460000002</v>
      </c>
      <c r="AB104" s="145"/>
    </row>
    <row r="105" spans="1:28" x14ac:dyDescent="0.25">
      <c r="A105" s="100" t="s">
        <v>342</v>
      </c>
      <c r="B105" s="100" t="s">
        <v>340</v>
      </c>
      <c r="C105" s="100" t="s">
        <v>342</v>
      </c>
      <c r="D105" s="100">
        <v>90</v>
      </c>
      <c r="E105" s="100" t="s">
        <v>343</v>
      </c>
      <c r="F105" s="100">
        <v>0.68401000000000001</v>
      </c>
      <c r="G105" s="120">
        <v>-14619748.460000001</v>
      </c>
      <c r="H105" s="120">
        <v>35828.79</v>
      </c>
      <c r="I105" s="100" t="s">
        <v>343</v>
      </c>
      <c r="J105" s="100">
        <v>0.95570999999999995</v>
      </c>
      <c r="K105" s="120">
        <v>898.17</v>
      </c>
      <c r="L105" s="100">
        <v>0.84720300000000004</v>
      </c>
      <c r="M105" s="120">
        <v>760.93</v>
      </c>
      <c r="O105" s="100" t="s">
        <v>342</v>
      </c>
      <c r="P105" s="100" t="s">
        <v>340</v>
      </c>
      <c r="Q105" s="100" t="s">
        <v>342</v>
      </c>
      <c r="R105" s="100">
        <v>90</v>
      </c>
      <c r="S105" s="120">
        <v>10000000</v>
      </c>
      <c r="T105" s="120">
        <v>0</v>
      </c>
      <c r="U105" s="100" t="s">
        <v>343</v>
      </c>
      <c r="V105" s="100">
        <v>-8.9910000000000004E-2</v>
      </c>
      <c r="W105" s="120">
        <v>-5274.75</v>
      </c>
      <c r="X105" s="100">
        <v>1.1053569999999999</v>
      </c>
      <c r="Y105" s="120">
        <v>-5830.48</v>
      </c>
      <c r="AA105" s="135">
        <f t="shared" si="12"/>
        <v>1.465557725</v>
      </c>
      <c r="AB105" s="145"/>
    </row>
    <row r="106" spans="1:28" x14ac:dyDescent="0.25">
      <c r="A106" s="100" t="s">
        <v>344</v>
      </c>
      <c r="B106" s="100" t="s">
        <v>342</v>
      </c>
      <c r="C106" s="100" t="s">
        <v>344</v>
      </c>
      <c r="D106" s="100">
        <v>91</v>
      </c>
      <c r="E106" s="100" t="s">
        <v>345</v>
      </c>
      <c r="F106" s="100">
        <v>0.68232999999999999</v>
      </c>
      <c r="G106" s="120">
        <v>-14655577.25</v>
      </c>
      <c r="H106" s="120">
        <v>35875.760000000002</v>
      </c>
      <c r="I106" s="100" t="s">
        <v>345</v>
      </c>
      <c r="J106" s="100">
        <v>0.95630000000000004</v>
      </c>
      <c r="K106" s="120">
        <v>448.81</v>
      </c>
      <c r="L106" s="100">
        <v>0.84577199999999997</v>
      </c>
      <c r="M106" s="120">
        <v>379.59</v>
      </c>
      <c r="O106" s="100" t="s">
        <v>344</v>
      </c>
      <c r="P106" s="100" t="s">
        <v>342</v>
      </c>
      <c r="Q106" s="100" t="s">
        <v>344</v>
      </c>
      <c r="R106" s="100">
        <v>91</v>
      </c>
      <c r="S106" s="120">
        <v>10000000</v>
      </c>
      <c r="T106" s="120">
        <v>0</v>
      </c>
      <c r="U106" s="100" t="s">
        <v>345</v>
      </c>
      <c r="V106" s="100">
        <v>-9.2649999999999996E-2</v>
      </c>
      <c r="W106" s="120">
        <v>-5402.64</v>
      </c>
      <c r="X106" s="100">
        <v>1.1061909999999999</v>
      </c>
      <c r="Y106" s="120">
        <v>-5976.35</v>
      </c>
      <c r="AA106" s="135">
        <f t="shared" si="12"/>
        <v>1.469145301</v>
      </c>
      <c r="AB106" s="145"/>
    </row>
    <row r="107" spans="1:28" x14ac:dyDescent="0.25">
      <c r="A107" s="100" t="s">
        <v>346</v>
      </c>
      <c r="B107" s="100" t="s">
        <v>344</v>
      </c>
      <c r="C107" s="100" t="s">
        <v>346</v>
      </c>
      <c r="D107" s="100">
        <v>92</v>
      </c>
      <c r="E107" s="100" t="s">
        <v>347</v>
      </c>
      <c r="F107" s="100">
        <v>0.68067</v>
      </c>
      <c r="G107" s="120">
        <v>-14691453.01</v>
      </c>
      <c r="H107" s="120">
        <v>36317.49</v>
      </c>
      <c r="I107" s="100" t="s">
        <v>347</v>
      </c>
      <c r="J107" s="100">
        <v>0.95687999999999995</v>
      </c>
      <c r="K107" s="120">
        <v>391.75</v>
      </c>
      <c r="L107" s="100">
        <v>0.84432600000000002</v>
      </c>
      <c r="M107" s="120">
        <v>330.77</v>
      </c>
      <c r="O107" s="100" t="s">
        <v>346</v>
      </c>
      <c r="P107" s="100" t="s">
        <v>344</v>
      </c>
      <c r="Q107" s="100" t="s">
        <v>346</v>
      </c>
      <c r="R107" s="100">
        <v>92</v>
      </c>
      <c r="S107" s="120">
        <v>10000000</v>
      </c>
      <c r="T107" s="120">
        <v>0</v>
      </c>
      <c r="U107" s="100" t="s">
        <v>347</v>
      </c>
      <c r="V107" s="100">
        <v>-9.5430000000000001E-2</v>
      </c>
      <c r="W107" s="120">
        <v>-5532.87</v>
      </c>
      <c r="X107" s="100">
        <v>1.107029</v>
      </c>
      <c r="Y107" s="120">
        <v>-6125.05</v>
      </c>
      <c r="AA107" s="135">
        <f t="shared" si="12"/>
        <v>1.4727770499999999</v>
      </c>
      <c r="AB107" s="145"/>
    </row>
    <row r="108" spans="1:28" x14ac:dyDescent="0.25">
      <c r="A108" s="100" t="s">
        <v>348</v>
      </c>
      <c r="B108" s="100" t="s">
        <v>346</v>
      </c>
      <c r="C108" s="100" t="s">
        <v>348</v>
      </c>
      <c r="D108" s="100">
        <v>92</v>
      </c>
      <c r="E108" s="100" t="s">
        <v>349</v>
      </c>
      <c r="F108" s="100">
        <v>0.67898999999999998</v>
      </c>
      <c r="G108" s="120">
        <v>-14727770.5</v>
      </c>
      <c r="H108" s="120">
        <v>35969.47</v>
      </c>
      <c r="I108" s="100" t="s">
        <v>349</v>
      </c>
      <c r="J108" s="100">
        <v>0.95743999999999996</v>
      </c>
      <c r="K108" s="120">
        <v>-66.2</v>
      </c>
      <c r="L108" s="100">
        <v>0.84288099999999999</v>
      </c>
      <c r="M108" s="120">
        <v>-55.8</v>
      </c>
      <c r="O108" s="100" t="s">
        <v>348</v>
      </c>
      <c r="P108" s="100" t="s">
        <v>346</v>
      </c>
      <c r="Q108" s="100" t="s">
        <v>348</v>
      </c>
      <c r="R108" s="100">
        <v>92</v>
      </c>
      <c r="S108" s="120">
        <v>10000000</v>
      </c>
      <c r="T108" s="120">
        <v>0</v>
      </c>
      <c r="U108" s="100" t="s">
        <v>349</v>
      </c>
      <c r="V108" s="100">
        <v>-9.8220000000000002E-2</v>
      </c>
      <c r="W108" s="120">
        <v>-5604.17</v>
      </c>
      <c r="X108" s="100">
        <v>1.107864</v>
      </c>
      <c r="Y108" s="120">
        <v>-6208.66</v>
      </c>
      <c r="AA108" s="135">
        <f t="shared" si="12"/>
        <v>1.476373997</v>
      </c>
      <c r="AB108" s="145"/>
    </row>
    <row r="109" spans="1:28" x14ac:dyDescent="0.25">
      <c r="A109" s="100" t="s">
        <v>350</v>
      </c>
      <c r="B109" s="100" t="s">
        <v>348</v>
      </c>
      <c r="C109" s="100" t="s">
        <v>350</v>
      </c>
      <c r="D109" s="100">
        <v>90</v>
      </c>
      <c r="E109" s="100" t="s">
        <v>351</v>
      </c>
      <c r="F109" s="100">
        <v>0.67734000000000005</v>
      </c>
      <c r="G109" s="120">
        <v>-14763739.970000001</v>
      </c>
      <c r="H109" s="120">
        <v>36015.71</v>
      </c>
      <c r="I109" s="100" t="s">
        <v>351</v>
      </c>
      <c r="J109" s="100">
        <v>0.95796000000000003</v>
      </c>
      <c r="K109" s="120">
        <v>658.12</v>
      </c>
      <c r="L109" s="100">
        <v>0.84147000000000005</v>
      </c>
      <c r="M109" s="120">
        <v>553.79</v>
      </c>
      <c r="O109" s="100" t="s">
        <v>350</v>
      </c>
      <c r="P109" s="100" t="s">
        <v>348</v>
      </c>
      <c r="Q109" s="100" t="s">
        <v>350</v>
      </c>
      <c r="R109" s="100">
        <v>90</v>
      </c>
      <c r="S109" s="120">
        <v>10000000</v>
      </c>
      <c r="T109" s="120">
        <v>0</v>
      </c>
      <c r="U109" s="100" t="s">
        <v>351</v>
      </c>
      <c r="V109" s="100">
        <v>-0.10098</v>
      </c>
      <c r="W109" s="120">
        <v>-5551.4</v>
      </c>
      <c r="X109" s="100">
        <v>1.1086769999999999</v>
      </c>
      <c r="Y109" s="120">
        <v>-6154.71</v>
      </c>
      <c r="AA109" s="135">
        <f t="shared" si="12"/>
        <v>1.479975568</v>
      </c>
      <c r="AB109" s="145"/>
    </row>
    <row r="110" spans="1:28" x14ac:dyDescent="0.25">
      <c r="A110" s="100" t="s">
        <v>352</v>
      </c>
      <c r="B110" s="100" t="s">
        <v>350</v>
      </c>
      <c r="C110" s="100" t="s">
        <v>352</v>
      </c>
      <c r="D110" s="100">
        <v>91</v>
      </c>
      <c r="E110" s="100" t="s">
        <v>353</v>
      </c>
      <c r="F110" s="100">
        <v>0.67569000000000001</v>
      </c>
      <c r="G110" s="120">
        <v>-14799755.68</v>
      </c>
      <c r="H110" s="120">
        <v>36061.699999999997</v>
      </c>
      <c r="I110" s="100" t="s">
        <v>353</v>
      </c>
      <c r="J110" s="100">
        <v>0.95850000000000002</v>
      </c>
      <c r="K110" s="120">
        <v>203.62</v>
      </c>
      <c r="L110" s="100">
        <v>0.84004400000000001</v>
      </c>
      <c r="M110" s="120">
        <v>171.05</v>
      </c>
      <c r="O110" s="100" t="s">
        <v>352</v>
      </c>
      <c r="P110" s="100" t="s">
        <v>350</v>
      </c>
      <c r="Q110" s="100" t="s">
        <v>352</v>
      </c>
      <c r="R110" s="100">
        <v>91</v>
      </c>
      <c r="S110" s="120">
        <v>10000000</v>
      </c>
      <c r="T110" s="120">
        <v>0</v>
      </c>
      <c r="U110" s="100" t="s">
        <v>353</v>
      </c>
      <c r="V110" s="100">
        <v>-0.10373</v>
      </c>
      <c r="W110" s="120">
        <v>-5682.56</v>
      </c>
      <c r="X110" s="100">
        <v>1.1094949999999999</v>
      </c>
      <c r="Y110" s="120">
        <v>-6304.78</v>
      </c>
      <c r="AA110" s="135">
        <f t="shared" si="12"/>
        <v>1.4835817390000001</v>
      </c>
      <c r="AB110" s="145"/>
    </row>
    <row r="111" spans="1:28" x14ac:dyDescent="0.25">
      <c r="A111" s="100" t="s">
        <v>354</v>
      </c>
      <c r="B111" s="100" t="s">
        <v>352</v>
      </c>
      <c r="C111" s="100" t="s">
        <v>354</v>
      </c>
      <c r="D111" s="100">
        <v>92</v>
      </c>
      <c r="E111" s="100" t="s">
        <v>355</v>
      </c>
      <c r="F111" s="100">
        <v>0.67403999999999997</v>
      </c>
      <c r="G111" s="120">
        <v>-14835817.390000001</v>
      </c>
      <c r="H111" s="120">
        <v>37298.58</v>
      </c>
      <c r="I111" s="100" t="s">
        <v>355</v>
      </c>
      <c r="J111" s="100">
        <v>0.95904999999999996</v>
      </c>
      <c r="K111" s="120">
        <v>937.55</v>
      </c>
      <c r="L111" s="100">
        <v>0.83860400000000002</v>
      </c>
      <c r="M111" s="120">
        <v>786.24</v>
      </c>
      <c r="O111" s="100" t="s">
        <v>354</v>
      </c>
      <c r="P111" s="100" t="s">
        <v>352</v>
      </c>
      <c r="Q111" s="100" t="s">
        <v>354</v>
      </c>
      <c r="R111" s="100">
        <v>92</v>
      </c>
      <c r="S111" s="120">
        <v>10000000</v>
      </c>
      <c r="T111" s="120">
        <v>0</v>
      </c>
      <c r="U111" s="100" t="s">
        <v>355</v>
      </c>
      <c r="V111" s="100">
        <v>-0.10650999999999999</v>
      </c>
      <c r="W111" s="120">
        <v>-5816.08</v>
      </c>
      <c r="X111" s="100">
        <v>1.1103179999999999</v>
      </c>
      <c r="Y111" s="120">
        <v>-6457.71</v>
      </c>
      <c r="AA111" s="135">
        <f t="shared" si="12"/>
        <v>1.4873115970000002</v>
      </c>
      <c r="AB111" s="145"/>
    </row>
    <row r="112" spans="1:28" x14ac:dyDescent="0.25">
      <c r="A112" s="100" t="s">
        <v>356</v>
      </c>
      <c r="B112" s="100" t="s">
        <v>354</v>
      </c>
      <c r="C112" s="100" t="s">
        <v>356</v>
      </c>
      <c r="D112" s="100">
        <v>92</v>
      </c>
      <c r="E112" s="100" t="s">
        <v>357</v>
      </c>
      <c r="F112" s="100">
        <v>0.67235</v>
      </c>
      <c r="G112" s="120">
        <v>-14873115.970000001</v>
      </c>
      <c r="H112" s="120">
        <v>36154.44</v>
      </c>
      <c r="I112" s="100" t="s">
        <v>357</v>
      </c>
      <c r="J112" s="100">
        <v>0.95957000000000003</v>
      </c>
      <c r="K112" s="120">
        <v>-317.88</v>
      </c>
      <c r="L112" s="100">
        <v>0.83716500000000005</v>
      </c>
      <c r="M112" s="120">
        <v>-266.12</v>
      </c>
      <c r="O112" s="100" t="s">
        <v>356</v>
      </c>
      <c r="P112" s="100" t="s">
        <v>354</v>
      </c>
      <c r="Q112" s="100" t="s">
        <v>356</v>
      </c>
      <c r="R112" s="100">
        <v>92</v>
      </c>
      <c r="S112" s="120">
        <v>10000000</v>
      </c>
      <c r="T112" s="120">
        <v>0</v>
      </c>
      <c r="U112" s="100" t="s">
        <v>357</v>
      </c>
      <c r="V112" s="100">
        <v>-0.10931</v>
      </c>
      <c r="W112" s="120">
        <v>-5887.61</v>
      </c>
      <c r="X112" s="100">
        <v>1.111137</v>
      </c>
      <c r="Y112" s="120">
        <v>-6541.94</v>
      </c>
      <c r="AA112" s="135">
        <f t="shared" si="12"/>
        <v>1.490927041</v>
      </c>
      <c r="AB112" s="145"/>
    </row>
    <row r="113" spans="1:28" x14ac:dyDescent="0.25">
      <c r="A113" s="100" t="s">
        <v>358</v>
      </c>
      <c r="B113" s="100" t="s">
        <v>356</v>
      </c>
      <c r="C113" s="100" t="s">
        <v>358</v>
      </c>
      <c r="D113" s="100">
        <v>91</v>
      </c>
      <c r="E113" s="100" t="s">
        <v>359</v>
      </c>
      <c r="F113" s="100">
        <v>0.67071999999999998</v>
      </c>
      <c r="G113" s="120">
        <v>-14909270.41</v>
      </c>
      <c r="H113" s="120">
        <v>36597.72</v>
      </c>
      <c r="I113" s="100" t="s">
        <v>359</v>
      </c>
      <c r="J113" s="100">
        <v>0.96006999999999998</v>
      </c>
      <c r="K113" s="120">
        <v>415.39</v>
      </c>
      <c r="L113" s="100">
        <v>0.83574300000000001</v>
      </c>
      <c r="M113" s="120">
        <v>347.16</v>
      </c>
      <c r="O113" s="100" t="s">
        <v>358</v>
      </c>
      <c r="P113" s="100" t="s">
        <v>356</v>
      </c>
      <c r="Q113" s="100" t="s">
        <v>358</v>
      </c>
      <c r="R113" s="100">
        <v>91</v>
      </c>
      <c r="S113" s="120">
        <v>10000000</v>
      </c>
      <c r="T113" s="120">
        <v>0</v>
      </c>
      <c r="U113" s="100" t="s">
        <v>359</v>
      </c>
      <c r="V113" s="100">
        <v>-0.11209</v>
      </c>
      <c r="W113" s="120">
        <v>-5894.04</v>
      </c>
      <c r="X113" s="100">
        <v>1.111944</v>
      </c>
      <c r="Y113" s="120">
        <v>-6553.84</v>
      </c>
      <c r="AA113" s="135">
        <f t="shared" si="12"/>
        <v>1.4945868130000002</v>
      </c>
      <c r="AB113" s="145"/>
    </row>
    <row r="114" spans="1:28" x14ac:dyDescent="0.25">
      <c r="A114" s="100" t="s">
        <v>360</v>
      </c>
      <c r="B114" s="100" t="s">
        <v>358</v>
      </c>
      <c r="C114" s="100" t="s">
        <v>360</v>
      </c>
      <c r="D114" s="100">
        <v>91</v>
      </c>
      <c r="E114" s="100" t="s">
        <v>361</v>
      </c>
      <c r="F114" s="100">
        <v>0.66908000000000001</v>
      </c>
      <c r="G114" s="120">
        <v>-14945868.130000001</v>
      </c>
      <c r="H114" s="120">
        <v>36245.14</v>
      </c>
      <c r="I114" s="100" t="s">
        <v>361</v>
      </c>
      <c r="J114" s="100">
        <v>0.96055999999999997</v>
      </c>
      <c r="K114" s="120">
        <v>-44.84</v>
      </c>
      <c r="L114" s="100">
        <v>0.83432300000000004</v>
      </c>
      <c r="M114" s="120">
        <v>-37.409999999999997</v>
      </c>
      <c r="O114" s="100" t="s">
        <v>360</v>
      </c>
      <c r="P114" s="100" t="s">
        <v>358</v>
      </c>
      <c r="Q114" s="100" t="s">
        <v>360</v>
      </c>
      <c r="R114" s="100">
        <v>91</v>
      </c>
      <c r="S114" s="120">
        <v>10000000</v>
      </c>
      <c r="T114" s="120">
        <v>0</v>
      </c>
      <c r="U114" s="100" t="s">
        <v>361</v>
      </c>
      <c r="V114" s="100">
        <v>-0.11487</v>
      </c>
      <c r="W114" s="120">
        <v>-5964.14</v>
      </c>
      <c r="X114" s="100">
        <v>1.112746</v>
      </c>
      <c r="Y114" s="120">
        <v>-6636.57</v>
      </c>
      <c r="AA114" s="135">
        <f t="shared" si="12"/>
        <v>1.4982113260000001</v>
      </c>
      <c r="AB114" s="145"/>
    </row>
    <row r="115" spans="1:28" x14ac:dyDescent="0.25">
      <c r="A115" s="100" t="s">
        <v>362</v>
      </c>
      <c r="B115" s="100" t="s">
        <v>360</v>
      </c>
      <c r="C115" s="100" t="s">
        <v>362</v>
      </c>
      <c r="D115" s="100">
        <v>92</v>
      </c>
      <c r="E115" s="100" t="s">
        <v>363</v>
      </c>
      <c r="F115" s="100">
        <v>0.66746000000000005</v>
      </c>
      <c r="G115" s="120">
        <v>-14982113.26</v>
      </c>
      <c r="H115" s="120">
        <v>36688.89</v>
      </c>
      <c r="I115" s="100" t="s">
        <v>363</v>
      </c>
      <c r="J115" s="100">
        <v>0.96106999999999998</v>
      </c>
      <c r="K115" s="120">
        <v>-108.18</v>
      </c>
      <c r="L115" s="100">
        <v>0.83288899999999999</v>
      </c>
      <c r="M115" s="120">
        <v>-90.1</v>
      </c>
      <c r="O115" s="100" t="s">
        <v>362</v>
      </c>
      <c r="P115" s="100" t="s">
        <v>360</v>
      </c>
      <c r="Q115" s="100" t="s">
        <v>362</v>
      </c>
      <c r="R115" s="100">
        <v>92</v>
      </c>
      <c r="S115" s="120">
        <v>10000000</v>
      </c>
      <c r="T115" s="120">
        <v>0</v>
      </c>
      <c r="U115" s="100" t="s">
        <v>363</v>
      </c>
      <c r="V115" s="100">
        <v>-0.11766</v>
      </c>
      <c r="W115" s="120">
        <v>-6100.99</v>
      </c>
      <c r="X115" s="100">
        <v>1.1135539999999999</v>
      </c>
      <c r="Y115" s="120">
        <v>-6793.78</v>
      </c>
      <c r="AA115" s="135">
        <f t="shared" si="12"/>
        <v>1.5018802150000001</v>
      </c>
      <c r="AB115" s="145"/>
    </row>
    <row r="116" spans="1:28" x14ac:dyDescent="0.25">
      <c r="A116" s="100" t="s">
        <v>364</v>
      </c>
      <c r="B116" s="100" t="s">
        <v>362</v>
      </c>
      <c r="C116" s="100" t="s">
        <v>364</v>
      </c>
      <c r="D116" s="100">
        <v>94</v>
      </c>
      <c r="E116" s="100" t="s">
        <v>365</v>
      </c>
      <c r="F116" s="100">
        <v>0.66583000000000003</v>
      </c>
      <c r="G116" s="120">
        <v>-15018802.15</v>
      </c>
      <c r="H116" s="120">
        <v>36334.79</v>
      </c>
      <c r="I116" s="100" t="s">
        <v>365</v>
      </c>
      <c r="J116" s="100">
        <v>0.96158999999999994</v>
      </c>
      <c r="K116" s="120">
        <v>-1374.52</v>
      </c>
      <c r="L116" s="100">
        <v>0.83142499999999997</v>
      </c>
      <c r="M116" s="120">
        <v>-1142.81</v>
      </c>
      <c r="O116" s="100" t="s">
        <v>364</v>
      </c>
      <c r="P116" s="100" t="s">
        <v>362</v>
      </c>
      <c r="Q116" s="100" t="s">
        <v>364</v>
      </c>
      <c r="R116" s="100">
        <v>94</v>
      </c>
      <c r="S116" s="120">
        <v>10000000</v>
      </c>
      <c r="T116" s="120">
        <v>0</v>
      </c>
      <c r="U116" s="100" t="s">
        <v>365</v>
      </c>
      <c r="V116" s="100">
        <v>-0.1205</v>
      </c>
      <c r="W116" s="120">
        <v>-6307.74</v>
      </c>
      <c r="X116" s="100">
        <v>1.114374</v>
      </c>
      <c r="Y116" s="120">
        <v>-7029.18</v>
      </c>
      <c r="AA116" s="135">
        <f t="shared" si="12"/>
        <v>1.505513694</v>
      </c>
      <c r="AB116" s="145"/>
    </row>
    <row r="117" spans="1:28" x14ac:dyDescent="0.25">
      <c r="A117" s="100" t="s">
        <v>366</v>
      </c>
      <c r="B117" s="100" t="s">
        <v>364</v>
      </c>
      <c r="C117" s="100" t="s">
        <v>366</v>
      </c>
      <c r="D117" s="100">
        <v>88</v>
      </c>
      <c r="E117" s="100" t="s">
        <v>367</v>
      </c>
      <c r="F117" s="100">
        <v>0.66422999999999999</v>
      </c>
      <c r="G117" s="120">
        <v>-15055136.939999999</v>
      </c>
      <c r="H117" s="120">
        <v>36378.97</v>
      </c>
      <c r="I117" s="100" t="s">
        <v>367</v>
      </c>
      <c r="J117" s="100">
        <v>0.96197999999999995</v>
      </c>
      <c r="K117" s="120">
        <v>976.75</v>
      </c>
      <c r="L117" s="100">
        <v>0.83005600000000002</v>
      </c>
      <c r="M117" s="120">
        <v>810.76</v>
      </c>
      <c r="O117" s="100" t="s">
        <v>366</v>
      </c>
      <c r="P117" s="100" t="s">
        <v>364</v>
      </c>
      <c r="Q117" s="100" t="s">
        <v>366</v>
      </c>
      <c r="R117" s="100">
        <v>88</v>
      </c>
      <c r="S117" s="120">
        <v>10000000</v>
      </c>
      <c r="T117" s="120">
        <v>0</v>
      </c>
      <c r="U117" s="100" t="s">
        <v>367</v>
      </c>
      <c r="V117" s="100">
        <v>-0.12328</v>
      </c>
      <c r="W117" s="120">
        <v>-5973.11</v>
      </c>
      <c r="X117" s="100">
        <v>1.1151390000000001</v>
      </c>
      <c r="Y117" s="120">
        <v>-6660.85</v>
      </c>
      <c r="AA117" s="135">
        <f t="shared" si="12"/>
        <v>1.509151591</v>
      </c>
      <c r="AB117" s="145"/>
    </row>
    <row r="118" spans="1:28" x14ac:dyDescent="0.25">
      <c r="A118" s="100" t="s">
        <v>368</v>
      </c>
      <c r="B118" s="100" t="s">
        <v>366</v>
      </c>
      <c r="C118" s="100" t="s">
        <v>368</v>
      </c>
      <c r="D118" s="100">
        <v>91</v>
      </c>
      <c r="E118" s="100" t="s">
        <v>369</v>
      </c>
      <c r="F118" s="100">
        <v>0.66261999999999999</v>
      </c>
      <c r="G118" s="120">
        <v>-15091515.91</v>
      </c>
      <c r="H118" s="120">
        <v>36422.89</v>
      </c>
      <c r="I118" s="100" t="s">
        <v>369</v>
      </c>
      <c r="J118" s="100">
        <v>0.96247000000000005</v>
      </c>
      <c r="K118" s="120">
        <v>-293.48</v>
      </c>
      <c r="L118" s="100">
        <v>0.82864199999999999</v>
      </c>
      <c r="M118" s="120">
        <v>-243.19</v>
      </c>
      <c r="O118" s="100" t="s">
        <v>368</v>
      </c>
      <c r="P118" s="100" t="s">
        <v>366</v>
      </c>
      <c r="Q118" s="100" t="s">
        <v>368</v>
      </c>
      <c r="R118" s="100">
        <v>91</v>
      </c>
      <c r="S118" s="120">
        <v>10000000</v>
      </c>
      <c r="T118" s="120">
        <v>0</v>
      </c>
      <c r="U118" s="100" t="s">
        <v>369</v>
      </c>
      <c r="V118" s="100">
        <v>-0.12601000000000001</v>
      </c>
      <c r="W118" s="120">
        <v>-6245.91</v>
      </c>
      <c r="X118" s="100">
        <v>1.115926</v>
      </c>
      <c r="Y118" s="120">
        <v>-6969.97</v>
      </c>
      <c r="AA118" s="135">
        <f t="shared" si="12"/>
        <v>1.51279388</v>
      </c>
      <c r="AB118" s="145"/>
    </row>
    <row r="119" spans="1:28" x14ac:dyDescent="0.25">
      <c r="A119" s="100" t="s">
        <v>370</v>
      </c>
      <c r="B119" s="100" t="s">
        <v>368</v>
      </c>
      <c r="C119" s="100" t="s">
        <v>370</v>
      </c>
      <c r="D119" s="100">
        <v>94</v>
      </c>
      <c r="E119" s="100" t="s">
        <v>371</v>
      </c>
      <c r="F119" s="100">
        <v>0.66103000000000001</v>
      </c>
      <c r="G119" s="120">
        <v>-15127938.800000001</v>
      </c>
      <c r="H119" s="120">
        <v>36867.51</v>
      </c>
      <c r="I119" s="100" t="s">
        <v>371</v>
      </c>
      <c r="J119" s="100">
        <v>0.96296999999999999</v>
      </c>
      <c r="K119" s="120">
        <v>-1170.52</v>
      </c>
      <c r="L119" s="100">
        <v>0.827183</v>
      </c>
      <c r="M119" s="120">
        <v>-968.23</v>
      </c>
      <c r="O119" s="100" t="s">
        <v>370</v>
      </c>
      <c r="P119" s="100" t="s">
        <v>368</v>
      </c>
      <c r="Q119" s="100" t="s">
        <v>370</v>
      </c>
      <c r="R119" s="100">
        <v>94</v>
      </c>
      <c r="S119" s="120">
        <v>10000000</v>
      </c>
      <c r="T119" s="120">
        <v>0</v>
      </c>
      <c r="U119" s="100" t="s">
        <v>371</v>
      </c>
      <c r="V119" s="100">
        <v>-0.12884000000000001</v>
      </c>
      <c r="W119" s="120">
        <v>-6525.74</v>
      </c>
      <c r="X119" s="100">
        <v>1.1167339999999999</v>
      </c>
      <c r="Y119" s="120">
        <v>-7287.51</v>
      </c>
      <c r="AA119" s="135">
        <f t="shared" si="12"/>
        <v>1.5164806310000001</v>
      </c>
      <c r="AB119" s="145"/>
    </row>
    <row r="120" spans="1:28" x14ac:dyDescent="0.25">
      <c r="A120" s="100" t="s">
        <v>372</v>
      </c>
      <c r="B120" s="100" t="s">
        <v>370</v>
      </c>
      <c r="C120" s="100" t="s">
        <v>372</v>
      </c>
      <c r="D120" s="100">
        <v>92</v>
      </c>
      <c r="E120" s="100" t="s">
        <v>373</v>
      </c>
      <c r="F120" s="100">
        <v>0.65942000000000001</v>
      </c>
      <c r="G120" s="120">
        <v>-15164806.310000001</v>
      </c>
      <c r="H120" s="120">
        <v>36510.39</v>
      </c>
      <c r="I120" s="100" t="s">
        <v>373</v>
      </c>
      <c r="J120" s="100">
        <v>0.96340000000000003</v>
      </c>
      <c r="K120" s="120">
        <v>-825.61</v>
      </c>
      <c r="L120" s="100">
        <v>0.82575600000000005</v>
      </c>
      <c r="M120" s="120">
        <v>-681.76</v>
      </c>
      <c r="O120" s="100" t="s">
        <v>372</v>
      </c>
      <c r="P120" s="100" t="s">
        <v>370</v>
      </c>
      <c r="Q120" s="100" t="s">
        <v>372</v>
      </c>
      <c r="R120" s="100">
        <v>92</v>
      </c>
      <c r="S120" s="120">
        <v>10000000</v>
      </c>
      <c r="T120" s="120">
        <v>0</v>
      </c>
      <c r="U120" s="100" t="s">
        <v>373</v>
      </c>
      <c r="V120" s="100">
        <v>-0.13169</v>
      </c>
      <c r="W120" s="120">
        <v>-6459.73</v>
      </c>
      <c r="X120" s="100">
        <v>1.117521</v>
      </c>
      <c r="Y120" s="120">
        <v>-7218.88</v>
      </c>
      <c r="AA120" s="135">
        <f t="shared" si="12"/>
        <v>1.5201316699999998</v>
      </c>
      <c r="AB120" s="145"/>
    </row>
    <row r="121" spans="1:28" x14ac:dyDescent="0.25">
      <c r="A121" s="100" t="s">
        <v>374</v>
      </c>
      <c r="B121" s="100" t="s">
        <v>372</v>
      </c>
      <c r="C121" s="100" t="s">
        <v>374</v>
      </c>
      <c r="D121" s="100">
        <v>90</v>
      </c>
      <c r="E121" s="100" t="s">
        <v>375</v>
      </c>
      <c r="F121" s="100">
        <v>0.65783999999999998</v>
      </c>
      <c r="G121" s="120">
        <v>-15201316.699999999</v>
      </c>
      <c r="H121" s="120">
        <v>36553.480000000003</v>
      </c>
      <c r="I121" s="100" t="s">
        <v>375</v>
      </c>
      <c r="J121" s="100">
        <v>0.96380999999999994</v>
      </c>
      <c r="K121" s="120">
        <v>-74.33</v>
      </c>
      <c r="L121" s="100">
        <v>0.82436200000000004</v>
      </c>
      <c r="M121" s="120">
        <v>-61.28</v>
      </c>
      <c r="O121" s="100" t="s">
        <v>374</v>
      </c>
      <c r="P121" s="100" t="s">
        <v>372</v>
      </c>
      <c r="Q121" s="100" t="s">
        <v>374</v>
      </c>
      <c r="R121" s="100">
        <v>90</v>
      </c>
      <c r="S121" s="120">
        <v>10000000</v>
      </c>
      <c r="T121" s="120">
        <v>0</v>
      </c>
      <c r="U121" s="100" t="s">
        <v>376</v>
      </c>
      <c r="V121" s="100">
        <v>-0.13449</v>
      </c>
      <c r="W121" s="120">
        <v>-6389.09</v>
      </c>
      <c r="X121" s="100">
        <v>1.1182879999999999</v>
      </c>
      <c r="Y121" s="120">
        <v>-7144.84</v>
      </c>
      <c r="AA121" s="135">
        <f t="shared" si="12"/>
        <v>1.5237870179999999</v>
      </c>
      <c r="AB121" s="145"/>
    </row>
    <row r="122" spans="1:28" x14ac:dyDescent="0.25">
      <c r="A122" s="100" t="s">
        <v>377</v>
      </c>
      <c r="B122" s="100" t="s">
        <v>374</v>
      </c>
      <c r="C122" s="100" t="s">
        <v>377</v>
      </c>
      <c r="D122" s="100">
        <v>92</v>
      </c>
      <c r="E122" s="100" t="s">
        <v>378</v>
      </c>
      <c r="F122" s="100">
        <v>0.65625999999999995</v>
      </c>
      <c r="G122" s="120">
        <v>-15237870.18</v>
      </c>
      <c r="H122" s="120">
        <v>-15237870.18</v>
      </c>
      <c r="I122" s="100" t="s">
        <v>378</v>
      </c>
      <c r="J122" s="100">
        <v>0.96426000000000001</v>
      </c>
      <c r="K122" s="120">
        <v>-15275419.550000001</v>
      </c>
      <c r="L122" s="100">
        <v>0.82293799999999995</v>
      </c>
      <c r="M122" s="120">
        <v>-12570726.24</v>
      </c>
      <c r="O122" s="100" t="s">
        <v>377</v>
      </c>
      <c r="P122" s="100" t="s">
        <v>374</v>
      </c>
      <c r="Q122" s="100" t="s">
        <v>377</v>
      </c>
      <c r="R122" s="100">
        <v>92</v>
      </c>
      <c r="S122" s="120">
        <v>10000000</v>
      </c>
      <c r="T122" s="120">
        <v>10000000</v>
      </c>
      <c r="U122" s="100" t="s">
        <v>378</v>
      </c>
      <c r="V122" s="100">
        <v>-0.13711999999999999</v>
      </c>
      <c r="W122" s="120">
        <v>9993401.5700000003</v>
      </c>
      <c r="X122" s="100">
        <v>1.119067</v>
      </c>
      <c r="Y122" s="120">
        <v>11183285.039999999</v>
      </c>
      <c r="AA122" s="135">
        <f t="shared" si="12"/>
        <v>0</v>
      </c>
      <c r="AB122" s="14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PRICER_GBP</vt:lpstr>
      <vt:lpstr>BBG_GBP</vt:lpstr>
      <vt:lpstr>PRICER_EUR</vt:lpstr>
      <vt:lpstr>BBG_EUR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2021-03-06T11:56:49Z</dcterms:modified>
</cp:coreProperties>
</file>